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PC50 Y2018" sheetId="1" r:id="rId1"/>
  </sheets>
  <externalReferences>
    <externalReference r:id="rId2"/>
    <externalReference r:id="rId3"/>
  </externalReferences>
  <calcPr calcId="0"/>
</workbook>
</file>

<file path=xl/calcChain.xml><?xml version="1.0" encoding="utf-8"?>
<calcChain xmlns="http://schemas.openxmlformats.org/spreadsheetml/2006/main">
  <c r="O79" i="1" l="1" a="1"/>
  <c r="O79" i="1" s="1"/>
  <c r="N79" i="1"/>
  <c r="M79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5" i="1"/>
</calcChain>
</file>

<file path=xl/sharedStrings.xml><?xml version="1.0" encoding="utf-8"?>
<sst xmlns="http://schemas.openxmlformats.org/spreadsheetml/2006/main" count="7817" uniqueCount="418">
  <si>
    <t>06.07.2018                                                               Dynamic List Display                                                                       1</t>
  </si>
  <si>
    <t>MntPlan</t>
  </si>
  <si>
    <t>MaintPlan dscrptn</t>
  </si>
  <si>
    <t>Call No.</t>
  </si>
  <si>
    <t>PlanDate</t>
  </si>
  <si>
    <t>Call Status</t>
  </si>
  <si>
    <t>Functional Location</t>
  </si>
  <si>
    <t>FunctLocDescrip.</t>
  </si>
  <si>
    <t>Order</t>
  </si>
  <si>
    <t>Mn.wk.ctr</t>
  </si>
  <si>
    <t>1M - ME Potato Loading Zone (P10)</t>
  </si>
  <si>
    <t>02.01.2018</t>
  </si>
  <si>
    <t>ScheduledCompleted (Maintenance Order)</t>
  </si>
  <si>
    <t>PI-TH-7151-FA-F1-P1</t>
  </si>
  <si>
    <t>FACTORY 1 PC50MZ</t>
  </si>
  <si>
    <t>PRO001</t>
  </si>
  <si>
    <t>2W - ME Peeler &amp; Slicer Zone (P12)</t>
  </si>
  <si>
    <t>2W - ME Potato Washing Zone (P13)</t>
  </si>
  <si>
    <t>2W - ME Flavoring Zone (P17)</t>
  </si>
  <si>
    <t>03.01.2018</t>
  </si>
  <si>
    <t>1Y - EE Flavoring Zone (P17)</t>
  </si>
  <si>
    <t>04.01.2018</t>
  </si>
  <si>
    <t>PRO002</t>
  </si>
  <si>
    <t>6M- EE Monitoring Zone (P16)</t>
  </si>
  <si>
    <t>1W- ME Fryer Zone (P15)</t>
  </si>
  <si>
    <t>1W - ME Flavoring Zone (P17)</t>
  </si>
  <si>
    <t>06.01.2018</t>
  </si>
  <si>
    <t>1W - ME Peeler &amp; Slicer Zone (P12)</t>
  </si>
  <si>
    <t>1M - EE Peeler &amp; Slicer Zone (P12)</t>
  </si>
  <si>
    <t>08.01.2018</t>
  </si>
  <si>
    <t>6M - ME Potato Loading Zone (P10)</t>
  </si>
  <si>
    <t>2M - EE Flavoring Zone (P17)</t>
  </si>
  <si>
    <t>1M - ME Peeler &amp; Slicer Zone (P12)</t>
  </si>
  <si>
    <t>09.01.2018</t>
  </si>
  <si>
    <t>2W - EE FG Transfering Zone (P18)</t>
  </si>
  <si>
    <t>2W- ME Fryer Zone (P15)</t>
  </si>
  <si>
    <t>10.01.2018</t>
  </si>
  <si>
    <t>1M - EE FG Transfering Zone (P18)</t>
  </si>
  <si>
    <t>11.01.2018</t>
  </si>
  <si>
    <t>2W- ME Monitoring Zone (P16)</t>
  </si>
  <si>
    <t>1M - EE Potato Loading Zone (P10)</t>
  </si>
  <si>
    <t>3M - EE Fryer Zone (P15)</t>
  </si>
  <si>
    <t>3M - EE Monitoring Zone (P16)</t>
  </si>
  <si>
    <t>1M - EE Flavoring Zone (P17)</t>
  </si>
  <si>
    <t>1M - ME Flume Transfering Zone (P11)</t>
  </si>
  <si>
    <t>12.01.2018</t>
  </si>
  <si>
    <t>1M - ME Potato Washing Zone (P13)</t>
  </si>
  <si>
    <t>2W - ME FG Transfering Zone (P18)</t>
  </si>
  <si>
    <t>2W - EE Flavoring Zone (P17)</t>
  </si>
  <si>
    <t>13.01.2018</t>
  </si>
  <si>
    <t>14.01.2018</t>
  </si>
  <si>
    <t>2M - EE Flume Transfering Zone (P11)</t>
  </si>
  <si>
    <t>15.01.2018</t>
  </si>
  <si>
    <t>6M - EE Flume Transfering Zone (P11)</t>
  </si>
  <si>
    <t>2M - EE Potato Washing Zone (P13)</t>
  </si>
  <si>
    <t>2M - EE Fryer Zone (P15)</t>
  </si>
  <si>
    <t>2M - EE  Monitoring Zone (P16)</t>
  </si>
  <si>
    <t>16.01.2018</t>
  </si>
  <si>
    <t>6M - EE Fryer Zone (P15)</t>
  </si>
  <si>
    <t>2M - EE FG Transfering Zone (P18)</t>
  </si>
  <si>
    <t>17.01.2018</t>
  </si>
  <si>
    <t>2M - EE Oil Heating Zone (P14)</t>
  </si>
  <si>
    <t>2W - EE Monitoring Zone (P16)</t>
  </si>
  <si>
    <t>18.01.2018</t>
  </si>
  <si>
    <t>1M - ME Oil Heating Zone (P14)</t>
  </si>
  <si>
    <t>19.01.2018</t>
  </si>
  <si>
    <t>20.01.2018</t>
  </si>
  <si>
    <t>1M - EE Flume Transfering Zone (P11)</t>
  </si>
  <si>
    <t>1M - EE Oil Heating Zone (P14)</t>
  </si>
  <si>
    <t>21.01.2018</t>
  </si>
  <si>
    <t>1M- ME Fryer Zone (P15)</t>
  </si>
  <si>
    <t>1M- ME Monitoring Zone (P16)</t>
  </si>
  <si>
    <t>1M - ME Flavoring Zone (P17)</t>
  </si>
  <si>
    <t>1M - ME FG Transfering Zone (P18)</t>
  </si>
  <si>
    <t>6M - ME Flavoring Zone (P17)</t>
  </si>
  <si>
    <t>22.01.2018</t>
  </si>
  <si>
    <t>23.01.2018</t>
  </si>
  <si>
    <t>6M - EE Flavoring Zone (P17)</t>
  </si>
  <si>
    <t>2M - EE Peeler &amp; Slicer Zone (P12)</t>
  </si>
  <si>
    <t>6M - ME Peeler &amp; Slicer Zone (P12)</t>
  </si>
  <si>
    <t>1Y - EE Oil Heating Zone (P14)</t>
  </si>
  <si>
    <t>24.01.2018</t>
  </si>
  <si>
    <t>1M - EE  Monitoring Zone (P16)</t>
  </si>
  <si>
    <t>25.01.2018</t>
  </si>
  <si>
    <t>26.01.2018</t>
  </si>
  <si>
    <t>27.01.2018</t>
  </si>
  <si>
    <t>28.01.2018</t>
  </si>
  <si>
    <t>3M - ME Potato Washing Zone (P13)</t>
  </si>
  <si>
    <t>29.01.2018</t>
  </si>
  <si>
    <t>30.01.2018</t>
  </si>
  <si>
    <t>31.01.2018</t>
  </si>
  <si>
    <t>01.02.2018</t>
  </si>
  <si>
    <t>03.02.2018</t>
  </si>
  <si>
    <t>2M - EE Potato Loading Zone (P10)</t>
  </si>
  <si>
    <t>04.02.2018</t>
  </si>
  <si>
    <t>3M - EE Oil Heating Zone (P14)</t>
  </si>
  <si>
    <t>6M - EE Oil Heating Zone (P14)</t>
  </si>
  <si>
    <t>06.02.2018</t>
  </si>
  <si>
    <t>07.02.2018</t>
  </si>
  <si>
    <t>08.02.2018</t>
  </si>
  <si>
    <t>1Y - ME FG Transfering Zone (P18)</t>
  </si>
  <si>
    <t>09.02.2018</t>
  </si>
  <si>
    <t>10.02.2018</t>
  </si>
  <si>
    <t>11.02.2018</t>
  </si>
  <si>
    <t>3M - EE Peeler &amp; Slicer Zone (P12)</t>
  </si>
  <si>
    <t>13.02.2018</t>
  </si>
  <si>
    <t>6M - ME Oil Heating Zone (P14)</t>
  </si>
  <si>
    <t>14.02.2018</t>
  </si>
  <si>
    <t>15.02.2018</t>
  </si>
  <si>
    <t>17.02.2018</t>
  </si>
  <si>
    <t>18.02.2018</t>
  </si>
  <si>
    <t>19.02.2018</t>
  </si>
  <si>
    <t>20.02.2018</t>
  </si>
  <si>
    <t>21.02.2018</t>
  </si>
  <si>
    <t>22.02.2018</t>
  </si>
  <si>
    <t>3M - EE Flavoring Zone (P17)</t>
  </si>
  <si>
    <t>23.02.2018</t>
  </si>
  <si>
    <t>24.02.2018</t>
  </si>
  <si>
    <t>25.02.2018</t>
  </si>
  <si>
    <t>27.02.2018</t>
  </si>
  <si>
    <t>28.02.2018</t>
  </si>
  <si>
    <t>01.03.2018</t>
  </si>
  <si>
    <t>RestartCompleted (Maintenance Order)</t>
  </si>
  <si>
    <t>6M- ME Monitoring Zone (P16)</t>
  </si>
  <si>
    <t>03.03.2018</t>
  </si>
  <si>
    <t>6M - ME Flume Transfering Zone (P11)</t>
  </si>
  <si>
    <t>06.03.2018</t>
  </si>
  <si>
    <t>6M - EE Peeler &amp; Slicer Zone (P12)</t>
  </si>
  <si>
    <t>07.03.2018</t>
  </si>
  <si>
    <t>08.03.2018</t>
  </si>
  <si>
    <t>09.03.2018</t>
  </si>
  <si>
    <t>3M - EE Potato Washing Zone (P13)</t>
  </si>
  <si>
    <t>10.03.2018</t>
  </si>
  <si>
    <t>1Y - ME Flume Transfering Zone (P11)</t>
  </si>
  <si>
    <t>11.03.2018</t>
  </si>
  <si>
    <t>12.03.2018</t>
  </si>
  <si>
    <t>13.03.2018</t>
  </si>
  <si>
    <t>3M- ME Monitoring Zone (P16)</t>
  </si>
  <si>
    <t>3M- ME Fryer Zone (P15)</t>
  </si>
  <si>
    <t>14.03.2018</t>
  </si>
  <si>
    <t>15.03.2018</t>
  </si>
  <si>
    <t>16.03.2018</t>
  </si>
  <si>
    <t>17.03.2018</t>
  </si>
  <si>
    <t>18.03.2018</t>
  </si>
  <si>
    <t>20.03.2018</t>
  </si>
  <si>
    <t>21.03.2018</t>
  </si>
  <si>
    <t>22.03.2018</t>
  </si>
  <si>
    <t>23.03.2018</t>
  </si>
  <si>
    <t>24.03.2018</t>
  </si>
  <si>
    <t>25.03.2018</t>
  </si>
  <si>
    <t>3M - ME Oil Heating Zone (P14)</t>
  </si>
  <si>
    <t>26.03.2018</t>
  </si>
  <si>
    <t>27.03.2018</t>
  </si>
  <si>
    <t>28.03.2018</t>
  </si>
  <si>
    <t>29.03.2018</t>
  </si>
  <si>
    <t>30.03.2018</t>
  </si>
  <si>
    <t>31.03.2018</t>
  </si>
  <si>
    <t>01.04.2018</t>
  </si>
  <si>
    <t>03.04.2018</t>
  </si>
  <si>
    <t>04.04.2018</t>
  </si>
  <si>
    <t>05.04.2018</t>
  </si>
  <si>
    <t>06.04.2018</t>
  </si>
  <si>
    <t>07.04.2018</t>
  </si>
  <si>
    <t>08.04.2018</t>
  </si>
  <si>
    <t>09.04.2018</t>
  </si>
  <si>
    <t>10.04.2018</t>
  </si>
  <si>
    <t>11.04.2018</t>
  </si>
  <si>
    <t>12.04.2018</t>
  </si>
  <si>
    <t>14.04.2018</t>
  </si>
  <si>
    <t>16.04.2018</t>
  </si>
  <si>
    <t>17.04.2018</t>
  </si>
  <si>
    <t>18.04.2018</t>
  </si>
  <si>
    <t>19.04.2018</t>
  </si>
  <si>
    <t>20.04.2018</t>
  </si>
  <si>
    <t>21.04.2018</t>
  </si>
  <si>
    <t>22.04.2018</t>
  </si>
  <si>
    <t>23.04.2018</t>
  </si>
  <si>
    <t>24.04.2018</t>
  </si>
  <si>
    <t>25.04.2018</t>
  </si>
  <si>
    <t>26.04.2018</t>
  </si>
  <si>
    <t>28.04.2018</t>
  </si>
  <si>
    <t>29.04.2018</t>
  </si>
  <si>
    <t>01.05.2018</t>
  </si>
  <si>
    <t>02.05.2018</t>
  </si>
  <si>
    <t>03.05.2018</t>
  </si>
  <si>
    <t>6M - EE Potato Loading Zone (P10)</t>
  </si>
  <si>
    <t>04.05.2018</t>
  </si>
  <si>
    <t>05.05.2018</t>
  </si>
  <si>
    <t>06.05.2018</t>
  </si>
  <si>
    <t>07.05.2018</t>
  </si>
  <si>
    <t>08.05.2018</t>
  </si>
  <si>
    <t>09.05.2018</t>
  </si>
  <si>
    <t>6M - ME Potato Washing Zone (P13)</t>
  </si>
  <si>
    <t>10.05.2018</t>
  </si>
  <si>
    <t>11.05.2018</t>
  </si>
  <si>
    <t>12.05.2018</t>
  </si>
  <si>
    <t>14.05.2018</t>
  </si>
  <si>
    <t>15.05.2018</t>
  </si>
  <si>
    <t>16.05.2018</t>
  </si>
  <si>
    <t>6M - ME FG Transfering Zone (P18)</t>
  </si>
  <si>
    <t>17.05.2018</t>
  </si>
  <si>
    <t>18.05.2018</t>
  </si>
  <si>
    <t>19.05.2018</t>
  </si>
  <si>
    <t>20.05.2018</t>
  </si>
  <si>
    <t>22.05.2018</t>
  </si>
  <si>
    <t>23.05.2018</t>
  </si>
  <si>
    <t>24.05.2018</t>
  </si>
  <si>
    <t>1Y - ME Peeler &amp; Slicer Zone (P12)</t>
  </si>
  <si>
    <t>25.05.2018</t>
  </si>
  <si>
    <t>26.05.2018</t>
  </si>
  <si>
    <t>29.05.2018</t>
  </si>
  <si>
    <t>30.05.2018</t>
  </si>
  <si>
    <t>31.05.2018</t>
  </si>
  <si>
    <t>01.06.2018</t>
  </si>
  <si>
    <t>02.06.2018</t>
  </si>
  <si>
    <t>03.06.2018</t>
  </si>
  <si>
    <t>04.06.2018</t>
  </si>
  <si>
    <t>05.06.2018</t>
  </si>
  <si>
    <t>06.06.2018</t>
  </si>
  <si>
    <t>07.06.2018</t>
  </si>
  <si>
    <t>08.06.2018</t>
  </si>
  <si>
    <t>09.06.2018</t>
  </si>
  <si>
    <t>10.06.2018</t>
  </si>
  <si>
    <t>11.06.2018</t>
  </si>
  <si>
    <t>12.06.2018</t>
  </si>
  <si>
    <t>13.06.2018</t>
  </si>
  <si>
    <t>14.06.2018</t>
  </si>
  <si>
    <t>3M - ME Flavoring Zone (P17)</t>
  </si>
  <si>
    <t>15.06.2018</t>
  </si>
  <si>
    <t>16.06.2018</t>
  </si>
  <si>
    <t>17.06.2018</t>
  </si>
  <si>
    <t>18.06.2018</t>
  </si>
  <si>
    <t>19.06.2018</t>
  </si>
  <si>
    <t>20.06.2018</t>
  </si>
  <si>
    <t>21.06.2018</t>
  </si>
  <si>
    <t>22.06.2018</t>
  </si>
  <si>
    <t>23.06.2018</t>
  </si>
  <si>
    <t>24.06.2018</t>
  </si>
  <si>
    <t>25.06.2018</t>
  </si>
  <si>
    <t>26.06.2018</t>
  </si>
  <si>
    <t>27.06.2018</t>
  </si>
  <si>
    <t>ScheduledCalled (Maintenance Order)</t>
  </si>
  <si>
    <t>28.06.2018</t>
  </si>
  <si>
    <t>6M- ME Fryer Zone (P15)</t>
  </si>
  <si>
    <t>29.06.2018</t>
  </si>
  <si>
    <t>30.06.2018</t>
  </si>
  <si>
    <t>01.07.2018</t>
  </si>
  <si>
    <t>03.07.2018</t>
  </si>
  <si>
    <t>04.07.2018</t>
  </si>
  <si>
    <t>05.07.2018</t>
  </si>
  <si>
    <t>06.07.2018</t>
  </si>
  <si>
    <t>07.07.2018</t>
  </si>
  <si>
    <t>08.07.2018</t>
  </si>
  <si>
    <t>10.07.2018</t>
  </si>
  <si>
    <t>1Y- EE Monitoring Zone (P16)</t>
  </si>
  <si>
    <t>11.07.2018</t>
  </si>
  <si>
    <t>12.07.2018</t>
  </si>
  <si>
    <t>ScheduledHold (Maintenance Order)</t>
  </si>
  <si>
    <t>13.07.2018</t>
  </si>
  <si>
    <t>14.07.2018</t>
  </si>
  <si>
    <t>15.07.2018</t>
  </si>
  <si>
    <t>16.07.2018</t>
  </si>
  <si>
    <t>17.07.2018</t>
  </si>
  <si>
    <t>18.07.2018</t>
  </si>
  <si>
    <t>19.07.2018</t>
  </si>
  <si>
    <t>21.07.2018</t>
  </si>
  <si>
    <t>22.07.2018</t>
  </si>
  <si>
    <t>24.07.2018</t>
  </si>
  <si>
    <t>25.07.2018</t>
  </si>
  <si>
    <t>26.07.2018</t>
  </si>
  <si>
    <t>27.07.2018</t>
  </si>
  <si>
    <t>28.07.2018</t>
  </si>
  <si>
    <t>29.07.2018</t>
  </si>
  <si>
    <t>30.07.2018</t>
  </si>
  <si>
    <t>31.07.2018</t>
  </si>
  <si>
    <t>01.08.2018</t>
  </si>
  <si>
    <t>02.08.2018</t>
  </si>
  <si>
    <t>03.08.2018</t>
  </si>
  <si>
    <t>04.08.2018</t>
  </si>
  <si>
    <t>05.08.2018</t>
  </si>
  <si>
    <t>07.08.2018</t>
  </si>
  <si>
    <t>08.08.2018</t>
  </si>
  <si>
    <t>09.08.2018</t>
  </si>
  <si>
    <t>10.08.2018</t>
  </si>
  <si>
    <t>11.08.2018</t>
  </si>
  <si>
    <t>12.08.2018</t>
  </si>
  <si>
    <t>14.08.2018</t>
  </si>
  <si>
    <t>15.08.2018</t>
  </si>
  <si>
    <t>16.08.2018</t>
  </si>
  <si>
    <t>17.08.2018</t>
  </si>
  <si>
    <t>18.08.2018</t>
  </si>
  <si>
    <t>19.08.2018</t>
  </si>
  <si>
    <t>20.08.2018</t>
  </si>
  <si>
    <t>21.08.2018</t>
  </si>
  <si>
    <t>22.08.2018</t>
  </si>
  <si>
    <t>23.08.2018</t>
  </si>
  <si>
    <t>24.08.2018</t>
  </si>
  <si>
    <t>25.08.2018</t>
  </si>
  <si>
    <t>26.08.2018</t>
  </si>
  <si>
    <t>27.08.2018</t>
  </si>
  <si>
    <t>28.08.2018</t>
  </si>
  <si>
    <t>29.08.2018</t>
  </si>
  <si>
    <t>30.08.2018</t>
  </si>
  <si>
    <t>01.09.2018</t>
  </si>
  <si>
    <t>02.09.2018</t>
  </si>
  <si>
    <t>04.09.2018</t>
  </si>
  <si>
    <t>05.09.2018</t>
  </si>
  <si>
    <t>06.09.2018</t>
  </si>
  <si>
    <t>07.09.2018</t>
  </si>
  <si>
    <t>08.09.2018</t>
  </si>
  <si>
    <t>09.09.2018</t>
  </si>
  <si>
    <t>1Y- ME Fryer Zone (P15)</t>
  </si>
  <si>
    <t>11.09.2018</t>
  </si>
  <si>
    <t>RestartHold (Maintenance Order)</t>
  </si>
  <si>
    <t>12.09.2018</t>
  </si>
  <si>
    <t>13.09.2018</t>
  </si>
  <si>
    <t>14.09.2018</t>
  </si>
  <si>
    <t>15.09.2018</t>
  </si>
  <si>
    <t>16.09.2018</t>
  </si>
  <si>
    <t>17.09.2018</t>
  </si>
  <si>
    <t>18.09.2018</t>
  </si>
  <si>
    <t>19.09.2018</t>
  </si>
  <si>
    <t>20.09.2018</t>
  </si>
  <si>
    <t>21.09.2018</t>
  </si>
  <si>
    <t>22.09.2018</t>
  </si>
  <si>
    <t>23.09.2018</t>
  </si>
  <si>
    <t>24.09.2018</t>
  </si>
  <si>
    <t>25.09.2018</t>
  </si>
  <si>
    <t>26.09.2018</t>
  </si>
  <si>
    <t>27.09.2018</t>
  </si>
  <si>
    <t>28.09.2018</t>
  </si>
  <si>
    <t>29.09.2018</t>
  </si>
  <si>
    <t>30.09.2018</t>
  </si>
  <si>
    <t>01.10.2018</t>
  </si>
  <si>
    <t>02.10.2018</t>
  </si>
  <si>
    <t>03.10.2018</t>
  </si>
  <si>
    <t>04.10.2018</t>
  </si>
  <si>
    <t>05.10.2018</t>
  </si>
  <si>
    <t>06.10.2018</t>
  </si>
  <si>
    <t>07.10.2018</t>
  </si>
  <si>
    <t>08.10.2018</t>
  </si>
  <si>
    <t>09.10.2018</t>
  </si>
  <si>
    <t>10.10.2018</t>
  </si>
  <si>
    <t>11.10.2018</t>
  </si>
  <si>
    <t>13.10.2018</t>
  </si>
  <si>
    <t>15.10.2018</t>
  </si>
  <si>
    <t>16.10.2018</t>
  </si>
  <si>
    <t>17.10.2018</t>
  </si>
  <si>
    <t>18.10.2018</t>
  </si>
  <si>
    <t>19.10.2018</t>
  </si>
  <si>
    <t>20.10.2018</t>
  </si>
  <si>
    <t>21.10.2018</t>
  </si>
  <si>
    <t>22.10.2018</t>
  </si>
  <si>
    <t>23.10.2018</t>
  </si>
  <si>
    <t>24.10.2018</t>
  </si>
  <si>
    <t>25.10.2018</t>
  </si>
  <si>
    <t>26.10.2018</t>
  </si>
  <si>
    <t>27.10.2018</t>
  </si>
  <si>
    <t>30.10.2018</t>
  </si>
  <si>
    <t>31.10.2018</t>
  </si>
  <si>
    <t>01.11.2018</t>
  </si>
  <si>
    <t>02.11.2018</t>
  </si>
  <si>
    <t>03.11.2018</t>
  </si>
  <si>
    <t>04.11.2018</t>
  </si>
  <si>
    <t>06.11.2018</t>
  </si>
  <si>
    <t>07.11.2018</t>
  </si>
  <si>
    <t>08.11.2018</t>
  </si>
  <si>
    <t>09.11.2018</t>
  </si>
  <si>
    <t>10.11.2018</t>
  </si>
  <si>
    <t>11.11.2018</t>
  </si>
  <si>
    <t>12.11.2018</t>
  </si>
  <si>
    <t>13.11.2018</t>
  </si>
  <si>
    <t>14.11.2018</t>
  </si>
  <si>
    <t>15.11.2018</t>
  </si>
  <si>
    <t>16.11.2018</t>
  </si>
  <si>
    <t>17.11.2018</t>
  </si>
  <si>
    <t>18.11.2018</t>
  </si>
  <si>
    <t>19.11.2018</t>
  </si>
  <si>
    <t>20.11.2018</t>
  </si>
  <si>
    <t>21.11.2018</t>
  </si>
  <si>
    <t>22.11.2018</t>
  </si>
  <si>
    <t>23.11.2018</t>
  </si>
  <si>
    <t>24.11.2018</t>
  </si>
  <si>
    <t>25.11.2018</t>
  </si>
  <si>
    <t>26.11.2018</t>
  </si>
  <si>
    <t>27.11.2018</t>
  </si>
  <si>
    <t>28.11.2018</t>
  </si>
  <si>
    <t>29.11.2018</t>
  </si>
  <si>
    <t>30.11.2018</t>
  </si>
  <si>
    <t>01.12.2018</t>
  </si>
  <si>
    <t>02.12.2018</t>
  </si>
  <si>
    <t>03.12.2018</t>
  </si>
  <si>
    <t>04.12.2018</t>
  </si>
  <si>
    <t>05.12.2018</t>
  </si>
  <si>
    <t>06.12.2018</t>
  </si>
  <si>
    <t>07.12.2018</t>
  </si>
  <si>
    <t>08.12.2018</t>
  </si>
  <si>
    <t>09.12.2018</t>
  </si>
  <si>
    <t>11.12.2018</t>
  </si>
  <si>
    <t>12.12.2018</t>
  </si>
  <si>
    <t>13.12.2018</t>
  </si>
  <si>
    <t>14.12.2018</t>
  </si>
  <si>
    <t>15.12.2018</t>
  </si>
  <si>
    <t>16.12.2018</t>
  </si>
  <si>
    <t>18.12.2018</t>
  </si>
  <si>
    <t>19.12.2018</t>
  </si>
  <si>
    <t>20.12.2018</t>
  </si>
  <si>
    <t>21.12.2018</t>
  </si>
  <si>
    <t>22.12.2018</t>
  </si>
  <si>
    <t>23.12.2018</t>
  </si>
  <si>
    <t>25.12.2018</t>
  </si>
  <si>
    <t>26.12.2018</t>
  </si>
  <si>
    <t>27.12.2018</t>
  </si>
  <si>
    <t>28.12.2018</t>
  </si>
  <si>
    <t>29.12.2018</t>
  </si>
  <si>
    <t>30.12.2018</t>
  </si>
  <si>
    <t>31.12.2018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</si>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</sst>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C50%20Y2018%20Statu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C50%20Y2018%20Confir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50 Y2018 Status"/>
    </sheetNames>
    <sheetDataSet>
      <sheetData sheetId="0">
        <row r="4">
          <cell r="D4" t="str">
            <v>Order</v>
          </cell>
          <cell r="E4" t="str">
            <v>Type</v>
          </cell>
          <cell r="F4" t="str">
            <v>Bsc start</v>
          </cell>
          <cell r="G4" t="str">
            <v>Description</v>
          </cell>
          <cell r="H4" t="str">
            <v>System status</v>
          </cell>
        </row>
        <row r="6">
          <cell r="D6">
            <v>4864303</v>
          </cell>
          <cell r="E6" t="str">
            <v>ZB02</v>
          </cell>
          <cell r="F6" t="str">
            <v>02.01.2018</v>
          </cell>
          <cell r="G6" t="str">
            <v>610000004051 &amp; P13-FL-ME</v>
          </cell>
          <cell r="H6" t="str">
            <v>CLSD PCNF NMAT PRC  SETC</v>
          </cell>
        </row>
        <row r="7">
          <cell r="D7">
            <v>4864318</v>
          </cell>
          <cell r="E7" t="str">
            <v>ZB02</v>
          </cell>
          <cell r="F7" t="str">
            <v>02.01.2018</v>
          </cell>
          <cell r="G7" t="str">
            <v>610000004021 &amp; P10-FI-ME</v>
          </cell>
          <cell r="H7" t="str">
            <v>CLSD PCNF NMAT PRC  SETC</v>
          </cell>
        </row>
        <row r="8">
          <cell r="D8">
            <v>4864392</v>
          </cell>
          <cell r="E8" t="str">
            <v>ZB02</v>
          </cell>
          <cell r="F8" t="str">
            <v>02.01.2018</v>
          </cell>
          <cell r="G8" t="str">
            <v>610000004031 &amp; P12-FI-ME</v>
          </cell>
          <cell r="H8" t="str">
            <v>CLSD PCNF NMAT PRC  SETC</v>
          </cell>
        </row>
        <row r="9">
          <cell r="D9">
            <v>4864363</v>
          </cell>
          <cell r="E9" t="str">
            <v>ZB02</v>
          </cell>
          <cell r="F9" t="str">
            <v>03.01.2018</v>
          </cell>
          <cell r="G9" t="str">
            <v>342258 &amp; P17-FI-ME2</v>
          </cell>
          <cell r="H9" t="str">
            <v>CLSD PCNF NMAT PRC  SETC</v>
          </cell>
        </row>
        <row r="10">
          <cell r="D10">
            <v>4857888</v>
          </cell>
          <cell r="E10" t="str">
            <v>ZB02</v>
          </cell>
          <cell r="F10" t="str">
            <v>04.01.2018</v>
          </cell>
          <cell r="G10" t="str">
            <v>342699 &amp; P17-YR-EE3</v>
          </cell>
          <cell r="H10" t="str">
            <v>TECO PCNF NMAT PRC  SETC</v>
          </cell>
        </row>
        <row r="11">
          <cell r="D11">
            <v>4860404</v>
          </cell>
          <cell r="E11" t="str">
            <v>ZB02</v>
          </cell>
          <cell r="F11" t="str">
            <v>04.01.2018</v>
          </cell>
          <cell r="G11" t="str">
            <v>343826 &amp; P16-HI-EE2</v>
          </cell>
          <cell r="H11" t="str">
            <v>TECO PCNF NMAT PRC  SETC</v>
          </cell>
        </row>
        <row r="12">
          <cell r="D12">
            <v>4865531</v>
          </cell>
          <cell r="E12" t="str">
            <v>ZB02</v>
          </cell>
          <cell r="F12" t="str">
            <v>04.01.2018</v>
          </cell>
          <cell r="G12" t="str">
            <v>610000004068 &amp; P15-WL-ME</v>
          </cell>
          <cell r="H12" t="str">
            <v>TECO PCNF NMAT PRC  SETC</v>
          </cell>
        </row>
        <row r="13">
          <cell r="D13">
            <v>4864872</v>
          </cell>
          <cell r="E13" t="str">
            <v>ZB02</v>
          </cell>
          <cell r="F13" t="str">
            <v>06.01.2018</v>
          </cell>
          <cell r="G13" t="str">
            <v>347638 &amp; P12-FI-ME2</v>
          </cell>
          <cell r="H13" t="str">
            <v>TECO PCNF NMAT PRC  SETC</v>
          </cell>
        </row>
        <row r="14">
          <cell r="D14">
            <v>4865557</v>
          </cell>
          <cell r="E14" t="str">
            <v>ZB02</v>
          </cell>
          <cell r="F14" t="str">
            <v>06.01.2018</v>
          </cell>
          <cell r="G14" t="str">
            <v>342257 &amp; P17-WC-ME</v>
          </cell>
          <cell r="H14" t="str">
            <v>TECO PCNF NMAT PRC  SETC</v>
          </cell>
        </row>
        <row r="15">
          <cell r="D15">
            <v>4866049</v>
          </cell>
          <cell r="E15" t="str">
            <v>ZB02</v>
          </cell>
          <cell r="F15" t="str">
            <v>06.01.2018</v>
          </cell>
          <cell r="G15" t="str">
            <v>347637 &amp; P12-WL-ME</v>
          </cell>
          <cell r="H15" t="str">
            <v>TECO PCNF NMAT PRC  SETC</v>
          </cell>
        </row>
        <row r="16">
          <cell r="D16">
            <v>4859491</v>
          </cell>
          <cell r="E16" t="str">
            <v>ZB02</v>
          </cell>
          <cell r="F16" t="str">
            <v>08.01.2018</v>
          </cell>
          <cell r="G16" t="str">
            <v>610000004023 &amp; P10-HR-ME</v>
          </cell>
          <cell r="H16" t="str">
            <v>TECO PCNF NMAT PRC  SETC</v>
          </cell>
        </row>
        <row r="17">
          <cell r="D17">
            <v>4864866</v>
          </cell>
          <cell r="E17" t="str">
            <v>ZB02</v>
          </cell>
          <cell r="F17" t="str">
            <v>08.01.2018</v>
          </cell>
          <cell r="G17" t="str">
            <v>&amp; P12-MC-EE2</v>
          </cell>
          <cell r="H17" t="str">
            <v>TECO PCNF NMAT PRC  SETC</v>
          </cell>
        </row>
        <row r="18">
          <cell r="D18">
            <v>4864873</v>
          </cell>
          <cell r="E18" t="str">
            <v>ZB02</v>
          </cell>
          <cell r="F18" t="str">
            <v>08.01.2018</v>
          </cell>
          <cell r="G18" t="str">
            <v>&amp; P12-MC-EE</v>
          </cell>
          <cell r="H18" t="str">
            <v>TECO PCNF NMAT PRC  SETC</v>
          </cell>
        </row>
        <row r="19">
          <cell r="D19">
            <v>4865528</v>
          </cell>
          <cell r="E19" t="str">
            <v>ZB02</v>
          </cell>
          <cell r="F19" t="str">
            <v>08.01.2018</v>
          </cell>
          <cell r="G19" t="str">
            <v>610000004165 &amp; P17-NC-EE</v>
          </cell>
          <cell r="H19" t="str">
            <v>TECO PCNF NMAT PRC  SETC</v>
          </cell>
        </row>
        <row r="20">
          <cell r="D20">
            <v>4865529</v>
          </cell>
          <cell r="E20" t="str">
            <v>ZB02</v>
          </cell>
          <cell r="F20" t="str">
            <v>08.01.2018</v>
          </cell>
          <cell r="G20" t="str">
            <v>610000004166 &amp; P17-NI-EE</v>
          </cell>
          <cell r="H20" t="str">
            <v>TECO PCNF NMAT PRC  SETC</v>
          </cell>
        </row>
        <row r="21">
          <cell r="D21">
            <v>4865575</v>
          </cell>
          <cell r="E21" t="str">
            <v>ZB02</v>
          </cell>
          <cell r="F21" t="str">
            <v>09.01.2018</v>
          </cell>
          <cell r="G21" t="str">
            <v>610000004175 &amp; P18-FI-EE3</v>
          </cell>
          <cell r="H21" t="str">
            <v>TECO PCNF NMAT PRC  SETC</v>
          </cell>
        </row>
        <row r="22">
          <cell r="D22">
            <v>4865608</v>
          </cell>
          <cell r="E22" t="str">
            <v>ZB02</v>
          </cell>
          <cell r="F22" t="str">
            <v>09.01.2018</v>
          </cell>
          <cell r="G22" t="str">
            <v>347639 &amp; P12-MI-ME2</v>
          </cell>
          <cell r="H22" t="str">
            <v>TECO PCNF NMAT PRC  SETC</v>
          </cell>
        </row>
        <row r="23">
          <cell r="D23">
            <v>4865552</v>
          </cell>
          <cell r="E23" t="str">
            <v>ZB02</v>
          </cell>
          <cell r="F23" t="str">
            <v>10.01.2018</v>
          </cell>
          <cell r="G23" t="str">
            <v>610000004177 &amp; P18-MC-EE</v>
          </cell>
          <cell r="H23" t="str">
            <v>TECO PCNF NMAT PRC  SETC</v>
          </cell>
        </row>
        <row r="24">
          <cell r="D24">
            <v>4865554</v>
          </cell>
          <cell r="E24" t="str">
            <v>ZB02</v>
          </cell>
          <cell r="F24" t="str">
            <v>10.01.2018</v>
          </cell>
          <cell r="G24" t="str">
            <v>610000004069 &amp; P15-FI-ME</v>
          </cell>
          <cell r="H24" t="str">
            <v>TECO PCNF NMAT PRC  SETC</v>
          </cell>
        </row>
        <row r="25">
          <cell r="D25">
            <v>4865561</v>
          </cell>
          <cell r="E25" t="str">
            <v>ZB02</v>
          </cell>
          <cell r="F25" t="str">
            <v>10.01.2018</v>
          </cell>
          <cell r="G25" t="str">
            <v>610000004070 &amp; P15-FL-ME</v>
          </cell>
          <cell r="H25" t="str">
            <v>TECO PCNF NMAT PRC  SETC</v>
          </cell>
        </row>
        <row r="26">
          <cell r="D26">
            <v>4862223</v>
          </cell>
          <cell r="E26" t="str">
            <v>ZB02</v>
          </cell>
          <cell r="F26" t="str">
            <v>11.01.2018</v>
          </cell>
          <cell r="G26" t="str">
            <v>342730 &amp; P16-HI-EE</v>
          </cell>
          <cell r="H26" t="str">
            <v>TECO PCNF NMAT PRC  SETC</v>
          </cell>
        </row>
        <row r="27">
          <cell r="D27">
            <v>4865551</v>
          </cell>
          <cell r="E27" t="str">
            <v>ZB02</v>
          </cell>
          <cell r="F27" t="str">
            <v>11.01.2018</v>
          </cell>
          <cell r="G27" t="str">
            <v>610000004146 &amp; P15-QI-EE</v>
          </cell>
          <cell r="H27" t="str">
            <v>TECO PCNF NMAT PRC  SETC</v>
          </cell>
        </row>
        <row r="28">
          <cell r="D28">
            <v>4865564</v>
          </cell>
          <cell r="E28" t="str">
            <v>ZB02</v>
          </cell>
          <cell r="F28" t="str">
            <v>11.01.2018</v>
          </cell>
          <cell r="G28" t="str">
            <v>610000004095 &amp; P10-MC-EE</v>
          </cell>
          <cell r="H28" t="str">
            <v>TECO PCNF NMAT PRC  SETC</v>
          </cell>
        </row>
        <row r="29">
          <cell r="D29">
            <v>4865565</v>
          </cell>
          <cell r="E29" t="str">
            <v>ZB02</v>
          </cell>
          <cell r="F29" t="str">
            <v>11.01.2018</v>
          </cell>
          <cell r="G29" t="str">
            <v>610000004156 &amp; P16-QI-EE</v>
          </cell>
          <cell r="H29" t="str">
            <v>TECO PCNF NMAT PRC  SETC</v>
          </cell>
        </row>
        <row r="30">
          <cell r="D30">
            <v>4865566</v>
          </cell>
          <cell r="E30" t="str">
            <v>ZB02</v>
          </cell>
          <cell r="F30" t="str">
            <v>11.01.2018</v>
          </cell>
          <cell r="G30" t="str">
            <v>610000004163 &amp; P17-MC-EE</v>
          </cell>
          <cell r="H30" t="str">
            <v>TECO PCNF NMAT PRC  SETC</v>
          </cell>
        </row>
        <row r="31">
          <cell r="D31">
            <v>4865969</v>
          </cell>
          <cell r="E31" t="str">
            <v>ZB02</v>
          </cell>
          <cell r="F31" t="str">
            <v>11.01.2018</v>
          </cell>
          <cell r="G31" t="str">
            <v>610000004085 &amp; P17-FL-ME</v>
          </cell>
          <cell r="H31" t="str">
            <v>TECO PCNF NMAT PRC  SETC</v>
          </cell>
        </row>
        <row r="32">
          <cell r="D32">
            <v>4865995</v>
          </cell>
          <cell r="E32" t="str">
            <v>ZB02</v>
          </cell>
          <cell r="F32" t="str">
            <v>11.01.2018</v>
          </cell>
          <cell r="G32" t="str">
            <v>610000004077 &amp; P16-FL-ME</v>
          </cell>
          <cell r="H32" t="str">
            <v>TECO PCNF NMAT PRC  SETC</v>
          </cell>
        </row>
        <row r="33">
          <cell r="D33">
            <v>4866024</v>
          </cell>
          <cell r="E33" t="str">
            <v>ZB02</v>
          </cell>
          <cell r="F33" t="str">
            <v>11.01.2018</v>
          </cell>
          <cell r="G33" t="str">
            <v>610000004086 &amp; P17-FI-ME</v>
          </cell>
          <cell r="H33" t="str">
            <v>TECO PCNF NMAT PRC  SETC</v>
          </cell>
        </row>
        <row r="34">
          <cell r="D34">
            <v>4866823</v>
          </cell>
          <cell r="E34" t="str">
            <v>ZB02</v>
          </cell>
          <cell r="F34" t="str">
            <v>11.01.2018</v>
          </cell>
          <cell r="G34" t="str">
            <v>610000004068 &amp; P15-WL-ME</v>
          </cell>
          <cell r="H34" t="str">
            <v>TECO PCNF NMAT PRC  SETC</v>
          </cell>
        </row>
        <row r="35">
          <cell r="D35">
            <v>4865948</v>
          </cell>
          <cell r="E35" t="str">
            <v>ZB02</v>
          </cell>
          <cell r="F35" t="str">
            <v>12.01.2018</v>
          </cell>
          <cell r="G35" t="str">
            <v>610000004091 &amp; P18-FL-ME</v>
          </cell>
          <cell r="H35" t="str">
            <v>TECO PCNF NMAT PRC  SETC</v>
          </cell>
        </row>
        <row r="36">
          <cell r="D36">
            <v>4865949</v>
          </cell>
          <cell r="E36" t="str">
            <v>ZB02</v>
          </cell>
          <cell r="F36" t="str">
            <v>12.01.2018</v>
          </cell>
          <cell r="G36" t="str">
            <v>610000004161 &amp; P17-FC-EE</v>
          </cell>
          <cell r="H36" t="str">
            <v>TECO PCNF NMAT PRC  SETC</v>
          </cell>
        </row>
        <row r="37">
          <cell r="D37">
            <v>4865964</v>
          </cell>
          <cell r="E37" t="str">
            <v>ZB02</v>
          </cell>
          <cell r="F37" t="str">
            <v>12.01.2018</v>
          </cell>
          <cell r="G37" t="str">
            <v>610000004025 &amp; P11-FL-ME</v>
          </cell>
          <cell r="H37" t="str">
            <v>TECO PCNF NMAT PRC  SETC</v>
          </cell>
        </row>
        <row r="38">
          <cell r="D38">
            <v>4866004</v>
          </cell>
          <cell r="E38" t="str">
            <v>ZB02</v>
          </cell>
          <cell r="F38" t="str">
            <v>12.01.2018</v>
          </cell>
          <cell r="G38" t="str">
            <v>610000004052 &amp; P13-MC-ME</v>
          </cell>
          <cell r="H38" t="str">
            <v>TECO PCNF NMAT PRC  SETC</v>
          </cell>
        </row>
        <row r="39">
          <cell r="D39">
            <v>4866837</v>
          </cell>
          <cell r="E39" t="str">
            <v>ZB02</v>
          </cell>
          <cell r="F39" t="str">
            <v>13.01.2018</v>
          </cell>
          <cell r="G39" t="str">
            <v>342257 &amp; P17-WC-ME</v>
          </cell>
          <cell r="H39" t="str">
            <v>TECO PCNF NMAT PRC  SETC</v>
          </cell>
        </row>
        <row r="40">
          <cell r="D40">
            <v>4867670</v>
          </cell>
          <cell r="E40" t="str">
            <v>ZB02</v>
          </cell>
          <cell r="F40" t="str">
            <v>13.01.2018</v>
          </cell>
          <cell r="G40" t="str">
            <v>347637 &amp; P12-WL-ME</v>
          </cell>
          <cell r="H40" t="str">
            <v>TECO PCNF NMAT PRC  SETC</v>
          </cell>
        </row>
        <row r="41">
          <cell r="D41">
            <v>4865982</v>
          </cell>
          <cell r="E41" t="str">
            <v>ZB02</v>
          </cell>
          <cell r="F41" t="str">
            <v>14.01.2018</v>
          </cell>
          <cell r="G41" t="str">
            <v>610000004050 &amp; P13-FC-ME</v>
          </cell>
          <cell r="H41" t="str">
            <v>TECO PCNF NMAT PRC  SETC</v>
          </cell>
        </row>
        <row r="42">
          <cell r="D42">
            <v>4863333</v>
          </cell>
          <cell r="E42" t="str">
            <v>ZB02</v>
          </cell>
          <cell r="F42" t="str">
            <v>15.01.2018</v>
          </cell>
          <cell r="G42" t="str">
            <v>610000004109 &amp; P11-HR-EE</v>
          </cell>
          <cell r="H42" t="str">
            <v>TECO PCNF NMAT PRC  SETC</v>
          </cell>
        </row>
        <row r="43">
          <cell r="D43">
            <v>4866014</v>
          </cell>
          <cell r="E43" t="str">
            <v>ZB02</v>
          </cell>
          <cell r="F43" t="str">
            <v>15.01.2018</v>
          </cell>
          <cell r="G43" t="str">
            <v>610000004101 &amp; P11-NI-EE2</v>
          </cell>
          <cell r="H43" t="str">
            <v>TECO PCNF NMAT PRC  SETC</v>
          </cell>
        </row>
        <row r="44">
          <cell r="D44">
            <v>4866029</v>
          </cell>
          <cell r="E44" t="str">
            <v>ZB02</v>
          </cell>
          <cell r="F44" t="str">
            <v>15.01.2018</v>
          </cell>
          <cell r="G44" t="str">
            <v>610000004121 &amp; P13-NI-EE2</v>
          </cell>
          <cell r="H44" t="str">
            <v>TECO PCNF NMAT PRC  SETC</v>
          </cell>
        </row>
        <row r="45">
          <cell r="D45">
            <v>4866829</v>
          </cell>
          <cell r="E45" t="str">
            <v>ZB02</v>
          </cell>
          <cell r="F45" t="str">
            <v>15.01.2018</v>
          </cell>
          <cell r="G45" t="str">
            <v>610000004153 &amp; P16-NC-EE</v>
          </cell>
          <cell r="H45" t="str">
            <v>TECO PCNF NMAT PRC  SETC</v>
          </cell>
        </row>
        <row r="46">
          <cell r="D46">
            <v>4866866</v>
          </cell>
          <cell r="E46" t="str">
            <v>ZB02</v>
          </cell>
          <cell r="F46" t="str">
            <v>15.01.2018</v>
          </cell>
          <cell r="G46" t="str">
            <v>610000004143 &amp; P15-NC-EE</v>
          </cell>
          <cell r="H46" t="str">
            <v>TECO PCNF NMAT PRC  SETC</v>
          </cell>
        </row>
        <row r="47">
          <cell r="D47">
            <v>4863314</v>
          </cell>
          <cell r="E47" t="str">
            <v>ZB02</v>
          </cell>
          <cell r="F47" t="str">
            <v>16.01.2018</v>
          </cell>
          <cell r="G47" t="str">
            <v>610000004149 &amp; P15-HR-EE</v>
          </cell>
          <cell r="H47" t="str">
            <v>TECO PCNF NMAT PRC  SETC</v>
          </cell>
        </row>
        <row r="48">
          <cell r="D48">
            <v>4866822</v>
          </cell>
          <cell r="E48" t="str">
            <v>ZB02</v>
          </cell>
          <cell r="F48" t="str">
            <v>16.01.2018</v>
          </cell>
          <cell r="G48" t="str">
            <v>610000004051 &amp; P13-FL-ME</v>
          </cell>
          <cell r="H48" t="str">
            <v>TECO PCNF NMAT PRC  SETC</v>
          </cell>
        </row>
        <row r="49">
          <cell r="D49">
            <v>4866826</v>
          </cell>
          <cell r="E49" t="str">
            <v>ZB02</v>
          </cell>
          <cell r="F49" t="str">
            <v>16.01.2018</v>
          </cell>
          <cell r="G49" t="str">
            <v>610000004021 &amp; P10-FI-ME</v>
          </cell>
          <cell r="H49" t="str">
            <v>TECO PCNF NMAT PRC  SETC</v>
          </cell>
        </row>
        <row r="50">
          <cell r="D50">
            <v>4866870</v>
          </cell>
          <cell r="E50" t="str">
            <v>ZB02</v>
          </cell>
          <cell r="F50" t="str">
            <v>16.01.2018</v>
          </cell>
          <cell r="G50" t="str">
            <v>610000004031 &amp; P12-FI-ME</v>
          </cell>
          <cell r="H50" t="str">
            <v>TECO PCNF NMAT PRC  SETC</v>
          </cell>
        </row>
        <row r="51">
          <cell r="D51">
            <v>4867647</v>
          </cell>
          <cell r="E51" t="str">
            <v>ZB02</v>
          </cell>
          <cell r="F51" t="str">
            <v>16.01.2018</v>
          </cell>
          <cell r="G51" t="str">
            <v>610000004178 &amp; P18-NC-EE</v>
          </cell>
          <cell r="H51" t="str">
            <v>TECO PCNF NMAT PRC  SETC</v>
          </cell>
        </row>
        <row r="52">
          <cell r="D52">
            <v>4866821</v>
          </cell>
          <cell r="E52" t="str">
            <v>ZB02</v>
          </cell>
          <cell r="F52" t="str">
            <v>17.01.2018</v>
          </cell>
          <cell r="G52" t="str">
            <v>610000004128 &amp; P14-NI-EE2</v>
          </cell>
          <cell r="H52" t="str">
            <v>TECO PCNF NMAT PRC  SETC</v>
          </cell>
        </row>
        <row r="53">
          <cell r="D53">
            <v>4866843</v>
          </cell>
          <cell r="E53" t="str">
            <v>ZB02</v>
          </cell>
          <cell r="F53" t="str">
            <v>17.01.2018</v>
          </cell>
          <cell r="G53" t="str">
            <v>342258 &amp; P17-FI-ME2</v>
          </cell>
          <cell r="H53" t="str">
            <v>TECO PCNF NMAT PRC  SETC</v>
          </cell>
        </row>
        <row r="54">
          <cell r="D54">
            <v>4866867</v>
          </cell>
          <cell r="E54" t="str">
            <v>ZB02</v>
          </cell>
          <cell r="F54" t="str">
            <v>17.01.2018</v>
          </cell>
          <cell r="G54" t="str">
            <v>610000004151 &amp; P16-NI-EE2</v>
          </cell>
          <cell r="H54" t="str">
            <v>TECO PCNF NMAT PRC  SETC</v>
          </cell>
        </row>
        <row r="55">
          <cell r="D55">
            <v>4866874</v>
          </cell>
          <cell r="E55" t="str">
            <v>ZB02</v>
          </cell>
          <cell r="F55" t="str">
            <v>17.01.2018</v>
          </cell>
          <cell r="G55" t="str">
            <v>610000004142 &amp; P15-NI-EE2</v>
          </cell>
          <cell r="H55" t="str">
            <v>TECO PCNF NMAT PRC  SETC</v>
          </cell>
        </row>
        <row r="56">
          <cell r="D56">
            <v>4868884</v>
          </cell>
          <cell r="E56" t="str">
            <v>ZB02</v>
          </cell>
          <cell r="F56" t="str">
            <v>18.01.2018</v>
          </cell>
          <cell r="G56" t="str">
            <v>610000004068 &amp; P15-WL-ME</v>
          </cell>
          <cell r="H56" t="str">
            <v>TECO PCNF NMAT PRC  SETC</v>
          </cell>
        </row>
        <row r="57">
          <cell r="D57">
            <v>4867542</v>
          </cell>
          <cell r="E57" t="str">
            <v>ZB02</v>
          </cell>
          <cell r="F57" t="str">
            <v>19.01.2018</v>
          </cell>
          <cell r="G57" t="str">
            <v>610000004032 &amp; P12-ML-ME</v>
          </cell>
          <cell r="H57" t="str">
            <v>TECO PCNF NMAT PRC  SETC</v>
          </cell>
        </row>
        <row r="58">
          <cell r="D58">
            <v>4867652</v>
          </cell>
          <cell r="E58" t="str">
            <v>ZB02</v>
          </cell>
          <cell r="F58" t="str">
            <v>19.01.2018</v>
          </cell>
          <cell r="G58" t="str">
            <v>342279 &amp; P14-ML-ME2</v>
          </cell>
          <cell r="H58" t="str">
            <v>TECO PCNF NMAT PRC  SETC</v>
          </cell>
        </row>
        <row r="59">
          <cell r="D59">
            <v>4867651</v>
          </cell>
          <cell r="E59" t="str">
            <v>ZB02</v>
          </cell>
          <cell r="F59" t="str">
            <v>20.01.2018</v>
          </cell>
          <cell r="G59" t="str">
            <v>610000004102 &amp; P11-MC-EE</v>
          </cell>
          <cell r="H59" t="str">
            <v>TECO PCNF NMAT PRC  SETC</v>
          </cell>
        </row>
        <row r="60">
          <cell r="D60">
            <v>4867662</v>
          </cell>
          <cell r="E60" t="str">
            <v>ZB02</v>
          </cell>
          <cell r="F60" t="str">
            <v>20.01.2018</v>
          </cell>
          <cell r="G60" t="str">
            <v>610000004129 &amp; P14-MC-EE</v>
          </cell>
          <cell r="H60" t="str">
            <v>TECO PCNF NMAT PRC  SETC</v>
          </cell>
        </row>
        <row r="61">
          <cell r="D61">
            <v>4867673</v>
          </cell>
          <cell r="E61" t="str">
            <v>ZB02</v>
          </cell>
          <cell r="F61" t="str">
            <v>20.01.2018</v>
          </cell>
          <cell r="G61" t="str">
            <v>347638 &amp; P12-FI-ME2</v>
          </cell>
          <cell r="H61" t="str">
            <v>TECO PCNF NMAT PRC  SETC</v>
          </cell>
        </row>
        <row r="62">
          <cell r="D62">
            <v>4868906</v>
          </cell>
          <cell r="E62" t="str">
            <v>ZB02</v>
          </cell>
          <cell r="F62" t="str">
            <v>20.01.2018</v>
          </cell>
          <cell r="G62" t="str">
            <v>342257 &amp; P17-WC-ME</v>
          </cell>
          <cell r="H62" t="str">
            <v>TECO PCNF NMAT PRC  SETC</v>
          </cell>
        </row>
        <row r="63">
          <cell r="D63">
            <v>4869968</v>
          </cell>
          <cell r="E63" t="str">
            <v>ZB02</v>
          </cell>
          <cell r="F63" t="str">
            <v>20.01.2018</v>
          </cell>
          <cell r="G63" t="str">
            <v>347637 &amp; P12-WL-ME</v>
          </cell>
          <cell r="H63" t="str">
            <v>TECO PCNF NMAT PRC  SETC</v>
          </cell>
        </row>
        <row r="64">
          <cell r="D64">
            <v>4867541</v>
          </cell>
          <cell r="E64" t="str">
            <v>ZB02</v>
          </cell>
          <cell r="F64" t="str">
            <v>21.01.2018</v>
          </cell>
          <cell r="G64" t="str">
            <v>610000004028 &amp; P11-MV-ME</v>
          </cell>
          <cell r="H64" t="str">
            <v>TECO PCNF NMAT PRC  SETC</v>
          </cell>
        </row>
        <row r="65">
          <cell r="D65">
            <v>4867547</v>
          </cell>
          <cell r="E65" t="str">
            <v>ZB02</v>
          </cell>
          <cell r="F65" t="str">
            <v>21.01.2018</v>
          </cell>
          <cell r="G65" t="str">
            <v>610000004078 &amp; P16-MC-ME</v>
          </cell>
          <cell r="H65" t="str">
            <v>TECO PCNF NMAT PRC  SETC</v>
          </cell>
        </row>
        <row r="66">
          <cell r="D66">
            <v>4867563</v>
          </cell>
          <cell r="E66" t="str">
            <v>ZB02</v>
          </cell>
          <cell r="F66" t="str">
            <v>21.01.2018</v>
          </cell>
          <cell r="G66" t="str">
            <v>610000004061 &amp; P14-MI-ME</v>
          </cell>
          <cell r="H66" t="str">
            <v>TECO PCNF NMAT PRC  SETC</v>
          </cell>
        </row>
        <row r="67">
          <cell r="D67">
            <v>4867564</v>
          </cell>
          <cell r="E67" t="str">
            <v>ZB02</v>
          </cell>
          <cell r="F67" t="str">
            <v>21.01.2018</v>
          </cell>
          <cell r="G67" t="str">
            <v>610000004064 &amp; P14-MC-ME</v>
          </cell>
          <cell r="H67" t="str">
            <v>TECO PCNF NMAT PRC  SETC</v>
          </cell>
        </row>
        <row r="68">
          <cell r="D68">
            <v>4867574</v>
          </cell>
          <cell r="E68" t="str">
            <v>ZB02</v>
          </cell>
          <cell r="F68" t="str">
            <v>21.01.2018</v>
          </cell>
          <cell r="G68" t="str">
            <v>610000004072 &amp; P15-MV-ME</v>
          </cell>
          <cell r="H68" t="str">
            <v>TECO PCNF NMAT PRC  SETC</v>
          </cell>
        </row>
        <row r="69">
          <cell r="D69">
            <v>4867575</v>
          </cell>
          <cell r="E69" t="str">
            <v>ZB02</v>
          </cell>
          <cell r="F69" t="str">
            <v>21.01.2018</v>
          </cell>
          <cell r="G69" t="str">
            <v>610000004073 &amp; P15-ML-ME</v>
          </cell>
          <cell r="H69" t="str">
            <v>TECO PCNF NMAT PRC  SETC</v>
          </cell>
        </row>
        <row r="70">
          <cell r="D70">
            <v>4867582</v>
          </cell>
          <cell r="E70" t="str">
            <v>ZB02</v>
          </cell>
          <cell r="F70" t="str">
            <v>21.01.2018</v>
          </cell>
          <cell r="G70" t="str">
            <v>610000004088 &amp; P17-MR-ME</v>
          </cell>
          <cell r="H70" t="str">
            <v>TECO PCNF NMAT PRC  SETC</v>
          </cell>
        </row>
        <row r="71">
          <cell r="D71">
            <v>4867593</v>
          </cell>
          <cell r="E71" t="str">
            <v>ZB02</v>
          </cell>
          <cell r="F71" t="str">
            <v>21.01.2018</v>
          </cell>
          <cell r="G71" t="str">
            <v>610000004062 &amp; P14-ML-ME</v>
          </cell>
          <cell r="H71" t="str">
            <v>TECO PCNF NMAT PRC  SETC</v>
          </cell>
        </row>
        <row r="72">
          <cell r="D72">
            <v>4867608</v>
          </cell>
          <cell r="E72" t="str">
            <v>ZB02</v>
          </cell>
          <cell r="F72" t="str">
            <v>21.01.2018</v>
          </cell>
          <cell r="G72" t="str">
            <v>610000004087 &amp; P17-MI-ME</v>
          </cell>
          <cell r="H72" t="str">
            <v>TECO PCNF NMAT PRC  SETC</v>
          </cell>
        </row>
        <row r="73">
          <cell r="D73">
            <v>4867618</v>
          </cell>
          <cell r="E73" t="str">
            <v>ZB02</v>
          </cell>
          <cell r="F73" t="str">
            <v>21.01.2018</v>
          </cell>
          <cell r="G73" t="str">
            <v>610000004063 &amp; P14-MV-ME</v>
          </cell>
          <cell r="H73" t="str">
            <v>TECO PCNF NMAT PRC  SETC</v>
          </cell>
        </row>
        <row r="74">
          <cell r="D74">
            <v>4867622</v>
          </cell>
          <cell r="E74" t="str">
            <v>ZB02</v>
          </cell>
          <cell r="F74" t="str">
            <v>21.01.2018</v>
          </cell>
          <cell r="G74" t="str">
            <v>610000004071 &amp; P15-MI-ME</v>
          </cell>
          <cell r="H74" t="str">
            <v>TECO PCNF NMAT PRC  SETC</v>
          </cell>
        </row>
        <row r="75">
          <cell r="D75">
            <v>4867626</v>
          </cell>
          <cell r="E75" t="str">
            <v>ZB02</v>
          </cell>
          <cell r="F75" t="str">
            <v>21.01.2018</v>
          </cell>
          <cell r="G75" t="str">
            <v>610000004022 &amp; P10-ML-ME</v>
          </cell>
          <cell r="H75" t="str">
            <v>TECO PCNF NMAT PRC  SETC</v>
          </cell>
        </row>
        <row r="76">
          <cell r="D76">
            <v>4867627</v>
          </cell>
          <cell r="E76" t="str">
            <v>ZB02</v>
          </cell>
          <cell r="F76" t="str">
            <v>21.01.2018</v>
          </cell>
          <cell r="G76" t="str">
            <v>610000004033 &amp; P12-MI-ME</v>
          </cell>
          <cell r="H76" t="str">
            <v>TECO PCNF NMAT PRC  SETC</v>
          </cell>
        </row>
        <row r="77">
          <cell r="D77">
            <v>4867653</v>
          </cell>
          <cell r="E77" t="str">
            <v>ZB02</v>
          </cell>
          <cell r="F77" t="str">
            <v>21.01.2018</v>
          </cell>
          <cell r="G77" t="str">
            <v>610000004026 &amp; P11-MI-ME</v>
          </cell>
          <cell r="H77" t="str">
            <v>TECO PCNF NMAT PRC  SETC</v>
          </cell>
        </row>
        <row r="78">
          <cell r="D78">
            <v>4867661</v>
          </cell>
          <cell r="E78" t="str">
            <v>ZB02</v>
          </cell>
          <cell r="F78" t="str">
            <v>21.01.2018</v>
          </cell>
          <cell r="G78" t="str">
            <v>610000004092 &amp; P18-MI-ME</v>
          </cell>
          <cell r="H78" t="str">
            <v>TECO PCNF NMAT PRC  SETC</v>
          </cell>
        </row>
        <row r="79">
          <cell r="D79">
            <v>4867664</v>
          </cell>
          <cell r="E79" t="str">
            <v>ZB02</v>
          </cell>
          <cell r="F79" t="str">
            <v>21.01.2018</v>
          </cell>
          <cell r="G79" t="str">
            <v>342694 &amp; P12-MC-ME2</v>
          </cell>
          <cell r="H79" t="str">
            <v>TECO PCNF NMAT PRC  SETC</v>
          </cell>
        </row>
        <row r="80">
          <cell r="D80">
            <v>4864724</v>
          </cell>
          <cell r="E80" t="str">
            <v>ZB02</v>
          </cell>
          <cell r="F80" t="str">
            <v>22.01.2018</v>
          </cell>
          <cell r="G80" t="str">
            <v>610000004090 &amp; P17-HL-ME</v>
          </cell>
          <cell r="H80" t="str">
            <v>TECO PCNF NMAT PRC  SETC</v>
          </cell>
        </row>
        <row r="81">
          <cell r="D81">
            <v>4863287</v>
          </cell>
          <cell r="E81" t="str">
            <v>ZB02</v>
          </cell>
          <cell r="F81" t="str">
            <v>23.01.2018</v>
          </cell>
          <cell r="G81" t="str">
            <v>610000004049 &amp; P12-HR-ME4</v>
          </cell>
          <cell r="H81" t="str">
            <v>TECO PCNF NMAT PRC  SETC</v>
          </cell>
        </row>
        <row r="82">
          <cell r="D82">
            <v>4863388</v>
          </cell>
          <cell r="E82" t="str">
            <v>ZB02</v>
          </cell>
          <cell r="F82" t="str">
            <v>23.01.2018</v>
          </cell>
          <cell r="G82" t="str">
            <v>342700 &amp; P17-YR-EE4</v>
          </cell>
          <cell r="H82" t="str">
            <v>TECO PCNF NMAT PRC  SETC</v>
          </cell>
        </row>
        <row r="83">
          <cell r="D83">
            <v>4864860</v>
          </cell>
          <cell r="E83" t="str">
            <v>ZB02</v>
          </cell>
          <cell r="F83" t="str">
            <v>23.01.2018</v>
          </cell>
          <cell r="G83" t="str">
            <v>342741 &amp; P17-HCB-EE</v>
          </cell>
          <cell r="H83" t="str">
            <v>TECO PCNF NMAT PRC  SETC</v>
          </cell>
        </row>
        <row r="84">
          <cell r="D84">
            <v>4865614</v>
          </cell>
          <cell r="E84" t="str">
            <v>ZB02</v>
          </cell>
          <cell r="F84" t="str">
            <v>23.01.2018</v>
          </cell>
          <cell r="G84" t="str">
            <v>347679 &amp; P12-NCB-EE</v>
          </cell>
          <cell r="H84" t="str">
            <v>TECO PCNF NMAT PRC  SETC</v>
          </cell>
        </row>
        <row r="85">
          <cell r="D85">
            <v>4868935</v>
          </cell>
          <cell r="E85" t="str">
            <v>ZB02</v>
          </cell>
          <cell r="F85" t="str">
            <v>23.01.2018</v>
          </cell>
          <cell r="G85" t="str">
            <v>610000004175 &amp; P18-FI-EE3</v>
          </cell>
          <cell r="H85" t="str">
            <v>TECO PCNF NMAT PRC  SETC</v>
          </cell>
        </row>
        <row r="86">
          <cell r="D86">
            <v>4868951</v>
          </cell>
          <cell r="E86" t="str">
            <v>ZB02</v>
          </cell>
          <cell r="F86" t="str">
            <v>23.01.2018</v>
          </cell>
          <cell r="G86" t="str">
            <v>610000004162 &amp; P17-MI-EE</v>
          </cell>
          <cell r="H86" t="str">
            <v>TECO PCNF NMAT PRC  SETC</v>
          </cell>
        </row>
        <row r="87">
          <cell r="D87">
            <v>4868965</v>
          </cell>
          <cell r="E87" t="str">
            <v>ZB02</v>
          </cell>
          <cell r="F87" t="str">
            <v>23.01.2018</v>
          </cell>
          <cell r="G87" t="str">
            <v>347678 &amp; P12-MI-EE</v>
          </cell>
          <cell r="H87" t="str">
            <v>TECO PCNF NMAT PRC  SETC</v>
          </cell>
        </row>
        <row r="88">
          <cell r="D88">
            <v>4863394</v>
          </cell>
          <cell r="E88" t="str">
            <v>ZB02</v>
          </cell>
          <cell r="F88" t="str">
            <v>24.01.2018</v>
          </cell>
          <cell r="G88" t="str">
            <v>344810 &amp; P14-YCB-EE2</v>
          </cell>
          <cell r="H88" t="str">
            <v>TECO PCNF NMAT PRC  SETC</v>
          </cell>
        </row>
        <row r="89">
          <cell r="D89">
            <v>4868897</v>
          </cell>
          <cell r="E89" t="str">
            <v>ZB02</v>
          </cell>
          <cell r="F89" t="str">
            <v>24.01.2018</v>
          </cell>
          <cell r="G89" t="str">
            <v>610000004069 &amp; P15-FI-ME</v>
          </cell>
          <cell r="H89" t="str">
            <v>TECO PCNF NMAT PRC  SETC</v>
          </cell>
        </row>
        <row r="90">
          <cell r="D90">
            <v>4868915</v>
          </cell>
          <cell r="E90" t="str">
            <v>ZB02</v>
          </cell>
          <cell r="F90" t="str">
            <v>24.01.2018</v>
          </cell>
          <cell r="G90" t="str">
            <v>610000004070 &amp; P15-FL-ME</v>
          </cell>
          <cell r="H90" t="str">
            <v>TECO PCNF NMAT PRC  SETC</v>
          </cell>
        </row>
        <row r="91">
          <cell r="D91">
            <v>4868954</v>
          </cell>
          <cell r="E91" t="str">
            <v>ZB02</v>
          </cell>
          <cell r="F91" t="str">
            <v>24.01.2018</v>
          </cell>
          <cell r="G91" t="str">
            <v>610000004027 &amp; P11-ML-ME</v>
          </cell>
          <cell r="H91" t="str">
            <v>TECO PCNF NMAT PRC  SETC</v>
          </cell>
        </row>
        <row r="92">
          <cell r="D92">
            <v>4868956</v>
          </cell>
          <cell r="E92" t="str">
            <v>ZB02</v>
          </cell>
          <cell r="F92" t="str">
            <v>25.01.2018</v>
          </cell>
          <cell r="G92" t="str">
            <v>342586 &amp; P16-MCB-EE</v>
          </cell>
          <cell r="H92" t="str">
            <v>TECO PCNF NMAT PRC  SETC</v>
          </cell>
        </row>
        <row r="93">
          <cell r="D93">
            <v>4869790</v>
          </cell>
          <cell r="E93" t="str">
            <v>ZB02</v>
          </cell>
          <cell r="F93" t="str">
            <v>25.01.2018</v>
          </cell>
          <cell r="G93" t="str">
            <v>610000004085 &amp; P17-FL-ME</v>
          </cell>
          <cell r="H93" t="str">
            <v>TECO PCNF NMAT PRC  SETC</v>
          </cell>
        </row>
        <row r="94">
          <cell r="D94">
            <v>4869861</v>
          </cell>
          <cell r="E94" t="str">
            <v>ZB02</v>
          </cell>
          <cell r="F94" t="str">
            <v>25.01.2018</v>
          </cell>
          <cell r="G94" t="str">
            <v>610000004077 &amp; P16-FL-ME</v>
          </cell>
          <cell r="H94" t="str">
            <v>TECO PCNF NMAT PRC  SETC</v>
          </cell>
        </row>
        <row r="95">
          <cell r="D95">
            <v>4869923</v>
          </cell>
          <cell r="E95" t="str">
            <v>ZB02</v>
          </cell>
          <cell r="F95" t="str">
            <v>25.01.2018</v>
          </cell>
          <cell r="G95" t="str">
            <v>610000004086 &amp; P17-FI-ME</v>
          </cell>
          <cell r="H95" t="str">
            <v>TECO PCNF NMAT PRC  SETC</v>
          </cell>
        </row>
        <row r="96">
          <cell r="D96">
            <v>4871014</v>
          </cell>
          <cell r="E96" t="str">
            <v>ZB02</v>
          </cell>
          <cell r="F96" t="str">
            <v>25.01.2018</v>
          </cell>
          <cell r="G96" t="str">
            <v>610000004068 &amp; P15-WL-ME</v>
          </cell>
          <cell r="H96" t="str">
            <v>TECO PCNF NMAT PRC  SETC</v>
          </cell>
        </row>
        <row r="97">
          <cell r="D97">
            <v>4869736</v>
          </cell>
          <cell r="E97" t="str">
            <v>ZB02</v>
          </cell>
          <cell r="F97" t="str">
            <v>26.01.2018</v>
          </cell>
          <cell r="G97" t="str">
            <v>610000004091 &amp; P18-FL-ME</v>
          </cell>
          <cell r="H97" t="str">
            <v>TECO PCNF NMAT PRC  SETC</v>
          </cell>
        </row>
        <row r="98">
          <cell r="D98">
            <v>4869746</v>
          </cell>
          <cell r="E98" t="str">
            <v>ZB02</v>
          </cell>
          <cell r="F98" t="str">
            <v>26.01.2018</v>
          </cell>
          <cell r="G98" t="str">
            <v>610000004161 &amp; P17-FC-EE</v>
          </cell>
          <cell r="H98" t="str">
            <v>TECO PCNF NMAT PRC  SETC</v>
          </cell>
        </row>
        <row r="99">
          <cell r="D99">
            <v>4869768</v>
          </cell>
          <cell r="E99" t="str">
            <v>ZB02</v>
          </cell>
          <cell r="F99" t="str">
            <v>26.01.2018</v>
          </cell>
          <cell r="G99" t="str">
            <v>610000004025 &amp; P11-FL-ME</v>
          </cell>
          <cell r="H99" t="str">
            <v>TECO PCNF NMAT PRC  SETC</v>
          </cell>
        </row>
        <row r="100">
          <cell r="D100">
            <v>4869889</v>
          </cell>
          <cell r="E100" t="str">
            <v>ZB02</v>
          </cell>
          <cell r="F100" t="str">
            <v>26.01.2018</v>
          </cell>
          <cell r="G100" t="str">
            <v>610000004152 &amp; P16-MC-EE</v>
          </cell>
          <cell r="H100" t="str">
            <v>TECO PCNF NMAT PRC  SETC</v>
          </cell>
        </row>
        <row r="101">
          <cell r="D101">
            <v>4871037</v>
          </cell>
          <cell r="E101" t="str">
            <v>ZB02</v>
          </cell>
          <cell r="F101" t="str">
            <v>27.01.2018</v>
          </cell>
          <cell r="G101" t="str">
            <v>342257 &amp; P17-WC-ME</v>
          </cell>
          <cell r="H101" t="str">
            <v>TECO PCNF NMAT PRC  SETC</v>
          </cell>
        </row>
        <row r="102">
          <cell r="D102">
            <v>4871947</v>
          </cell>
          <cell r="E102" t="str">
            <v>ZB02</v>
          </cell>
          <cell r="F102" t="str">
            <v>27.01.2018</v>
          </cell>
          <cell r="G102" t="str">
            <v>347637 &amp; P12-WL-ME</v>
          </cell>
          <cell r="H102" t="str">
            <v>TECO PCNF NMAT PRC  SETC</v>
          </cell>
        </row>
        <row r="103">
          <cell r="D103">
            <v>4869744</v>
          </cell>
          <cell r="E103" t="str">
            <v>ZB02</v>
          </cell>
          <cell r="F103" t="str">
            <v>28.01.2018</v>
          </cell>
          <cell r="G103" t="str">
            <v>610000004055 &amp; P13-ML-ME</v>
          </cell>
          <cell r="H103" t="str">
            <v>TECO PCNF NMAT PRC  SETC</v>
          </cell>
        </row>
        <row r="104">
          <cell r="D104">
            <v>4869745</v>
          </cell>
          <cell r="E104" t="str">
            <v>ZB02</v>
          </cell>
          <cell r="F104" t="str">
            <v>28.01.2018</v>
          </cell>
          <cell r="G104" t="str">
            <v>610000004079 &amp; P16-MI-ME</v>
          </cell>
          <cell r="H104" t="str">
            <v>TECO PCNF NMAT PRC  SETC</v>
          </cell>
        </row>
        <row r="105">
          <cell r="D105">
            <v>4869789</v>
          </cell>
          <cell r="E105" t="str">
            <v>ZB02</v>
          </cell>
          <cell r="F105" t="str">
            <v>28.01.2018</v>
          </cell>
          <cell r="G105" t="str">
            <v>610000004054 &amp; P13-MV-ME</v>
          </cell>
          <cell r="H105" t="str">
            <v>TECO PCNF NMAT PRC  SETC</v>
          </cell>
        </row>
        <row r="106">
          <cell r="D106">
            <v>4869826</v>
          </cell>
          <cell r="E106" t="str">
            <v>ZB02</v>
          </cell>
          <cell r="F106" t="str">
            <v>28.01.2018</v>
          </cell>
          <cell r="G106" t="str">
            <v>610000004050 &amp; P13-FC-ME</v>
          </cell>
          <cell r="H106" t="str">
            <v>TECO PCNF NMAT PRC  SETC</v>
          </cell>
        </row>
        <row r="107">
          <cell r="D107">
            <v>4869955</v>
          </cell>
          <cell r="E107" t="str">
            <v>ZB02</v>
          </cell>
          <cell r="F107" t="str">
            <v>28.01.2018</v>
          </cell>
          <cell r="G107" t="str">
            <v>610000004053 &amp; P13-MI-ME</v>
          </cell>
          <cell r="H107" t="str">
            <v>TECO PCNF NMAT PRC  SETC</v>
          </cell>
        </row>
        <row r="108">
          <cell r="D108">
            <v>4869956</v>
          </cell>
          <cell r="E108" t="str">
            <v>ZB02</v>
          </cell>
          <cell r="F108" t="str">
            <v>28.01.2018</v>
          </cell>
          <cell r="G108" t="str">
            <v>610000004080 &amp; P16-MV-ME</v>
          </cell>
          <cell r="H108" t="str">
            <v>TECO PCNF NMAT PRC  SETC</v>
          </cell>
        </row>
        <row r="109">
          <cell r="D109">
            <v>4869964</v>
          </cell>
          <cell r="E109" t="str">
            <v>ZB02</v>
          </cell>
          <cell r="F109" t="str">
            <v>29.01.2018</v>
          </cell>
          <cell r="G109" t="str">
            <v>342588 &amp; P17-MI-EE2</v>
          </cell>
          <cell r="H109" t="str">
            <v>TECO PCNF NMAT PRC  SETC</v>
          </cell>
        </row>
        <row r="110">
          <cell r="D110">
            <v>4871013</v>
          </cell>
          <cell r="E110" t="str">
            <v>ZB02</v>
          </cell>
          <cell r="F110" t="str">
            <v>30.01.2018</v>
          </cell>
          <cell r="G110" t="str">
            <v>610000004051 &amp; P13-FL-ME</v>
          </cell>
          <cell r="H110" t="str">
            <v>TECO PCNF NMAT PRC  SETC</v>
          </cell>
        </row>
        <row r="111">
          <cell r="D111">
            <v>4871019</v>
          </cell>
          <cell r="E111" t="str">
            <v>ZB02</v>
          </cell>
          <cell r="F111" t="str">
            <v>30.01.2018</v>
          </cell>
          <cell r="G111" t="str">
            <v>610000004021 &amp; P10-FI-ME</v>
          </cell>
          <cell r="H111" t="str">
            <v>TECO PCNF NMAT PRC  SETC</v>
          </cell>
        </row>
        <row r="112">
          <cell r="D112">
            <v>4871080</v>
          </cell>
          <cell r="E112" t="str">
            <v>ZB02</v>
          </cell>
          <cell r="F112" t="str">
            <v>30.01.2018</v>
          </cell>
          <cell r="G112" t="str">
            <v>610000004031 &amp; P12-FI-ME</v>
          </cell>
          <cell r="H112" t="str">
            <v>TECO PCNF NMAT PRC  SETC</v>
          </cell>
        </row>
        <row r="113">
          <cell r="D113">
            <v>4871902</v>
          </cell>
          <cell r="E113" t="str">
            <v>ZB02</v>
          </cell>
          <cell r="F113" t="str">
            <v>30.01.2018</v>
          </cell>
          <cell r="G113" t="str">
            <v>610000004104 &amp; P11-NC-EE</v>
          </cell>
          <cell r="H113" t="str">
            <v>TECO PCNF NMAT PRC  SETC</v>
          </cell>
        </row>
        <row r="114">
          <cell r="D114">
            <v>4866005</v>
          </cell>
          <cell r="E114" t="str">
            <v>ZB02</v>
          </cell>
          <cell r="F114" t="str">
            <v>31.01.2018</v>
          </cell>
          <cell r="G114" t="str">
            <v>610000004132 &amp; P14-NC-EE</v>
          </cell>
          <cell r="H114" t="str">
            <v>TECO PCNF NMAT PRC  SETC</v>
          </cell>
        </row>
        <row r="115">
          <cell r="D115">
            <v>4871049</v>
          </cell>
          <cell r="E115" t="str">
            <v>ZB02</v>
          </cell>
          <cell r="F115" t="str">
            <v>31.01.2018</v>
          </cell>
          <cell r="G115" t="str">
            <v>342258 &amp; P17-FI-ME2</v>
          </cell>
          <cell r="H115" t="str">
            <v>TECO PCNF NMAT PRC  SETC</v>
          </cell>
        </row>
        <row r="116">
          <cell r="D116">
            <v>4871903</v>
          </cell>
          <cell r="E116" t="str">
            <v>ZB02</v>
          </cell>
          <cell r="F116" t="str">
            <v>31.01.2018</v>
          </cell>
          <cell r="G116" t="str">
            <v>610000004106 &amp; P11-NT-EE</v>
          </cell>
          <cell r="H116" t="str">
            <v>TECO PCNF NMAT PRC  SETC</v>
          </cell>
        </row>
        <row r="117">
          <cell r="D117">
            <v>4866879</v>
          </cell>
          <cell r="E117" t="str">
            <v>ZB02</v>
          </cell>
          <cell r="F117" t="str">
            <v>01.02.2018</v>
          </cell>
          <cell r="G117" t="str">
            <v>6M - EE Flavoring Zone (P17)</v>
          </cell>
          <cell r="H117" t="str">
            <v>TECO PCNF NMAT PRC  SETC</v>
          </cell>
        </row>
        <row r="118">
          <cell r="D118">
            <v>4872750</v>
          </cell>
          <cell r="E118" t="str">
            <v>ZB02</v>
          </cell>
          <cell r="F118" t="str">
            <v>01.02.2018</v>
          </cell>
          <cell r="G118" t="str">
            <v>610000004068 &amp; P15-WL-ME</v>
          </cell>
          <cell r="H118" t="str">
            <v>TECO PCNF NMAT PRC  SETC</v>
          </cell>
        </row>
        <row r="119">
          <cell r="D119">
            <v>4867665</v>
          </cell>
          <cell r="E119" t="str">
            <v>ZB02</v>
          </cell>
          <cell r="F119" t="str">
            <v>03.02.2018</v>
          </cell>
          <cell r="G119" t="str">
            <v>343825 &amp; P15-HR-EE2</v>
          </cell>
          <cell r="H119" t="str">
            <v>TECO PCNF NMAT PRC  SETC</v>
          </cell>
        </row>
        <row r="120">
          <cell r="D120">
            <v>4871953</v>
          </cell>
          <cell r="E120" t="str">
            <v>ZB02</v>
          </cell>
          <cell r="F120" t="str">
            <v>03.02.2018</v>
          </cell>
          <cell r="G120" t="str">
            <v>347638 &amp; P12-FI-ME2</v>
          </cell>
          <cell r="H120" t="str">
            <v>TECO PCNF NMAT PRC  SETC</v>
          </cell>
        </row>
        <row r="121">
          <cell r="D121">
            <v>4872765</v>
          </cell>
          <cell r="E121" t="str">
            <v>ZB02</v>
          </cell>
          <cell r="F121" t="str">
            <v>03.02.2018</v>
          </cell>
          <cell r="G121" t="str">
            <v>342257 &amp; P17-WC-ME</v>
          </cell>
          <cell r="H121" t="str">
            <v>TECO PCNF NMAT PRC  SETC</v>
          </cell>
        </row>
        <row r="122">
          <cell r="D122">
            <v>4872776</v>
          </cell>
          <cell r="E122" t="str">
            <v>ZB02</v>
          </cell>
          <cell r="F122" t="str">
            <v>03.02.2018</v>
          </cell>
          <cell r="G122" t="str">
            <v>610000004097 &amp; P10-NC-EE</v>
          </cell>
          <cell r="H122" t="str">
            <v>TECO PCNF NMAT PRC  SETC</v>
          </cell>
        </row>
        <row r="123">
          <cell r="D123">
            <v>4873429</v>
          </cell>
          <cell r="E123" t="str">
            <v>ZB02</v>
          </cell>
          <cell r="F123" t="str">
            <v>03.02.2018</v>
          </cell>
          <cell r="G123" t="str">
            <v>347637 &amp; P12-WL-ME</v>
          </cell>
          <cell r="H123" t="str">
            <v>TECO PCNF NMAT PRC  SETC</v>
          </cell>
        </row>
        <row r="124">
          <cell r="D124">
            <v>4865527</v>
          </cell>
          <cell r="E124" t="str">
            <v>ZB02</v>
          </cell>
          <cell r="F124" t="str">
            <v>04.02.2018</v>
          </cell>
          <cell r="G124" t="str">
            <v>610000004045 &amp; P12-HL-ME</v>
          </cell>
          <cell r="H124" t="str">
            <v>TECO PCNF NMAT PRC  SETC</v>
          </cell>
        </row>
        <row r="125">
          <cell r="D125">
            <v>4867612</v>
          </cell>
          <cell r="E125" t="str">
            <v>ZB02</v>
          </cell>
          <cell r="F125" t="str">
            <v>04.02.2018</v>
          </cell>
          <cell r="G125" t="str">
            <v>610000004148 &amp; P15-HI-EE</v>
          </cell>
          <cell r="H125" t="str">
            <v>TECO PCNF NMAT PRC  SETC</v>
          </cell>
        </row>
        <row r="126">
          <cell r="D126">
            <v>4867643</v>
          </cell>
          <cell r="E126" t="str">
            <v>ZB02</v>
          </cell>
          <cell r="F126" t="str">
            <v>04.02.2018</v>
          </cell>
          <cell r="G126" t="str">
            <v>610000004147 &amp; P15-HC-EE</v>
          </cell>
          <cell r="H126" t="str">
            <v>TECO PCNF NMAT PRC  SETC</v>
          </cell>
        </row>
        <row r="127">
          <cell r="D127">
            <v>4871930</v>
          </cell>
          <cell r="E127" t="str">
            <v>ZB02</v>
          </cell>
          <cell r="F127" t="str">
            <v>04.02.2018</v>
          </cell>
          <cell r="G127" t="str">
            <v>610000004135 &amp; P14-QC-EE</v>
          </cell>
          <cell r="H127" t="str">
            <v>TECO PCNF NMAT PRC  SETC</v>
          </cell>
        </row>
        <row r="128">
          <cell r="D128">
            <v>4872767</v>
          </cell>
          <cell r="E128" t="str">
            <v>ZB02</v>
          </cell>
          <cell r="F128" t="str">
            <v>04.02.2018</v>
          </cell>
          <cell r="G128" t="str">
            <v>610000004113 &amp; P12-NC-EE</v>
          </cell>
          <cell r="H128" t="str">
            <v>TECO PCNF NMAT PRC  SETC</v>
          </cell>
        </row>
        <row r="129">
          <cell r="D129">
            <v>4867590</v>
          </cell>
          <cell r="E129" t="str">
            <v>ZB02</v>
          </cell>
          <cell r="F129" t="str">
            <v>06.02.2018</v>
          </cell>
          <cell r="G129" t="str">
            <v>6M - EE Oil Heating Zone (P14)</v>
          </cell>
          <cell r="H129" t="str">
            <v>TECO PCNF NMAT PRC  SETC</v>
          </cell>
        </row>
        <row r="130">
          <cell r="D130">
            <v>4867610</v>
          </cell>
          <cell r="E130" t="str">
            <v>ZB02</v>
          </cell>
          <cell r="F130" t="str">
            <v>06.02.2018</v>
          </cell>
          <cell r="G130" t="str">
            <v>6M - EE Oil Heating Zone (P14)</v>
          </cell>
          <cell r="H130" t="str">
            <v>TECO PCNF NMAT PRC  SETC</v>
          </cell>
        </row>
        <row r="131">
          <cell r="D131">
            <v>4872774</v>
          </cell>
          <cell r="E131" t="str">
            <v>ZB02</v>
          </cell>
          <cell r="F131" t="str">
            <v>06.02.2018</v>
          </cell>
          <cell r="G131" t="str">
            <v>610000004175 &amp; P18-FI-EE3</v>
          </cell>
          <cell r="H131" t="str">
            <v>TECO PCNF NMAT PRC  SETC</v>
          </cell>
        </row>
        <row r="132">
          <cell r="D132">
            <v>4873385</v>
          </cell>
          <cell r="E132" t="str">
            <v>ZB02</v>
          </cell>
          <cell r="F132" t="str">
            <v>06.02.2018</v>
          </cell>
          <cell r="G132" t="str">
            <v>610000004115 &amp; P12-NI-EE2</v>
          </cell>
          <cell r="H132" t="str">
            <v>TECO PCNF NMAT PRC  SETC</v>
          </cell>
        </row>
        <row r="133">
          <cell r="D133">
            <v>4872762</v>
          </cell>
          <cell r="E133" t="str">
            <v>ZB02</v>
          </cell>
          <cell r="F133" t="str">
            <v>07.02.2018</v>
          </cell>
          <cell r="G133" t="str">
            <v>610000004069 &amp; P15-FI-ME</v>
          </cell>
          <cell r="H133" t="str">
            <v>TECO PCNF NMAT PRC  SETC</v>
          </cell>
        </row>
        <row r="134">
          <cell r="D134">
            <v>4872769</v>
          </cell>
          <cell r="E134" t="str">
            <v>ZB02</v>
          </cell>
          <cell r="F134" t="str">
            <v>07.02.2018</v>
          </cell>
          <cell r="G134" t="str">
            <v>610000004070 &amp; P15-FL-ME</v>
          </cell>
          <cell r="H134" t="str">
            <v>TECO PCNF NMAT PRC  SETC</v>
          </cell>
        </row>
        <row r="135">
          <cell r="D135">
            <v>4872791</v>
          </cell>
          <cell r="E135" t="str">
            <v>ZB02</v>
          </cell>
          <cell r="F135" t="str">
            <v>07.02.2018</v>
          </cell>
          <cell r="G135" t="str">
            <v>&amp; P12-MC-EE2</v>
          </cell>
          <cell r="H135" t="str">
            <v>TECO PCNF NMAT PRC  SETC</v>
          </cell>
        </row>
        <row r="136">
          <cell r="D136">
            <v>4872792</v>
          </cell>
          <cell r="E136" t="str">
            <v>ZB02</v>
          </cell>
          <cell r="F136" t="str">
            <v>07.02.2018</v>
          </cell>
          <cell r="G136" t="str">
            <v>&amp; P12-MC-EE</v>
          </cell>
          <cell r="H136" t="str">
            <v>TECO PCNF NMAT PRC  SETC</v>
          </cell>
        </row>
        <row r="137">
          <cell r="D137">
            <v>4872782</v>
          </cell>
          <cell r="E137" t="str">
            <v>ZB02</v>
          </cell>
          <cell r="F137" t="str">
            <v>08.02.2018</v>
          </cell>
          <cell r="G137" t="str">
            <v>610000004096 &amp; P10-NI-EE</v>
          </cell>
          <cell r="H137" t="str">
            <v>TECO PCNF NMAT PRC  SETC</v>
          </cell>
        </row>
        <row r="138">
          <cell r="D138">
            <v>4872790</v>
          </cell>
          <cell r="E138" t="str">
            <v>ZB02</v>
          </cell>
          <cell r="F138" t="str">
            <v>08.02.2018</v>
          </cell>
          <cell r="G138" t="str">
            <v>347639 &amp; P12-MI-ME2</v>
          </cell>
          <cell r="H138" t="str">
            <v>TECO PCNF NMAT PRC  SETC</v>
          </cell>
        </row>
        <row r="139">
          <cell r="D139">
            <v>4873363</v>
          </cell>
          <cell r="E139" t="str">
            <v>ZB02</v>
          </cell>
          <cell r="F139" t="str">
            <v>08.02.2018</v>
          </cell>
          <cell r="G139" t="str">
            <v>610000004085 &amp; P17-FL-ME</v>
          </cell>
          <cell r="H139" t="str">
            <v>TECO PCNF NMAT PRC  SETC</v>
          </cell>
        </row>
        <row r="140">
          <cell r="D140">
            <v>4873383</v>
          </cell>
          <cell r="E140" t="str">
            <v>ZB02</v>
          </cell>
          <cell r="F140" t="str">
            <v>08.02.2018</v>
          </cell>
          <cell r="G140" t="str">
            <v>610000004077 &amp; P16-FL-ME</v>
          </cell>
          <cell r="H140" t="str">
            <v>TECO PCNF NMAT PRC  SETC</v>
          </cell>
        </row>
        <row r="141">
          <cell r="D141">
            <v>4873389</v>
          </cell>
          <cell r="E141" t="str">
            <v>ZB02</v>
          </cell>
          <cell r="F141" t="str">
            <v>08.02.2018</v>
          </cell>
          <cell r="G141" t="str">
            <v>610000004116 &amp; P12-NT-EE</v>
          </cell>
          <cell r="H141" t="str">
            <v>TECO PCNF NMAT PRC  SETC</v>
          </cell>
        </row>
        <row r="142">
          <cell r="D142">
            <v>4873403</v>
          </cell>
          <cell r="E142" t="str">
            <v>ZB02</v>
          </cell>
          <cell r="F142" t="str">
            <v>08.02.2018</v>
          </cell>
          <cell r="G142" t="str">
            <v>610000004086 &amp; P17-FI-ME</v>
          </cell>
          <cell r="H142" t="str">
            <v>TECO PCNF NMAT PRC  SETC</v>
          </cell>
        </row>
        <row r="143">
          <cell r="D143">
            <v>4875089</v>
          </cell>
          <cell r="E143" t="str">
            <v>ZB02</v>
          </cell>
          <cell r="F143" t="str">
            <v>08.02.2018</v>
          </cell>
          <cell r="G143" t="str">
            <v>610000004068 &amp; P15-WL-ME</v>
          </cell>
          <cell r="H143" t="str">
            <v>TECO PCNF NMAT PRC  SETC</v>
          </cell>
        </row>
        <row r="144">
          <cell r="D144">
            <v>4866851</v>
          </cell>
          <cell r="E144" t="str">
            <v>ZB02</v>
          </cell>
          <cell r="F144" t="str">
            <v>09.02.2018</v>
          </cell>
          <cell r="G144" t="str">
            <v>342347 &amp; P18-YR-ME</v>
          </cell>
          <cell r="H144" t="str">
            <v>TECO PCNF NMAT PRC  SETC</v>
          </cell>
        </row>
        <row r="145">
          <cell r="D145">
            <v>4873215</v>
          </cell>
          <cell r="E145" t="str">
            <v>ZB02</v>
          </cell>
          <cell r="F145" t="str">
            <v>09.02.2018</v>
          </cell>
          <cell r="G145" t="str">
            <v>610000004091 &amp; P18-FL-ME</v>
          </cell>
          <cell r="H145" t="str">
            <v>TECO PCNF NMAT PRC  SETC</v>
          </cell>
        </row>
        <row r="146">
          <cell r="D146">
            <v>4873216</v>
          </cell>
          <cell r="E146" t="str">
            <v>ZB02</v>
          </cell>
          <cell r="F146" t="str">
            <v>09.02.2018</v>
          </cell>
          <cell r="G146" t="str">
            <v>610000004161 &amp; P17-FC-EE</v>
          </cell>
          <cell r="H146" t="str">
            <v>TECO PCNF NMAT PRC  SETC</v>
          </cell>
        </row>
        <row r="147">
          <cell r="D147">
            <v>4873349</v>
          </cell>
          <cell r="E147" t="str">
            <v>ZB02</v>
          </cell>
          <cell r="F147" t="str">
            <v>09.02.2018</v>
          </cell>
          <cell r="G147" t="str">
            <v>610000004025 &amp; P11-FL-ME</v>
          </cell>
          <cell r="H147" t="str">
            <v>TECO PCNF NMAT PRC  SETC</v>
          </cell>
        </row>
        <row r="148">
          <cell r="D148">
            <v>4873366</v>
          </cell>
          <cell r="E148" t="str">
            <v>ZB02</v>
          </cell>
          <cell r="F148" t="str">
            <v>09.02.2018</v>
          </cell>
          <cell r="G148" t="str">
            <v>610000004177 &amp; P18-MC-EE</v>
          </cell>
          <cell r="H148" t="str">
            <v>TECO PCNF NMAT PRC  SETC</v>
          </cell>
        </row>
        <row r="149">
          <cell r="D149">
            <v>4873388</v>
          </cell>
          <cell r="E149" t="str">
            <v>ZB02</v>
          </cell>
          <cell r="F149" t="str">
            <v>10.02.2018</v>
          </cell>
          <cell r="G149" t="str">
            <v>610000004095 &amp; P10-MC-EE</v>
          </cell>
          <cell r="H149" t="str">
            <v>TECO PCNF NMAT PRC  SETC</v>
          </cell>
        </row>
        <row r="150">
          <cell r="D150">
            <v>4873390</v>
          </cell>
          <cell r="E150" t="str">
            <v>ZB02</v>
          </cell>
          <cell r="F150" t="str">
            <v>10.02.2018</v>
          </cell>
          <cell r="G150" t="str">
            <v>610000004163 &amp; P17-MC-EE</v>
          </cell>
          <cell r="H150" t="str">
            <v>TECO PCNF NMAT PRC  SETC</v>
          </cell>
        </row>
        <row r="151">
          <cell r="D151">
            <v>4875095</v>
          </cell>
          <cell r="E151" t="str">
            <v>ZB02</v>
          </cell>
          <cell r="F151" t="str">
            <v>10.02.2018</v>
          </cell>
          <cell r="G151" t="str">
            <v>342257 &amp; P17-WC-ME</v>
          </cell>
          <cell r="H151" t="str">
            <v>TECO PCNF NMAT PRC  SETC</v>
          </cell>
        </row>
        <row r="152">
          <cell r="D152">
            <v>4875843</v>
          </cell>
          <cell r="E152" t="str">
            <v>ZB02</v>
          </cell>
          <cell r="F152" t="str">
            <v>10.02.2018</v>
          </cell>
          <cell r="G152" t="str">
            <v>347637 &amp; P12-WL-ME</v>
          </cell>
          <cell r="H152" t="str">
            <v>TECO PCNF NMAT PRC  SETC</v>
          </cell>
        </row>
        <row r="153">
          <cell r="D153">
            <v>4873374</v>
          </cell>
          <cell r="E153" t="str">
            <v>ZB02</v>
          </cell>
          <cell r="F153" t="str">
            <v>11.02.2018</v>
          </cell>
          <cell r="G153" t="str">
            <v>610000004050 &amp; P13-FC-ME</v>
          </cell>
          <cell r="H153" t="str">
            <v>TECO PCNF NMAT PRC  SETC</v>
          </cell>
        </row>
        <row r="154">
          <cell r="D154">
            <v>4873387</v>
          </cell>
          <cell r="E154" t="str">
            <v>ZB02</v>
          </cell>
          <cell r="F154" t="str">
            <v>11.02.2018</v>
          </cell>
          <cell r="G154" t="str">
            <v>610000004052 &amp; P13-MC-ME</v>
          </cell>
          <cell r="H154" t="str">
            <v>TECO PCNF NMAT PRC  SETC</v>
          </cell>
        </row>
        <row r="155">
          <cell r="D155">
            <v>4867619</v>
          </cell>
          <cell r="E155" t="str">
            <v>ZB02</v>
          </cell>
          <cell r="F155" t="str">
            <v>13.02.2018</v>
          </cell>
          <cell r="G155" t="str">
            <v>610000004067 &amp; P14-HL-ME</v>
          </cell>
          <cell r="H155" t="str">
            <v>TECO PCNF NMAT PRC  SETC</v>
          </cell>
        </row>
        <row r="156">
          <cell r="D156">
            <v>4867674</v>
          </cell>
          <cell r="E156" t="str">
            <v>ZB02</v>
          </cell>
          <cell r="F156" t="str">
            <v>13.02.2018</v>
          </cell>
          <cell r="G156" t="str">
            <v>347677 &amp; P12-QI-EE</v>
          </cell>
          <cell r="H156" t="str">
            <v>TECO PCNF NMAT PRC  SETC</v>
          </cell>
        </row>
        <row r="157">
          <cell r="D157">
            <v>4875088</v>
          </cell>
          <cell r="E157" t="str">
            <v>ZB02</v>
          </cell>
          <cell r="F157" t="str">
            <v>13.02.2018</v>
          </cell>
          <cell r="G157" t="str">
            <v>610000004051 &amp; P13-FL-ME</v>
          </cell>
          <cell r="H157" t="str">
            <v>TECO PCNF NMAT PRC  SETC</v>
          </cell>
        </row>
        <row r="158">
          <cell r="D158">
            <v>4875090</v>
          </cell>
          <cell r="E158" t="str">
            <v>ZB02</v>
          </cell>
          <cell r="F158" t="str">
            <v>13.02.2018</v>
          </cell>
          <cell r="G158" t="str">
            <v>610000004021 &amp; P10-FI-ME</v>
          </cell>
          <cell r="H158" t="str">
            <v>TECO PCNF NMAT PRC  SETC</v>
          </cell>
        </row>
        <row r="159">
          <cell r="D159">
            <v>4875166</v>
          </cell>
          <cell r="E159" t="str">
            <v>ZB02</v>
          </cell>
          <cell r="F159" t="str">
            <v>13.02.2018</v>
          </cell>
          <cell r="G159" t="str">
            <v>610000004031 &amp; P12-FI-ME</v>
          </cell>
          <cell r="H159" t="str">
            <v>TECO PCNF NMAT PRC  SETC</v>
          </cell>
        </row>
        <row r="160">
          <cell r="D160">
            <v>4875099</v>
          </cell>
          <cell r="E160" t="str">
            <v>ZB02</v>
          </cell>
          <cell r="F160" t="str">
            <v>14.02.2018</v>
          </cell>
          <cell r="G160" t="str">
            <v>342258 &amp; P17-FI-ME2</v>
          </cell>
          <cell r="H160" t="str">
            <v>TECO PCNF NMAT PRC  SETC</v>
          </cell>
        </row>
        <row r="161">
          <cell r="D161">
            <v>4871806</v>
          </cell>
          <cell r="E161" t="str">
            <v>ZB02</v>
          </cell>
          <cell r="F161" t="str">
            <v>15.02.2018</v>
          </cell>
          <cell r="G161" t="str">
            <v>610000004131 &amp; P14-NI-EE3</v>
          </cell>
          <cell r="H161" t="str">
            <v>TECO PCNF NMAT PRC  SETC</v>
          </cell>
        </row>
        <row r="162">
          <cell r="D162">
            <v>4876821</v>
          </cell>
          <cell r="E162" t="str">
            <v>ZB02</v>
          </cell>
          <cell r="F162" t="str">
            <v>15.02.2018</v>
          </cell>
          <cell r="G162" t="str">
            <v>610000004068 &amp; P15-WL-ME</v>
          </cell>
          <cell r="H162" t="str">
            <v>TECO PCNF NMAT PRC  SETC</v>
          </cell>
        </row>
        <row r="163">
          <cell r="D163">
            <v>4875769</v>
          </cell>
          <cell r="E163" t="str">
            <v>ZB02</v>
          </cell>
          <cell r="F163" t="str">
            <v>17.02.2018</v>
          </cell>
          <cell r="G163" t="str">
            <v>610000004103 &amp; P11-NI-EE</v>
          </cell>
          <cell r="H163" t="str">
            <v>TECO PCNF NMAT PRC  SETC</v>
          </cell>
        </row>
        <row r="164">
          <cell r="D164">
            <v>4875846</v>
          </cell>
          <cell r="E164" t="str">
            <v>ZB02</v>
          </cell>
          <cell r="F164" t="str">
            <v>17.02.2018</v>
          </cell>
          <cell r="G164" t="str">
            <v>347638 &amp; P12-FI-ME2</v>
          </cell>
          <cell r="H164" t="str">
            <v>TECO PCNF NMAT PRC  SETC</v>
          </cell>
        </row>
        <row r="165">
          <cell r="D165">
            <v>4876855</v>
          </cell>
          <cell r="E165" t="str">
            <v>ZB02</v>
          </cell>
          <cell r="F165" t="str">
            <v>17.02.2018</v>
          </cell>
          <cell r="G165" t="str">
            <v>342257 &amp; P17-WC-ME</v>
          </cell>
          <cell r="H165" t="str">
            <v>TECO PCNF NMAT PRC  SETC</v>
          </cell>
        </row>
        <row r="166">
          <cell r="D166">
            <v>4877819</v>
          </cell>
          <cell r="E166" t="str">
            <v>ZB02</v>
          </cell>
          <cell r="F166" t="str">
            <v>17.02.2018</v>
          </cell>
          <cell r="G166" t="str">
            <v>347637 &amp; P12-WL-ME</v>
          </cell>
          <cell r="H166" t="str">
            <v>TECO PCNF NMAT PRC  SETC</v>
          </cell>
        </row>
        <row r="167">
          <cell r="D167">
            <v>4875770</v>
          </cell>
          <cell r="E167" t="str">
            <v>ZB02</v>
          </cell>
          <cell r="F167" t="str">
            <v>18.02.2018</v>
          </cell>
          <cell r="G167" t="str">
            <v>610000004032 &amp; P12-ML-ME</v>
          </cell>
          <cell r="H167" t="str">
            <v>TECO PCNF NMAT PRC  SETC</v>
          </cell>
        </row>
        <row r="168">
          <cell r="D168">
            <v>4875830</v>
          </cell>
          <cell r="E168" t="str">
            <v>ZB02</v>
          </cell>
          <cell r="F168" t="str">
            <v>18.02.2018</v>
          </cell>
          <cell r="G168" t="str">
            <v>342279 &amp; P14-ML-ME2</v>
          </cell>
          <cell r="H168" t="str">
            <v>TECO PCNF NMAT PRC  SETC</v>
          </cell>
        </row>
        <row r="169">
          <cell r="D169">
            <v>4872757</v>
          </cell>
          <cell r="E169" t="str">
            <v>ZB02</v>
          </cell>
          <cell r="F169" t="str">
            <v>19.02.2018</v>
          </cell>
          <cell r="G169" t="str">
            <v>610000004111 &amp; P12-NC-EE</v>
          </cell>
          <cell r="H169" t="str">
            <v>TECO PCNF NMAT PRC  SETC</v>
          </cell>
        </row>
        <row r="170">
          <cell r="D170">
            <v>4875828</v>
          </cell>
          <cell r="E170" t="str">
            <v>ZB02</v>
          </cell>
          <cell r="F170" t="str">
            <v>19.02.2018</v>
          </cell>
          <cell r="G170" t="str">
            <v>610000004102 &amp; P11-MC-EE</v>
          </cell>
          <cell r="H170" t="str">
            <v>TECO PCNF NMAT PRC  SETC</v>
          </cell>
        </row>
        <row r="171">
          <cell r="D171">
            <v>4875837</v>
          </cell>
          <cell r="E171" t="str">
            <v>ZB02</v>
          </cell>
          <cell r="F171" t="str">
            <v>19.02.2018</v>
          </cell>
          <cell r="G171" t="str">
            <v>610000004129 &amp; P14-MC-EE</v>
          </cell>
          <cell r="H171" t="str">
            <v>TECO PCNF NMAT PRC  SETC</v>
          </cell>
        </row>
        <row r="172">
          <cell r="D172">
            <v>4871944</v>
          </cell>
          <cell r="E172" t="str">
            <v>ZB02</v>
          </cell>
          <cell r="F172" t="str">
            <v>20.02.2018</v>
          </cell>
          <cell r="G172" t="str">
            <v>342742 &amp; P17-HCB-EE2</v>
          </cell>
          <cell r="H172" t="str">
            <v>TECO PCNF NMAT PRC  SETC</v>
          </cell>
        </row>
        <row r="173">
          <cell r="D173">
            <v>4876830</v>
          </cell>
          <cell r="E173" t="str">
            <v>ZB02</v>
          </cell>
          <cell r="F173" t="str">
            <v>20.02.2018</v>
          </cell>
          <cell r="G173" t="str">
            <v>610000004028 &amp; P11-MV-ME</v>
          </cell>
          <cell r="H173" t="str">
            <v>TECO NMAT PRC  SETC</v>
          </cell>
        </row>
        <row r="174">
          <cell r="D174">
            <v>4876834</v>
          </cell>
          <cell r="E174" t="str">
            <v>ZB02</v>
          </cell>
          <cell r="F174" t="str">
            <v>20.02.2018</v>
          </cell>
          <cell r="G174" t="str">
            <v>610000004078 &amp; P16-MC-ME</v>
          </cell>
          <cell r="H174" t="str">
            <v>TECO PCNF NMAT PRC  SETC</v>
          </cell>
        </row>
        <row r="175">
          <cell r="D175">
            <v>4876845</v>
          </cell>
          <cell r="E175" t="str">
            <v>ZB02</v>
          </cell>
          <cell r="F175" t="str">
            <v>20.02.2018</v>
          </cell>
          <cell r="G175" t="str">
            <v>610000004061 &amp; P14-MI-ME</v>
          </cell>
          <cell r="H175" t="str">
            <v>TECO PCNF NMAT PRC  SETC</v>
          </cell>
        </row>
        <row r="176">
          <cell r="D176">
            <v>4876846</v>
          </cell>
          <cell r="E176" t="str">
            <v>ZB02</v>
          </cell>
          <cell r="F176" t="str">
            <v>20.02.2018</v>
          </cell>
          <cell r="G176" t="str">
            <v>610000004064 &amp; P14-MC-ME</v>
          </cell>
          <cell r="H176" t="str">
            <v>TECO PCNF NMAT PRC  SETC</v>
          </cell>
        </row>
        <row r="177">
          <cell r="D177">
            <v>4876850</v>
          </cell>
          <cell r="E177" t="str">
            <v>ZB02</v>
          </cell>
          <cell r="F177" t="str">
            <v>20.02.2018</v>
          </cell>
          <cell r="G177" t="str">
            <v>610000004072 &amp; P15-MV-ME</v>
          </cell>
          <cell r="H177" t="str">
            <v>TECO PCNF NMAT PRC  SETC</v>
          </cell>
        </row>
        <row r="178">
          <cell r="D178">
            <v>4876851</v>
          </cell>
          <cell r="E178" t="str">
            <v>ZB02</v>
          </cell>
          <cell r="F178" t="str">
            <v>20.02.2018</v>
          </cell>
          <cell r="G178" t="str">
            <v>610000004073 &amp; P15-ML-ME</v>
          </cell>
          <cell r="H178" t="str">
            <v>TECO PCNF NMAT PRC  SETC</v>
          </cell>
        </row>
        <row r="179">
          <cell r="D179">
            <v>4876863</v>
          </cell>
          <cell r="E179" t="str">
            <v>ZB02</v>
          </cell>
          <cell r="F179" t="str">
            <v>20.02.2018</v>
          </cell>
          <cell r="G179" t="str">
            <v>610000004062 &amp; P14-ML-ME</v>
          </cell>
          <cell r="H179" t="str">
            <v>TECO PCNF NMAT PRC  SETC</v>
          </cell>
        </row>
        <row r="180">
          <cell r="D180">
            <v>4876888</v>
          </cell>
          <cell r="E180" t="str">
            <v>ZB02</v>
          </cell>
          <cell r="F180" t="str">
            <v>20.02.2018</v>
          </cell>
          <cell r="G180" t="str">
            <v>610000004175 &amp; P18-FI-EE3</v>
          </cell>
          <cell r="H180" t="str">
            <v>TECO PCNF NMAT PRC  SETC</v>
          </cell>
        </row>
        <row r="181">
          <cell r="D181">
            <v>4876893</v>
          </cell>
          <cell r="E181" t="str">
            <v>ZB02</v>
          </cell>
          <cell r="F181" t="str">
            <v>20.02.2018</v>
          </cell>
          <cell r="G181" t="str">
            <v>610000004063 &amp; P14-MV-ME</v>
          </cell>
          <cell r="H181" t="str">
            <v>TECO PCNF NMAT PRC  SETC</v>
          </cell>
        </row>
        <row r="182">
          <cell r="D182">
            <v>4876896</v>
          </cell>
          <cell r="E182" t="str">
            <v>ZB02</v>
          </cell>
          <cell r="F182" t="str">
            <v>20.02.2018</v>
          </cell>
          <cell r="G182" t="str">
            <v>610000004071 &amp; P15-MI-ME</v>
          </cell>
          <cell r="H182" t="str">
            <v>TECO PCNF NMAT PRC  SETC</v>
          </cell>
        </row>
        <row r="183">
          <cell r="D183">
            <v>4876920</v>
          </cell>
          <cell r="E183" t="str">
            <v>ZB02</v>
          </cell>
          <cell r="F183" t="str">
            <v>20.02.2018</v>
          </cell>
          <cell r="G183" t="str">
            <v>610000004026 &amp; P11-MI-ME</v>
          </cell>
          <cell r="H183" t="str">
            <v>TECO NMAT PRC  SETC</v>
          </cell>
        </row>
        <row r="184">
          <cell r="D184">
            <v>4876835</v>
          </cell>
          <cell r="E184" t="str">
            <v>ZB02</v>
          </cell>
          <cell r="F184" t="str">
            <v>21.02.2018</v>
          </cell>
          <cell r="G184" t="str">
            <v>610000004130 &amp; P14-NI-EE</v>
          </cell>
          <cell r="H184" t="str">
            <v>TECO PCNF NMAT PRC  SETC</v>
          </cell>
        </row>
        <row r="185">
          <cell r="D185">
            <v>4876849</v>
          </cell>
          <cell r="E185" t="str">
            <v>ZB02</v>
          </cell>
          <cell r="F185" t="str">
            <v>21.02.2018</v>
          </cell>
          <cell r="G185" t="str">
            <v>610000004069 &amp; P15-FI-ME</v>
          </cell>
          <cell r="H185" t="str">
            <v>TECO PCNF NMAT PRC  SETC</v>
          </cell>
        </row>
        <row r="186">
          <cell r="D186">
            <v>4876864</v>
          </cell>
          <cell r="E186" t="str">
            <v>ZB02</v>
          </cell>
          <cell r="F186" t="str">
            <v>21.02.2018</v>
          </cell>
          <cell r="G186" t="str">
            <v>610000004070 &amp; P15-FL-ME</v>
          </cell>
          <cell r="H186" t="str">
            <v>TECO PCNF NMAT PRC  SETC</v>
          </cell>
        </row>
        <row r="187">
          <cell r="D187">
            <v>4876873</v>
          </cell>
          <cell r="E187" t="str">
            <v>ZB02</v>
          </cell>
          <cell r="F187" t="str">
            <v>21.02.2018</v>
          </cell>
          <cell r="G187" t="str">
            <v>610000004122 &amp; P13-NI-EE3</v>
          </cell>
          <cell r="H187" t="str">
            <v>TECO PCNF NMAT PRC  SETC</v>
          </cell>
        </row>
        <row r="188">
          <cell r="D188">
            <v>4876897</v>
          </cell>
          <cell r="E188" t="str">
            <v>ZB02</v>
          </cell>
          <cell r="F188" t="str">
            <v>21.02.2018</v>
          </cell>
          <cell r="G188" t="str">
            <v>610000004112 &amp; P12-NI-EE4</v>
          </cell>
          <cell r="H188" t="str">
            <v>TECO PCNF NMAT PRC  SETC</v>
          </cell>
        </row>
        <row r="189">
          <cell r="D189">
            <v>4876909</v>
          </cell>
          <cell r="E189" t="str">
            <v>ZB02</v>
          </cell>
          <cell r="F189" t="str">
            <v>22.02.2018</v>
          </cell>
          <cell r="G189" t="str">
            <v>610000004162 &amp; P17-MI-EE</v>
          </cell>
          <cell r="H189" t="str">
            <v>TECO PCNF NMAT PRC  SETC</v>
          </cell>
        </row>
        <row r="190">
          <cell r="D190">
            <v>4876910</v>
          </cell>
          <cell r="E190" t="str">
            <v>ZB02</v>
          </cell>
          <cell r="F190" t="str">
            <v>22.02.2018</v>
          </cell>
          <cell r="G190" t="str">
            <v>610000004170 &amp; P17-HR-EE</v>
          </cell>
          <cell r="H190" t="str">
            <v>TECO PCNF NMAT PRC  SETC</v>
          </cell>
        </row>
        <row r="191">
          <cell r="D191">
            <v>4876929</v>
          </cell>
          <cell r="E191" t="str">
            <v>ZB02</v>
          </cell>
          <cell r="F191" t="str">
            <v>22.02.2018</v>
          </cell>
          <cell r="G191" t="str">
            <v>347678 &amp; P12-MI-EE</v>
          </cell>
          <cell r="H191" t="str">
            <v>TECO PCNF NMAT PRC  SETC</v>
          </cell>
        </row>
        <row r="192">
          <cell r="D192">
            <v>4877697</v>
          </cell>
          <cell r="E192" t="str">
            <v>ZB02</v>
          </cell>
          <cell r="F192" t="str">
            <v>22.02.2018</v>
          </cell>
          <cell r="G192" t="str">
            <v>610000004085 &amp; P17-FL-ME</v>
          </cell>
          <cell r="H192" t="str">
            <v>TECO PCNF NMAT PRC  SETC</v>
          </cell>
        </row>
        <row r="193">
          <cell r="D193">
            <v>4877739</v>
          </cell>
          <cell r="E193" t="str">
            <v>ZB02</v>
          </cell>
          <cell r="F193" t="str">
            <v>22.02.2018</v>
          </cell>
          <cell r="G193" t="str">
            <v>610000004077 &amp; P16-FL-ME</v>
          </cell>
          <cell r="H193" t="str">
            <v>TECO PCNF NMAT PRC  SETC</v>
          </cell>
        </row>
        <row r="194">
          <cell r="D194">
            <v>4877792</v>
          </cell>
          <cell r="E194" t="str">
            <v>ZB02</v>
          </cell>
          <cell r="F194" t="str">
            <v>22.02.2018</v>
          </cell>
          <cell r="G194" t="str">
            <v>610000004086 &amp; P17-FI-ME</v>
          </cell>
          <cell r="H194" t="str">
            <v>TECO PCNF NMAT PRC  SETC</v>
          </cell>
        </row>
        <row r="195">
          <cell r="D195">
            <v>4878979</v>
          </cell>
          <cell r="E195" t="str">
            <v>ZB02</v>
          </cell>
          <cell r="F195" t="str">
            <v>22.02.2018</v>
          </cell>
          <cell r="G195" t="str">
            <v>610000004068 &amp; P15-WL-ME</v>
          </cell>
          <cell r="H195" t="str">
            <v>TECO PCNF NMAT PRC  SETC</v>
          </cell>
        </row>
        <row r="196">
          <cell r="D196">
            <v>4877669</v>
          </cell>
          <cell r="E196" t="str">
            <v>ZB02</v>
          </cell>
          <cell r="F196" t="str">
            <v>23.02.2018</v>
          </cell>
          <cell r="G196" t="str">
            <v>610000004091 &amp; P18-FL-ME</v>
          </cell>
          <cell r="H196" t="str">
            <v>TECO PCNF NMAT PRC  SETC</v>
          </cell>
        </row>
        <row r="197">
          <cell r="D197">
            <v>4877673</v>
          </cell>
          <cell r="E197" t="str">
            <v>ZB02</v>
          </cell>
          <cell r="F197" t="str">
            <v>23.02.2018</v>
          </cell>
          <cell r="G197" t="str">
            <v>610000004161 &amp; P17-FC-EE</v>
          </cell>
          <cell r="H197" t="str">
            <v>TECO PCNF NMAT PRC  SETC</v>
          </cell>
        </row>
        <row r="198">
          <cell r="D198">
            <v>4877681</v>
          </cell>
          <cell r="E198" t="str">
            <v>ZB02</v>
          </cell>
          <cell r="F198" t="str">
            <v>23.02.2018</v>
          </cell>
          <cell r="G198" t="str">
            <v>610000004025 &amp; P11-FL-ME</v>
          </cell>
          <cell r="H198" t="str">
            <v>TECO PCNF NMAT PRC  SETC</v>
          </cell>
        </row>
        <row r="199">
          <cell r="D199">
            <v>4877703</v>
          </cell>
          <cell r="E199" t="str">
            <v>ZB02</v>
          </cell>
          <cell r="F199" t="str">
            <v>23.02.2018</v>
          </cell>
          <cell r="G199" t="str">
            <v>610000004176 &amp; P18-NI-EE</v>
          </cell>
          <cell r="H199" t="str">
            <v>TECO PCNF NMAT PRC  SETC</v>
          </cell>
        </row>
        <row r="200">
          <cell r="D200">
            <v>4877809</v>
          </cell>
          <cell r="E200" t="str">
            <v>ZB02</v>
          </cell>
          <cell r="F200" t="str">
            <v>24.02.2018</v>
          </cell>
          <cell r="G200" t="str">
            <v>342586 &amp; P16-MCB-EE</v>
          </cell>
          <cell r="H200" t="str">
            <v>TECO PCNF NMAT PRC  SETC</v>
          </cell>
        </row>
        <row r="201">
          <cell r="D201">
            <v>4878977</v>
          </cell>
          <cell r="E201" t="str">
            <v>ZB02</v>
          </cell>
          <cell r="F201" t="str">
            <v>24.02.2018</v>
          </cell>
          <cell r="G201" t="str">
            <v>610000004123 &amp; P13-NC-EE</v>
          </cell>
          <cell r="H201" t="str">
            <v>TECO PCNF NMAT PRC  SETC</v>
          </cell>
        </row>
        <row r="202">
          <cell r="D202">
            <v>4879000</v>
          </cell>
          <cell r="E202" t="str">
            <v>ZB02</v>
          </cell>
          <cell r="F202" t="str">
            <v>24.02.2018</v>
          </cell>
          <cell r="G202" t="str">
            <v>342257 &amp; P17-WC-ME</v>
          </cell>
          <cell r="H202" t="str">
            <v>TECO PCNF NMAT PRC  SETC</v>
          </cell>
        </row>
        <row r="203">
          <cell r="D203">
            <v>4879884</v>
          </cell>
          <cell r="E203" t="str">
            <v>ZB02</v>
          </cell>
          <cell r="F203" t="str">
            <v>24.02.2018</v>
          </cell>
          <cell r="G203" t="str">
            <v>347637 &amp; P12-WL-ME</v>
          </cell>
          <cell r="H203" t="str">
            <v>TECO PCNF NMAT PRC  SETC</v>
          </cell>
        </row>
        <row r="204">
          <cell r="D204">
            <v>4877716</v>
          </cell>
          <cell r="E204" t="str">
            <v>ZB02</v>
          </cell>
          <cell r="F204" t="str">
            <v>25.02.2018</v>
          </cell>
          <cell r="G204" t="str">
            <v>610000004050 &amp; P13-FC-ME</v>
          </cell>
          <cell r="H204" t="str">
            <v>TECO PCNF NMAT PRC  SETC</v>
          </cell>
        </row>
        <row r="205">
          <cell r="D205">
            <v>4877761</v>
          </cell>
          <cell r="E205" t="str">
            <v>ZB02</v>
          </cell>
          <cell r="F205" t="str">
            <v>25.02.2018</v>
          </cell>
          <cell r="G205" t="str">
            <v>610000004152 &amp; P16-MC-EE</v>
          </cell>
          <cell r="H205" t="str">
            <v>TECO PCNF NMAT PRC  SETC</v>
          </cell>
        </row>
        <row r="206">
          <cell r="D206">
            <v>4878976</v>
          </cell>
          <cell r="E206" t="str">
            <v>ZB02</v>
          </cell>
          <cell r="F206" t="str">
            <v>27.02.2018</v>
          </cell>
          <cell r="G206" t="str">
            <v>610000004051 &amp; P13-FL-ME</v>
          </cell>
          <cell r="H206" t="str">
            <v>TECO PCNF NMAT PRC  SETC</v>
          </cell>
        </row>
        <row r="207">
          <cell r="D207">
            <v>4878981</v>
          </cell>
          <cell r="E207" t="str">
            <v>ZB02</v>
          </cell>
          <cell r="F207" t="str">
            <v>27.02.2018</v>
          </cell>
          <cell r="G207" t="str">
            <v>610000004021 &amp; P10-FI-ME</v>
          </cell>
          <cell r="H207" t="str">
            <v>TECO PCNF NMAT PRC  SETC</v>
          </cell>
        </row>
        <row r="208">
          <cell r="D208">
            <v>4879051</v>
          </cell>
          <cell r="E208" t="str">
            <v>ZB02</v>
          </cell>
          <cell r="F208" t="str">
            <v>27.02.2018</v>
          </cell>
          <cell r="G208" t="str">
            <v>610000004031 &amp; P12-FI-ME</v>
          </cell>
          <cell r="H208" t="str">
            <v>TECO PCNF NMAT PRC  SETC</v>
          </cell>
        </row>
        <row r="209">
          <cell r="D209">
            <v>4879011</v>
          </cell>
          <cell r="E209" t="str">
            <v>ZB02</v>
          </cell>
          <cell r="F209" t="str">
            <v>28.02.2018</v>
          </cell>
          <cell r="G209" t="str">
            <v>342258 &amp; P17-FI-ME2</v>
          </cell>
          <cell r="H209" t="str">
            <v>TECO PCNF NMAT PRC  SETC</v>
          </cell>
        </row>
        <row r="210">
          <cell r="D210">
            <v>4879056</v>
          </cell>
          <cell r="E210" t="str">
            <v>ZB02</v>
          </cell>
          <cell r="F210" t="str">
            <v>28.02.2018</v>
          </cell>
          <cell r="G210" t="str">
            <v>342588 &amp; P17-MI-EE2</v>
          </cell>
          <cell r="H210" t="str">
            <v>TECO PCNF NMAT PRC  SETC</v>
          </cell>
        </row>
        <row r="211">
          <cell r="D211">
            <v>4871805</v>
          </cell>
          <cell r="E211" t="str">
            <v>ZB02</v>
          </cell>
          <cell r="F211" t="str">
            <v>01.03.2018</v>
          </cell>
          <cell r="G211" t="str">
            <v>Belt เสื่อมสภาพ PC 50</v>
          </cell>
          <cell r="H211" t="str">
            <v>TECO PCNF GMPS MANC PRC  SETC</v>
          </cell>
        </row>
        <row r="212">
          <cell r="D212">
            <v>4875168</v>
          </cell>
          <cell r="E212" t="str">
            <v>ZB02</v>
          </cell>
          <cell r="F212" t="str">
            <v>01.03.2018</v>
          </cell>
          <cell r="G212" t="str">
            <v>342462 &amp; P17-HR-EE5</v>
          </cell>
          <cell r="H212" t="str">
            <v>TECO PCNF NMAT PRC  SETC</v>
          </cell>
        </row>
        <row r="213">
          <cell r="D213">
            <v>4875181</v>
          </cell>
          <cell r="E213" t="str">
            <v>ZB02</v>
          </cell>
          <cell r="F213" t="str">
            <v>01.03.2018</v>
          </cell>
          <cell r="G213" t="str">
            <v>347640 &amp; P12-HL-ME2</v>
          </cell>
          <cell r="H213" t="str">
            <v>TECO PCNF GMPS MANC PRC  SETC</v>
          </cell>
        </row>
        <row r="214">
          <cell r="D214">
            <v>4880873</v>
          </cell>
          <cell r="E214" t="str">
            <v>ZB02</v>
          </cell>
          <cell r="F214" t="str">
            <v>01.03.2018</v>
          </cell>
          <cell r="G214" t="str">
            <v>610000004068 &amp; P15-WL-ME</v>
          </cell>
          <cell r="H214" t="str">
            <v>TECO PCNF NMAT PRC  SETC</v>
          </cell>
        </row>
        <row r="215">
          <cell r="D215">
            <v>4879889</v>
          </cell>
          <cell r="E215" t="str">
            <v>ZB02</v>
          </cell>
          <cell r="F215" t="str">
            <v>03.03.2018</v>
          </cell>
          <cell r="G215" t="str">
            <v>347638 &amp; P12-FI-ME2</v>
          </cell>
          <cell r="H215" t="str">
            <v>TECO PCNF NMAT PRC  SETC</v>
          </cell>
        </row>
        <row r="216">
          <cell r="D216">
            <v>4880924</v>
          </cell>
          <cell r="E216" t="str">
            <v>ZB02</v>
          </cell>
          <cell r="F216" t="str">
            <v>03.03.2018</v>
          </cell>
          <cell r="G216" t="str">
            <v>342257 &amp; P17-WC-ME</v>
          </cell>
          <cell r="H216" t="str">
            <v>TECO PCNF NMAT PRC  SETC</v>
          </cell>
        </row>
        <row r="217">
          <cell r="D217">
            <v>4881857</v>
          </cell>
          <cell r="E217" t="str">
            <v>ZB02</v>
          </cell>
          <cell r="F217" t="str">
            <v>03.03.2018</v>
          </cell>
          <cell r="G217" t="str">
            <v>347637 &amp; P12-WL-ME</v>
          </cell>
          <cell r="H217" t="str">
            <v>TECO PCNF NMAT PRC  SETC</v>
          </cell>
        </row>
        <row r="218">
          <cell r="D218">
            <v>4873410</v>
          </cell>
          <cell r="E218" t="str">
            <v>ZB02</v>
          </cell>
          <cell r="F218" t="str">
            <v>06.03.2018</v>
          </cell>
          <cell r="G218" t="str">
            <v>OMALA S2 G220  เสื่อมสภาพ</v>
          </cell>
          <cell r="H218" t="str">
            <v>TECO PCNF GMPS MANC PRC  SETC</v>
          </cell>
        </row>
        <row r="219">
          <cell r="D219">
            <v>4875599</v>
          </cell>
          <cell r="E219" t="str">
            <v>ZB02</v>
          </cell>
          <cell r="F219" t="str">
            <v>06.03.2018</v>
          </cell>
          <cell r="G219" t="str">
            <v>610000004119 &amp; P12-HR-EE</v>
          </cell>
          <cell r="H219" t="str">
            <v>TECO PCNF NMAT PRC  SETC</v>
          </cell>
        </row>
        <row r="220">
          <cell r="D220">
            <v>4880972</v>
          </cell>
          <cell r="E220" t="str">
            <v>ZB02</v>
          </cell>
          <cell r="F220" t="str">
            <v>06.03.2018</v>
          </cell>
          <cell r="G220" t="str">
            <v>610000004175 &amp; P18-FI-EE3</v>
          </cell>
          <cell r="H220" t="str">
            <v>TECO PCNF NMAT PRC  SETC</v>
          </cell>
        </row>
        <row r="221">
          <cell r="D221">
            <v>4880920</v>
          </cell>
          <cell r="E221" t="str">
            <v>ZB02</v>
          </cell>
          <cell r="F221" t="str">
            <v>07.03.2018</v>
          </cell>
          <cell r="G221" t="str">
            <v>V-BELT XPA1700 XPA1500 เสื่อมสภาพ</v>
          </cell>
          <cell r="H221" t="str">
            <v>TECO PCNF GMPS MANC PRC  SETC</v>
          </cell>
        </row>
        <row r="222">
          <cell r="D222">
            <v>4880945</v>
          </cell>
          <cell r="E222" t="str">
            <v>ZB02</v>
          </cell>
          <cell r="F222" t="str">
            <v>07.03.2018</v>
          </cell>
          <cell r="G222" t="str">
            <v>610000004070 &amp; P15-FL-ME</v>
          </cell>
          <cell r="H222" t="str">
            <v>TECO PCNF NMAT PRC  SETC</v>
          </cell>
        </row>
        <row r="223">
          <cell r="D223">
            <v>4881750</v>
          </cell>
          <cell r="E223" t="str">
            <v>ZB02</v>
          </cell>
          <cell r="F223" t="str">
            <v>08.03.2018</v>
          </cell>
          <cell r="G223" t="str">
            <v>610000004085 &amp; P17-FL-ME</v>
          </cell>
          <cell r="H223" t="str">
            <v>TECO PCNF NMAT PRC  SETC</v>
          </cell>
        </row>
        <row r="224">
          <cell r="D224">
            <v>4881783</v>
          </cell>
          <cell r="E224" t="str">
            <v>ZB02</v>
          </cell>
          <cell r="F224" t="str">
            <v>08.03.2018</v>
          </cell>
          <cell r="G224" t="str">
            <v>610000004077 &amp; P16-FL-ME</v>
          </cell>
          <cell r="H224" t="str">
            <v>TECO PCNF NMAT PRC  SETC</v>
          </cell>
        </row>
        <row r="225">
          <cell r="D225">
            <v>4881820</v>
          </cell>
          <cell r="E225" t="str">
            <v>ZB02</v>
          </cell>
          <cell r="F225" t="str">
            <v>08.03.2018</v>
          </cell>
          <cell r="G225" t="str">
            <v>610000004086 &amp; P17-FI-ME</v>
          </cell>
          <cell r="H225" t="str">
            <v>TECO PCNF NMAT PRC  SETC</v>
          </cell>
        </row>
        <row r="226">
          <cell r="D226">
            <v>4882607</v>
          </cell>
          <cell r="E226" t="str">
            <v>ZB02</v>
          </cell>
          <cell r="F226" t="str">
            <v>08.03.2018</v>
          </cell>
          <cell r="G226" t="str">
            <v>610000004068 &amp; P15-WL-ME</v>
          </cell>
          <cell r="H226" t="str">
            <v>TECO PCNF NMAT PRC  SETC</v>
          </cell>
        </row>
        <row r="227">
          <cell r="D227">
            <v>4880872</v>
          </cell>
          <cell r="E227" t="str">
            <v>ZB02</v>
          </cell>
          <cell r="F227" t="str">
            <v>09.03.2018</v>
          </cell>
          <cell r="G227" t="str">
            <v>610000004127 &amp; P13-QT-EE</v>
          </cell>
          <cell r="H227" t="str">
            <v>TECO PCNF NMAT PRC  SETC</v>
          </cell>
        </row>
        <row r="228">
          <cell r="D228">
            <v>4880892</v>
          </cell>
          <cell r="E228" t="str">
            <v>ZB02</v>
          </cell>
          <cell r="F228" t="str">
            <v>09.03.2018</v>
          </cell>
          <cell r="G228" t="str">
            <v>610000004126 &amp; P13-QI-EE</v>
          </cell>
          <cell r="H228" t="str">
            <v>TECO PCNF NMAT PRC  SETC</v>
          </cell>
        </row>
        <row r="229">
          <cell r="D229">
            <v>4881571</v>
          </cell>
          <cell r="E229" t="str">
            <v>ZB02</v>
          </cell>
          <cell r="F229" t="str">
            <v>09.03.2018</v>
          </cell>
          <cell r="G229" t="str">
            <v>610000004091 &amp; P18-FL-ME</v>
          </cell>
          <cell r="H229" t="str">
            <v>TECO PCNF NMAT PRC  SETC</v>
          </cell>
        </row>
        <row r="230">
          <cell r="D230">
            <v>4881575</v>
          </cell>
          <cell r="E230" t="str">
            <v>ZB02</v>
          </cell>
          <cell r="F230" t="str">
            <v>09.03.2018</v>
          </cell>
          <cell r="G230" t="str">
            <v>610000004161 &amp; P17-FC-EE</v>
          </cell>
          <cell r="H230" t="str">
            <v>TECO PCNF NMAT PRC  SETC</v>
          </cell>
        </row>
        <row r="231">
          <cell r="D231">
            <v>4881576</v>
          </cell>
          <cell r="E231" t="str">
            <v>ZB02</v>
          </cell>
          <cell r="F231" t="str">
            <v>09.03.2018</v>
          </cell>
          <cell r="G231" t="str">
            <v>610000004165 &amp; P17-NC-EE</v>
          </cell>
          <cell r="H231" t="str">
            <v>TECO PCNF NMAT PRC  SETC</v>
          </cell>
        </row>
        <row r="232">
          <cell r="D232">
            <v>4881577</v>
          </cell>
          <cell r="E232" t="str">
            <v>ZB02</v>
          </cell>
          <cell r="F232" t="str">
            <v>09.03.2018</v>
          </cell>
          <cell r="G232" t="str">
            <v>610000004166 &amp; P17-NI-EE</v>
          </cell>
          <cell r="H232" t="str">
            <v>TECO PCNF NMAT PRC  SETC</v>
          </cell>
        </row>
        <row r="233">
          <cell r="D233">
            <v>4881747</v>
          </cell>
          <cell r="E233" t="str">
            <v>ZB02</v>
          </cell>
          <cell r="F233" t="str">
            <v>09.03.2018</v>
          </cell>
          <cell r="G233" t="str">
            <v>610000004025 &amp; P11-FL-ME</v>
          </cell>
          <cell r="H233" t="str">
            <v>TECO PCNF NMAT PRC  SETC</v>
          </cell>
        </row>
        <row r="234">
          <cell r="D234">
            <v>4881856</v>
          </cell>
          <cell r="E234" t="str">
            <v>ZB02</v>
          </cell>
          <cell r="F234" t="str">
            <v>09.03.2018</v>
          </cell>
          <cell r="G234" t="str">
            <v>&amp; P12-MC-EE2</v>
          </cell>
          <cell r="H234" t="str">
            <v>TECO PCNF NMAT PRC  SETC</v>
          </cell>
        </row>
        <row r="235">
          <cell r="D235">
            <v>4881865</v>
          </cell>
          <cell r="E235" t="str">
            <v>ZB02</v>
          </cell>
          <cell r="F235" t="str">
            <v>09.03.2018</v>
          </cell>
          <cell r="G235" t="str">
            <v>&amp; P12-MC-EE</v>
          </cell>
          <cell r="H235" t="str">
            <v>TECO PCNF NMAT PRC  SETC</v>
          </cell>
        </row>
        <row r="236">
          <cell r="D236">
            <v>4869901</v>
          </cell>
          <cell r="E236" t="str">
            <v>ZB02</v>
          </cell>
          <cell r="F236" t="str">
            <v>10.03.2018</v>
          </cell>
          <cell r="G236" t="str">
            <v>Bearing เสื่อมสภาพ PC-50</v>
          </cell>
          <cell r="H236" t="str">
            <v>TECO PCNF GMPS MANC PRC  SETC</v>
          </cell>
        </row>
        <row r="237">
          <cell r="D237">
            <v>4875091</v>
          </cell>
          <cell r="E237" t="str">
            <v>ZB02</v>
          </cell>
          <cell r="F237" t="str">
            <v>10.03.2018</v>
          </cell>
          <cell r="G237" t="str">
            <v>610000004089 &amp; P17-HR-ME</v>
          </cell>
          <cell r="H237" t="str">
            <v>TECO PCNF NMAT PRC  SETC</v>
          </cell>
        </row>
        <row r="238">
          <cell r="D238">
            <v>4877810</v>
          </cell>
          <cell r="E238" t="str">
            <v>ZB02</v>
          </cell>
          <cell r="F238" t="str">
            <v>10.03.2018</v>
          </cell>
          <cell r="G238" t="str">
            <v>BEARING- Belt เสื่อมสภาพ PC-50 PM</v>
          </cell>
          <cell r="H238" t="str">
            <v>TECO PCNF GMPS MANC PRC  SETC</v>
          </cell>
        </row>
        <row r="239">
          <cell r="D239">
            <v>4881573</v>
          </cell>
          <cell r="E239" t="str">
            <v>ZB02</v>
          </cell>
          <cell r="F239" t="str">
            <v>10.03.2018</v>
          </cell>
          <cell r="G239" t="str">
            <v>610000004055 &amp; P13-ML-ME</v>
          </cell>
          <cell r="H239" t="str">
            <v>TECO PCNF NMAT PRC  SETC</v>
          </cell>
        </row>
        <row r="240">
          <cell r="D240">
            <v>4881574</v>
          </cell>
          <cell r="E240" t="str">
            <v>ZB02</v>
          </cell>
          <cell r="F240" t="str">
            <v>10.03.2018</v>
          </cell>
          <cell r="G240" t="str">
            <v>610000004079 &amp; P16-MI-ME</v>
          </cell>
          <cell r="H240" t="str">
            <v>TECO PCNF NMAT PRC  SETC</v>
          </cell>
        </row>
        <row r="241">
          <cell r="D241">
            <v>4881748</v>
          </cell>
          <cell r="E241" t="str">
            <v>ZB02</v>
          </cell>
          <cell r="F241" t="str">
            <v>10.03.2018</v>
          </cell>
          <cell r="G241" t="str">
            <v>610000004054 &amp; P13-MV-ME</v>
          </cell>
          <cell r="H241" t="str">
            <v>TECO PCNF NMAT PRC  SETC</v>
          </cell>
        </row>
        <row r="242">
          <cell r="D242">
            <v>4881776</v>
          </cell>
          <cell r="E242" t="str">
            <v>ZB02</v>
          </cell>
          <cell r="F242" t="str">
            <v>10.03.2018</v>
          </cell>
          <cell r="G242" t="str">
            <v>610000004088 &amp; P17-MR-ME</v>
          </cell>
          <cell r="H242" t="str">
            <v>TECO PCNF NMAT PRC  SETC</v>
          </cell>
        </row>
        <row r="243">
          <cell r="D243">
            <v>4881787</v>
          </cell>
          <cell r="E243" t="str">
            <v>ZB02</v>
          </cell>
          <cell r="F243" t="str">
            <v>10.03.2018</v>
          </cell>
          <cell r="G243" t="str">
            <v>610000004087 &amp; P17-MI-ME</v>
          </cell>
          <cell r="H243" t="str">
            <v>TECO PCNF NMAT PRC  SETC</v>
          </cell>
        </row>
        <row r="244">
          <cell r="D244">
            <v>4881813</v>
          </cell>
          <cell r="E244" t="str">
            <v>ZB02</v>
          </cell>
          <cell r="F244" t="str">
            <v>10.03.2018</v>
          </cell>
          <cell r="G244" t="str">
            <v>610000004022 &amp; P10-ML-ME</v>
          </cell>
          <cell r="H244" t="str">
            <v>TECO PCNF NMAT PRC  SETC</v>
          </cell>
        </row>
        <row r="245">
          <cell r="D245">
            <v>4881814</v>
          </cell>
          <cell r="E245" t="str">
            <v>ZB02</v>
          </cell>
          <cell r="F245" t="str">
            <v>10.03.2018</v>
          </cell>
          <cell r="G245" t="str">
            <v>610000004033 &amp; P12-MI-ME</v>
          </cell>
          <cell r="H245" t="str">
            <v>TECO PCNF NMAT PRC  SETC</v>
          </cell>
        </row>
        <row r="246">
          <cell r="D246">
            <v>4881831</v>
          </cell>
          <cell r="E246" t="str">
            <v>ZB02</v>
          </cell>
          <cell r="F246" t="str">
            <v>10.03.2018</v>
          </cell>
          <cell r="G246" t="str">
            <v>610000004027 &amp; P11-ML-ME</v>
          </cell>
          <cell r="H246" t="str">
            <v>TECO PCNF NMAT PRC  SETC</v>
          </cell>
        </row>
        <row r="247">
          <cell r="D247">
            <v>4881841</v>
          </cell>
          <cell r="E247" t="str">
            <v>ZB02</v>
          </cell>
          <cell r="F247" t="str">
            <v>10.03.2018</v>
          </cell>
          <cell r="G247" t="str">
            <v>610000004053 &amp; P13-MI-ME</v>
          </cell>
          <cell r="H247" t="str">
            <v>TECO PCNF NMAT PRC  SETC</v>
          </cell>
        </row>
        <row r="248">
          <cell r="D248">
            <v>4881842</v>
          </cell>
          <cell r="E248" t="str">
            <v>ZB02</v>
          </cell>
          <cell r="F248" t="str">
            <v>10.03.2018</v>
          </cell>
          <cell r="G248" t="str">
            <v>610000004080 &amp; P16-MV-ME</v>
          </cell>
          <cell r="H248" t="str">
            <v>TECO PCNF NMAT PRC  SETC</v>
          </cell>
        </row>
        <row r="249">
          <cell r="D249">
            <v>4881843</v>
          </cell>
          <cell r="E249" t="str">
            <v>ZB02</v>
          </cell>
          <cell r="F249" t="str">
            <v>10.03.2018</v>
          </cell>
          <cell r="G249" t="str">
            <v>610000004092 &amp; P18-MI-ME</v>
          </cell>
          <cell r="H249" t="str">
            <v>TECO PCNF NMAT PRC  SETC</v>
          </cell>
        </row>
        <row r="250">
          <cell r="D250">
            <v>4881845</v>
          </cell>
          <cell r="E250" t="str">
            <v>ZB02</v>
          </cell>
          <cell r="F250" t="str">
            <v>10.03.2018</v>
          </cell>
          <cell r="G250" t="str">
            <v>342694 &amp; P12-MC-ME2</v>
          </cell>
          <cell r="H250" t="str">
            <v>TECO PCNF NMAT PRC  SETC</v>
          </cell>
        </row>
        <row r="251">
          <cell r="D251">
            <v>4882620</v>
          </cell>
          <cell r="E251" t="str">
            <v>ZB02</v>
          </cell>
          <cell r="F251" t="str">
            <v>10.03.2018</v>
          </cell>
          <cell r="G251" t="str">
            <v>342257 &amp; P17-WC-ME</v>
          </cell>
          <cell r="H251" t="str">
            <v>TECO PCNF NMAT PRC  SETC</v>
          </cell>
        </row>
        <row r="252">
          <cell r="D252">
            <v>4883347</v>
          </cell>
          <cell r="E252" t="str">
            <v>ZB02</v>
          </cell>
          <cell r="F252" t="str">
            <v>10.03.2018</v>
          </cell>
          <cell r="G252" t="str">
            <v>347637 &amp; P12-WL-ME</v>
          </cell>
          <cell r="H252" t="str">
            <v>TECO PCNF NMAT PRC  SETC</v>
          </cell>
        </row>
        <row r="253">
          <cell r="D253">
            <v>4881766</v>
          </cell>
          <cell r="E253" t="str">
            <v>ZB02</v>
          </cell>
          <cell r="F253" t="str">
            <v>11.03.2018</v>
          </cell>
          <cell r="G253" t="str">
            <v>610000004177 &amp; P18-MC-EE</v>
          </cell>
          <cell r="H253" t="str">
            <v>TECO PCNF NMAT PRC  SETC</v>
          </cell>
        </row>
        <row r="254">
          <cell r="D254">
            <v>4881773</v>
          </cell>
          <cell r="E254" t="str">
            <v>ZB02</v>
          </cell>
          <cell r="F254" t="str">
            <v>11.03.2018</v>
          </cell>
          <cell r="G254" t="str">
            <v>610000004050 &amp; P13-FC-ME</v>
          </cell>
          <cell r="H254" t="str">
            <v>TECO PCNF NMAT PRC  SETC</v>
          </cell>
        </row>
        <row r="255">
          <cell r="D255">
            <v>4881788</v>
          </cell>
          <cell r="E255" t="str">
            <v>ZB02</v>
          </cell>
          <cell r="F255" t="str">
            <v>12.03.2018</v>
          </cell>
          <cell r="G255" t="str">
            <v>610000004095 &amp; P10-MC-EE</v>
          </cell>
          <cell r="H255" t="str">
            <v>TECO PCNF NMAT PRC  SETC</v>
          </cell>
        </row>
        <row r="256">
          <cell r="D256">
            <v>4881789</v>
          </cell>
          <cell r="E256" t="str">
            <v>ZB02</v>
          </cell>
          <cell r="F256" t="str">
            <v>12.03.2018</v>
          </cell>
          <cell r="G256" t="str">
            <v>610000004163 &amp; P17-MC-EE</v>
          </cell>
          <cell r="H256" t="str">
            <v>TECO PCNF NMAT PRC  SETC</v>
          </cell>
        </row>
        <row r="257">
          <cell r="D257">
            <v>4881790</v>
          </cell>
          <cell r="E257" t="str">
            <v>ZB02</v>
          </cell>
          <cell r="F257" t="str">
            <v>12.03.2018</v>
          </cell>
          <cell r="G257" t="str">
            <v>610000004167 &amp; P17-QC-EE</v>
          </cell>
          <cell r="H257" t="str">
            <v>TECO PCNF NMAT PRC  SETC</v>
          </cell>
        </row>
        <row r="258">
          <cell r="D258">
            <v>4875598</v>
          </cell>
          <cell r="E258" t="str">
            <v>ZB02</v>
          </cell>
          <cell r="F258" t="str">
            <v>13.03.2018</v>
          </cell>
          <cell r="G258" t="str">
            <v>610000004082 &amp; P16-HL-ME</v>
          </cell>
          <cell r="H258" t="str">
            <v>TECO PCNF NMAT PRC  SETC</v>
          </cell>
        </row>
        <row r="259">
          <cell r="D259">
            <v>4875795</v>
          </cell>
          <cell r="E259" t="str">
            <v>ZB02</v>
          </cell>
          <cell r="F259" t="str">
            <v>13.03.2018</v>
          </cell>
          <cell r="G259" t="str">
            <v>P18-YR-ME4</v>
          </cell>
          <cell r="H259" t="str">
            <v>TECO PCNF NMAT PRC  SETC</v>
          </cell>
        </row>
        <row r="260">
          <cell r="D260">
            <v>4877738</v>
          </cell>
          <cell r="E260" t="str">
            <v>ZB02</v>
          </cell>
          <cell r="F260" t="str">
            <v>13.03.2018</v>
          </cell>
          <cell r="G260" t="str">
            <v>610000004074 &amp; P15-QL-ME</v>
          </cell>
          <cell r="H260" t="str">
            <v>TECO PCNF NMAT PRC  SETC</v>
          </cell>
        </row>
        <row r="261">
          <cell r="D261">
            <v>4881749</v>
          </cell>
          <cell r="E261" t="str">
            <v>ZB02</v>
          </cell>
          <cell r="F261" t="str">
            <v>13.03.2018</v>
          </cell>
          <cell r="G261" t="str">
            <v>WATER FILTER เสื่อมสภาพ</v>
          </cell>
          <cell r="H261" t="str">
            <v>TECO PCNF GMPS MANC PRC  SETC</v>
          </cell>
        </row>
        <row r="262">
          <cell r="D262">
            <v>4881846</v>
          </cell>
          <cell r="E262" t="str">
            <v>ZB02</v>
          </cell>
          <cell r="F262" t="str">
            <v>13.03.2018</v>
          </cell>
          <cell r="G262" t="str">
            <v>342595 &amp; P16-QR-ME2</v>
          </cell>
          <cell r="H262" t="str">
            <v>TECO PCNF NMAT PRC  SETC</v>
          </cell>
        </row>
        <row r="263">
          <cell r="D263">
            <v>4882604</v>
          </cell>
          <cell r="E263" t="str">
            <v>ZB02</v>
          </cell>
          <cell r="F263" t="str">
            <v>13.03.2018</v>
          </cell>
          <cell r="G263" t="str">
            <v>610000004051 &amp; P13-FL-ME</v>
          </cell>
          <cell r="H263" t="str">
            <v>TECO PCNF NMAT PRC  SETC</v>
          </cell>
        </row>
        <row r="264">
          <cell r="D264">
            <v>4882610</v>
          </cell>
          <cell r="E264" t="str">
            <v>ZB02</v>
          </cell>
          <cell r="F264" t="str">
            <v>13.03.2018</v>
          </cell>
          <cell r="G264" t="str">
            <v>610000004021 &amp; P10-FI-ME</v>
          </cell>
          <cell r="H264" t="str">
            <v>TECO PCNF NMAT PRC  SETC</v>
          </cell>
        </row>
        <row r="265">
          <cell r="D265">
            <v>4882624</v>
          </cell>
          <cell r="E265" t="str">
            <v>ZB02</v>
          </cell>
          <cell r="F265" t="str">
            <v>13.03.2018</v>
          </cell>
          <cell r="G265" t="str">
            <v>610000004052 &amp; P13-MC-ME</v>
          </cell>
          <cell r="H265" t="str">
            <v>TECO PCNF NMAT PRC  SETC</v>
          </cell>
        </row>
        <row r="266">
          <cell r="D266">
            <v>4882635</v>
          </cell>
          <cell r="E266" t="str">
            <v>ZB02</v>
          </cell>
          <cell r="F266" t="str">
            <v>13.03.2018</v>
          </cell>
          <cell r="G266" t="str">
            <v>610000004031 &amp; P12-FI-ME</v>
          </cell>
          <cell r="H266" t="str">
            <v>TECO PCNF NMAT PRC  SETC</v>
          </cell>
        </row>
        <row r="267">
          <cell r="D267">
            <v>4882623</v>
          </cell>
          <cell r="E267" t="str">
            <v>ZB02</v>
          </cell>
          <cell r="F267" t="str">
            <v>14.03.2018</v>
          </cell>
          <cell r="G267" t="str">
            <v>342258 &amp; P17-FI-ME2</v>
          </cell>
          <cell r="H267" t="str">
            <v>TECO PCNF NMAT PRC  SETC</v>
          </cell>
        </row>
        <row r="268">
          <cell r="D268">
            <v>4884226</v>
          </cell>
          <cell r="E268" t="str">
            <v>ZB02</v>
          </cell>
          <cell r="F268" t="str">
            <v>15.03.2018</v>
          </cell>
          <cell r="G268" t="str">
            <v>610000004068 &amp; P15-WL-ME</v>
          </cell>
          <cell r="H268" t="str">
            <v>TECO PCNF NMAT PRC  SETC</v>
          </cell>
        </row>
        <row r="269">
          <cell r="D269">
            <v>4883304</v>
          </cell>
          <cell r="E269" t="str">
            <v>ZB02</v>
          </cell>
          <cell r="F269" t="str">
            <v>16.03.2018</v>
          </cell>
          <cell r="G269" t="str">
            <v>610000004153 &amp; P16-NC-EE</v>
          </cell>
          <cell r="H269" t="str">
            <v>TECO PCNF NMAT PRC  SETC</v>
          </cell>
        </row>
        <row r="270">
          <cell r="D270">
            <v>4883325</v>
          </cell>
          <cell r="E270" t="str">
            <v>ZB02</v>
          </cell>
          <cell r="F270" t="str">
            <v>16.03.2018</v>
          </cell>
          <cell r="G270" t="str">
            <v>610000004101 &amp; P11-NI-EE2</v>
          </cell>
          <cell r="H270" t="str">
            <v>TECO PCNF NMAT PRC  SETC</v>
          </cell>
        </row>
        <row r="271">
          <cell r="D271">
            <v>4883326</v>
          </cell>
          <cell r="E271" t="str">
            <v>ZB02</v>
          </cell>
          <cell r="F271" t="str">
            <v>16.03.2018</v>
          </cell>
          <cell r="G271" t="str">
            <v>610000004143 &amp; P15-NC-EE</v>
          </cell>
          <cell r="H271" t="str">
            <v>TECO PCNF NMAT PRC  SETC</v>
          </cell>
        </row>
        <row r="272">
          <cell r="D272">
            <v>4883338</v>
          </cell>
          <cell r="E272" t="str">
            <v>ZB02</v>
          </cell>
          <cell r="F272" t="str">
            <v>16.03.2018</v>
          </cell>
          <cell r="G272" t="str">
            <v>610000004121 &amp; P13-NI-EE2</v>
          </cell>
          <cell r="H272" t="str">
            <v>TECO PCNF NMAT PRC  SETC</v>
          </cell>
        </row>
        <row r="273">
          <cell r="D273">
            <v>4883352</v>
          </cell>
          <cell r="E273" t="str">
            <v>ZB02</v>
          </cell>
          <cell r="F273" t="str">
            <v>17.03.2018</v>
          </cell>
          <cell r="G273" t="str">
            <v>347638 &amp; P12-FI-ME2</v>
          </cell>
          <cell r="H273" t="str">
            <v>TECO PCNF NMAT PRC  SETC</v>
          </cell>
        </row>
        <row r="274">
          <cell r="D274">
            <v>4884239</v>
          </cell>
          <cell r="E274" t="str">
            <v>ZB02</v>
          </cell>
          <cell r="F274" t="str">
            <v>17.03.2018</v>
          </cell>
          <cell r="G274" t="str">
            <v>342257 &amp; P17-WC-ME</v>
          </cell>
          <cell r="H274" t="str">
            <v>TECO PCNF NMAT PRC  SETC</v>
          </cell>
        </row>
        <row r="275">
          <cell r="D275">
            <v>4884278</v>
          </cell>
          <cell r="E275" t="str">
            <v>ZB02</v>
          </cell>
          <cell r="F275" t="str">
            <v>17.03.2018</v>
          </cell>
          <cell r="G275" t="str">
            <v>610000004178 &amp; P18-NC-EE</v>
          </cell>
          <cell r="H275" t="str">
            <v>TECO PCNF NMAT PRC  SETC</v>
          </cell>
        </row>
        <row r="276">
          <cell r="D276">
            <v>4884946</v>
          </cell>
          <cell r="E276" t="str">
            <v>ZB02</v>
          </cell>
          <cell r="F276" t="str">
            <v>17.03.2018</v>
          </cell>
          <cell r="G276" t="str">
            <v>347637 &amp; P12-WL-ME</v>
          </cell>
          <cell r="H276" t="str">
            <v>TECO PCNF NMAT PRC  SETC</v>
          </cell>
        </row>
        <row r="277">
          <cell r="D277">
            <v>4883209</v>
          </cell>
          <cell r="E277" t="str">
            <v>ZB02</v>
          </cell>
          <cell r="F277" t="str">
            <v>18.03.2018</v>
          </cell>
          <cell r="G277" t="str">
            <v>610000004128 &amp; P14-NI-EE2</v>
          </cell>
          <cell r="H277" t="str">
            <v>TECO PCNF NMAT PRC  SETC</v>
          </cell>
        </row>
        <row r="278">
          <cell r="D278">
            <v>4883327</v>
          </cell>
          <cell r="E278" t="str">
            <v>ZB02</v>
          </cell>
          <cell r="F278" t="str">
            <v>18.03.2018</v>
          </cell>
          <cell r="G278" t="str">
            <v>610000004151 &amp; P16-NI-EE2</v>
          </cell>
          <cell r="H278" t="str">
            <v>TECO PCNF NMAT PRC  SETC</v>
          </cell>
        </row>
        <row r="279">
          <cell r="D279">
            <v>4883337</v>
          </cell>
          <cell r="E279" t="str">
            <v>ZB02</v>
          </cell>
          <cell r="F279" t="str">
            <v>18.03.2018</v>
          </cell>
          <cell r="G279" t="str">
            <v>610000004142 &amp; P15-NI-EE2</v>
          </cell>
          <cell r="H279" t="str">
            <v>TECO PCNF NMAT PRC  SETC</v>
          </cell>
        </row>
        <row r="280">
          <cell r="D280">
            <v>4877808</v>
          </cell>
          <cell r="E280" t="str">
            <v>ZB02</v>
          </cell>
          <cell r="F280" t="str">
            <v>20.03.2018</v>
          </cell>
          <cell r="G280" t="str">
            <v>610000004084 &amp; P16-HR-ME2</v>
          </cell>
          <cell r="H280" t="str">
            <v>TECO PCNF NMAT PRC  SETC</v>
          </cell>
        </row>
        <row r="281">
          <cell r="D281">
            <v>4883339</v>
          </cell>
          <cell r="E281" t="str">
            <v>ZB02</v>
          </cell>
          <cell r="F281" t="str">
            <v>20.03.2018</v>
          </cell>
          <cell r="G281" t="str">
            <v>610000004168 &amp; P17-QI-EE</v>
          </cell>
          <cell r="H281" t="str">
            <v>TECO PCNF NMAT PRC  SETC</v>
          </cell>
        </row>
        <row r="282">
          <cell r="D282">
            <v>4884229</v>
          </cell>
          <cell r="E282" t="str">
            <v>ZB02</v>
          </cell>
          <cell r="F282" t="str">
            <v>20.03.2018</v>
          </cell>
          <cell r="G282" t="str">
            <v>610000004032 &amp; P12-ML-ME</v>
          </cell>
          <cell r="H282" t="str">
            <v>TECO PCNF NMAT PRC  SETC</v>
          </cell>
        </row>
        <row r="283">
          <cell r="D283">
            <v>4884270</v>
          </cell>
          <cell r="E283" t="str">
            <v>ZB02</v>
          </cell>
          <cell r="F283" t="str">
            <v>20.03.2018</v>
          </cell>
          <cell r="G283" t="str">
            <v>610000004175 &amp; P18-FI-EE3</v>
          </cell>
          <cell r="H283" t="str">
            <v>TECO PCNF NMAT PRC  SETC</v>
          </cell>
        </row>
        <row r="284">
          <cell r="D284">
            <v>4884283</v>
          </cell>
          <cell r="E284" t="str">
            <v>ZB02</v>
          </cell>
          <cell r="F284" t="str">
            <v>20.03.2018</v>
          </cell>
          <cell r="G284" t="str">
            <v>342279 &amp; P14-ML-ME2</v>
          </cell>
          <cell r="H284" t="str">
            <v>TECO PCNF NMAT PRC  SETC</v>
          </cell>
        </row>
        <row r="285">
          <cell r="D285">
            <v>4884237</v>
          </cell>
          <cell r="E285" t="str">
            <v>ZB02</v>
          </cell>
          <cell r="F285" t="str">
            <v>21.03.2018</v>
          </cell>
          <cell r="G285" t="str">
            <v>610000004069 &amp; P15-FI-ME</v>
          </cell>
          <cell r="H285" t="str">
            <v>TECO PCNF NMAT PRC  SETC</v>
          </cell>
        </row>
        <row r="286">
          <cell r="D286">
            <v>4884264</v>
          </cell>
          <cell r="E286" t="str">
            <v>ZB02</v>
          </cell>
          <cell r="F286" t="str">
            <v>21.03.2018</v>
          </cell>
          <cell r="G286" t="str">
            <v>610000004070 &amp; P15-FL-ME</v>
          </cell>
          <cell r="H286" t="str">
            <v>TECO PCNF NMAT PRC  SETC</v>
          </cell>
        </row>
        <row r="287">
          <cell r="D287">
            <v>4884282</v>
          </cell>
          <cell r="E287" t="str">
            <v>ZB02</v>
          </cell>
          <cell r="F287" t="str">
            <v>21.03.2018</v>
          </cell>
          <cell r="G287" t="str">
            <v>610000004102 &amp; P11-MC-EE</v>
          </cell>
          <cell r="H287" t="str">
            <v>TECO PCNF NMAT PRC  SETC</v>
          </cell>
        </row>
        <row r="288">
          <cell r="D288">
            <v>4884287</v>
          </cell>
          <cell r="E288" t="str">
            <v>ZB02</v>
          </cell>
          <cell r="F288" t="str">
            <v>21.03.2018</v>
          </cell>
          <cell r="G288" t="str">
            <v>610000004129 &amp; P14-MC-EE</v>
          </cell>
          <cell r="H288" t="str">
            <v>TECO PCNF NMAT PRC  SETC</v>
          </cell>
        </row>
        <row r="289">
          <cell r="D289">
            <v>4884292</v>
          </cell>
          <cell r="E289" t="str">
            <v>ZB02</v>
          </cell>
          <cell r="F289" t="str">
            <v>21.03.2018</v>
          </cell>
          <cell r="G289" t="str">
            <v>347639 &amp; P12-MI-ME2</v>
          </cell>
          <cell r="H289" t="str">
            <v>TECO PCNF NMAT PRC  SETC</v>
          </cell>
        </row>
        <row r="290">
          <cell r="D290">
            <v>4884904</v>
          </cell>
          <cell r="E290" t="str">
            <v>ZB02</v>
          </cell>
          <cell r="F290" t="str">
            <v>22.03.2018</v>
          </cell>
          <cell r="G290" t="str">
            <v>610000004085 &amp; P17-FL-ME</v>
          </cell>
          <cell r="H290" t="str">
            <v>TECO PCNF NMAT PRC  SETC</v>
          </cell>
        </row>
        <row r="291">
          <cell r="D291">
            <v>4884918</v>
          </cell>
          <cell r="E291" t="str">
            <v>ZB02</v>
          </cell>
          <cell r="F291" t="str">
            <v>22.03.2018</v>
          </cell>
          <cell r="G291" t="str">
            <v>610000004077 &amp; P16-FL-ME</v>
          </cell>
          <cell r="H291" t="str">
            <v>TECO PCNF NMAT PRC  SETC</v>
          </cell>
        </row>
        <row r="292">
          <cell r="D292">
            <v>4884925</v>
          </cell>
          <cell r="E292" t="str">
            <v>ZB02</v>
          </cell>
          <cell r="F292" t="str">
            <v>22.03.2018</v>
          </cell>
          <cell r="G292" t="str">
            <v>610000004086 &amp; P17-FI-ME</v>
          </cell>
          <cell r="H292" t="str">
            <v>TECO PCNF NMAT PRC  SETC</v>
          </cell>
        </row>
        <row r="293">
          <cell r="D293">
            <v>4885797</v>
          </cell>
          <cell r="E293" t="str">
            <v>ZB02</v>
          </cell>
          <cell r="F293" t="str">
            <v>22.03.2018</v>
          </cell>
          <cell r="G293" t="str">
            <v>610000004068 &amp; P15-WL-ME</v>
          </cell>
          <cell r="H293" t="str">
            <v>TECO PCNF NMAT PRC  SETC</v>
          </cell>
        </row>
        <row r="294">
          <cell r="D294">
            <v>4881017</v>
          </cell>
          <cell r="E294" t="str">
            <v>ZB02</v>
          </cell>
          <cell r="F294" t="str">
            <v>23.03.2018</v>
          </cell>
          <cell r="G294" t="str">
            <v>342743 &amp; P17-HCB-EE3</v>
          </cell>
          <cell r="H294" t="str">
            <v>TECO PCNF NMAT PRC  SETC</v>
          </cell>
        </row>
        <row r="295">
          <cell r="D295">
            <v>4884854</v>
          </cell>
          <cell r="E295" t="str">
            <v>ZB02</v>
          </cell>
          <cell r="F295" t="str">
            <v>23.03.2018</v>
          </cell>
          <cell r="G295" t="str">
            <v>610000004091 &amp; P18-FL-ME</v>
          </cell>
          <cell r="H295" t="str">
            <v>TECO PCNF NMAT PRC  SETC</v>
          </cell>
        </row>
        <row r="296">
          <cell r="D296">
            <v>4884856</v>
          </cell>
          <cell r="E296" t="str">
            <v>ZB02</v>
          </cell>
          <cell r="F296" t="str">
            <v>23.03.2018</v>
          </cell>
          <cell r="G296" t="str">
            <v>610000004161 &amp; P17-FC-EE</v>
          </cell>
          <cell r="H296" t="str">
            <v>TECO PCNF NMAT PRC  SETC</v>
          </cell>
        </row>
        <row r="297">
          <cell r="D297">
            <v>4884902</v>
          </cell>
          <cell r="E297" t="str">
            <v>ZB02</v>
          </cell>
          <cell r="F297" t="str">
            <v>23.03.2018</v>
          </cell>
          <cell r="G297" t="str">
            <v>610000004025 &amp; P11-FL-ME</v>
          </cell>
          <cell r="H297" t="str">
            <v>TECO NMAT PRC  SETC</v>
          </cell>
        </row>
        <row r="298">
          <cell r="D298">
            <v>4881864</v>
          </cell>
          <cell r="E298" t="str">
            <v>ZB02</v>
          </cell>
          <cell r="F298" t="str">
            <v>24.03.2018</v>
          </cell>
          <cell r="G298" t="str">
            <v>347679 &amp; P12-NCB-EE</v>
          </cell>
          <cell r="H298" t="str">
            <v>TECO PCNF NMAT PRC  SETC</v>
          </cell>
        </row>
        <row r="299">
          <cell r="D299">
            <v>4884926</v>
          </cell>
          <cell r="E299" t="str">
            <v>ZB02</v>
          </cell>
          <cell r="F299" t="str">
            <v>24.03.2018</v>
          </cell>
          <cell r="G299" t="str">
            <v>610000004162 &amp; P17-MI-EE</v>
          </cell>
          <cell r="H299" t="str">
            <v>TECO PCNF NMAT PRC  SETC</v>
          </cell>
        </row>
        <row r="300">
          <cell r="D300">
            <v>4884952</v>
          </cell>
          <cell r="E300" t="str">
            <v>ZB02</v>
          </cell>
          <cell r="F300" t="str">
            <v>24.03.2018</v>
          </cell>
          <cell r="G300" t="str">
            <v>347678 &amp; P12-MI-EE</v>
          </cell>
          <cell r="H300" t="str">
            <v>TECO PCNF NMAT PRC  SETC</v>
          </cell>
        </row>
        <row r="301">
          <cell r="D301">
            <v>4885905</v>
          </cell>
          <cell r="E301" t="str">
            <v>ZB02</v>
          </cell>
          <cell r="F301" t="str">
            <v>24.03.2018</v>
          </cell>
          <cell r="G301" t="str">
            <v>342257 &amp; P17-WC-ME</v>
          </cell>
          <cell r="H301" t="str">
            <v>TECO PCNF NMAT PRC  SETC</v>
          </cell>
        </row>
        <row r="302">
          <cell r="D302">
            <v>4886683</v>
          </cell>
          <cell r="E302" t="str">
            <v>ZB02</v>
          </cell>
          <cell r="F302" t="str">
            <v>24.03.2018</v>
          </cell>
          <cell r="G302" t="str">
            <v>347637 &amp; P12-WL-ME</v>
          </cell>
          <cell r="H302" t="str">
            <v>TECO PCNF NMAT PRC  SETC</v>
          </cell>
        </row>
        <row r="303">
          <cell r="D303">
            <v>4881771</v>
          </cell>
          <cell r="E303" t="str">
            <v>ZB02</v>
          </cell>
          <cell r="F303" t="str">
            <v>25.03.2018</v>
          </cell>
          <cell r="G303" t="str">
            <v>610000004065 &amp; P14-QI-ME</v>
          </cell>
          <cell r="H303" t="str">
            <v>TECO PCNF NMAT PRC  SETC</v>
          </cell>
        </row>
        <row r="304">
          <cell r="D304">
            <v>4884912</v>
          </cell>
          <cell r="E304" t="str">
            <v>ZB02</v>
          </cell>
          <cell r="F304" t="str">
            <v>25.03.2018</v>
          </cell>
          <cell r="G304" t="str">
            <v>610000004050 &amp; P13-FC-ME</v>
          </cell>
          <cell r="H304" t="str">
            <v>TECO PCNF NMAT PRC  SETC</v>
          </cell>
        </row>
        <row r="305">
          <cell r="D305">
            <v>4884930</v>
          </cell>
          <cell r="E305" t="str">
            <v>ZB02</v>
          </cell>
          <cell r="F305" t="str">
            <v>26.03.2018</v>
          </cell>
          <cell r="G305" t="str">
            <v>342586 &amp; P16-MCB-EE</v>
          </cell>
          <cell r="H305" t="str">
            <v>TECO PCNF NMAT PRC  SETC</v>
          </cell>
        </row>
        <row r="306">
          <cell r="D306">
            <v>4884942</v>
          </cell>
          <cell r="E306" t="str">
            <v>ZB02</v>
          </cell>
          <cell r="F306" t="str">
            <v>27.03.2018</v>
          </cell>
          <cell r="G306" t="str">
            <v>342631 &amp; P17-QI-EE2</v>
          </cell>
          <cell r="H306" t="str">
            <v>TECO PCNF NMAT PRC  SETC</v>
          </cell>
        </row>
        <row r="307">
          <cell r="D307">
            <v>4885796</v>
          </cell>
          <cell r="E307" t="str">
            <v>ZB02</v>
          </cell>
          <cell r="F307" t="str">
            <v>27.03.2018</v>
          </cell>
          <cell r="G307" t="str">
            <v>610000004051 &amp; P13-FL-ME</v>
          </cell>
          <cell r="H307" t="str">
            <v>TECO PCNF NMAT PRC  SETC</v>
          </cell>
        </row>
        <row r="308">
          <cell r="D308">
            <v>4885883</v>
          </cell>
          <cell r="E308" t="str">
            <v>ZB02</v>
          </cell>
          <cell r="F308" t="str">
            <v>27.03.2018</v>
          </cell>
          <cell r="G308" t="str">
            <v>610000004021 &amp; P10-FI-ME</v>
          </cell>
          <cell r="H308" t="str">
            <v>TECO PCNF NMAT PRC  SETC</v>
          </cell>
        </row>
        <row r="309">
          <cell r="D309">
            <v>4885915</v>
          </cell>
          <cell r="E309" t="str">
            <v>ZB02</v>
          </cell>
          <cell r="F309" t="str">
            <v>27.03.2018</v>
          </cell>
          <cell r="G309" t="str">
            <v>610000004152 &amp; P16-MC-EE</v>
          </cell>
          <cell r="H309" t="str">
            <v>TECO PCNF NMAT PRC  SETC</v>
          </cell>
        </row>
        <row r="310">
          <cell r="D310">
            <v>4885930</v>
          </cell>
          <cell r="E310" t="str">
            <v>ZB02</v>
          </cell>
          <cell r="F310" t="str">
            <v>27.03.2018</v>
          </cell>
          <cell r="G310" t="str">
            <v>610000004031 &amp; P12-FI-ME</v>
          </cell>
          <cell r="H310" t="str">
            <v>TECO PCNF NMAT PRC  SETC</v>
          </cell>
        </row>
        <row r="311">
          <cell r="D311">
            <v>4885912</v>
          </cell>
          <cell r="E311" t="str">
            <v>ZB02</v>
          </cell>
          <cell r="F311" t="str">
            <v>28.03.2018</v>
          </cell>
          <cell r="G311" t="str">
            <v>342258 &amp; P17-FI-ME2</v>
          </cell>
          <cell r="H311" t="str">
            <v>TECO PCNF NMAT PRC  SETC</v>
          </cell>
        </row>
        <row r="312">
          <cell r="D312">
            <v>4885914</v>
          </cell>
          <cell r="E312" t="str">
            <v>ZB02</v>
          </cell>
          <cell r="F312" t="str">
            <v>28.03.2018</v>
          </cell>
          <cell r="G312" t="str">
            <v>342299 &amp; P14-QR-EE</v>
          </cell>
          <cell r="H312" t="str">
            <v>TECO PCNF NMAT PRC  SETC</v>
          </cell>
        </row>
        <row r="313">
          <cell r="D313">
            <v>4887689</v>
          </cell>
          <cell r="E313" t="str">
            <v>ZB02</v>
          </cell>
          <cell r="F313" t="str">
            <v>29.03.2018</v>
          </cell>
          <cell r="G313" t="str">
            <v>610000004068 &amp; P15-WL-ME</v>
          </cell>
          <cell r="H313" t="str">
            <v>TECO PCNF NMAT PRC  SETC</v>
          </cell>
        </row>
        <row r="314">
          <cell r="D314">
            <v>4886680</v>
          </cell>
          <cell r="E314" t="str">
            <v>ZB02</v>
          </cell>
          <cell r="F314" t="str">
            <v>30.03.2018</v>
          </cell>
          <cell r="G314" t="str">
            <v>342588 &amp; P17-MI-EE2</v>
          </cell>
          <cell r="H314" t="str">
            <v>TECO PCNF NMAT PRC  SETC</v>
          </cell>
        </row>
        <row r="315">
          <cell r="D315">
            <v>4882625</v>
          </cell>
          <cell r="E315" t="str">
            <v>ZB02</v>
          </cell>
          <cell r="F315" t="str">
            <v>31.03.2018</v>
          </cell>
          <cell r="G315" t="str">
            <v>610000004132 &amp; P14-NC-EE</v>
          </cell>
          <cell r="H315" t="str">
            <v>TECO PCNF NMAT PRC  SETC</v>
          </cell>
        </row>
        <row r="316">
          <cell r="D316">
            <v>4886693</v>
          </cell>
          <cell r="E316" t="str">
            <v>ZB02</v>
          </cell>
          <cell r="F316" t="str">
            <v>31.03.2018</v>
          </cell>
          <cell r="G316" t="str">
            <v>347638 &amp; P12-FI-ME2</v>
          </cell>
          <cell r="H316" t="str">
            <v>TECO PCNF NMAT PRC  SETC</v>
          </cell>
        </row>
        <row r="317">
          <cell r="D317">
            <v>4887696</v>
          </cell>
          <cell r="E317" t="str">
            <v>ZB02</v>
          </cell>
          <cell r="F317" t="str">
            <v>31.03.2018</v>
          </cell>
          <cell r="G317" t="str">
            <v>610000004104 &amp; P11-NC-EE</v>
          </cell>
          <cell r="H317" t="str">
            <v>TECO PCNF NMAT PRC  SETC</v>
          </cell>
        </row>
        <row r="318">
          <cell r="D318">
            <v>4887713</v>
          </cell>
          <cell r="E318" t="str">
            <v>ZB02</v>
          </cell>
          <cell r="F318" t="str">
            <v>31.03.2018</v>
          </cell>
          <cell r="G318" t="str">
            <v>342257 &amp; P17-WC-ME</v>
          </cell>
          <cell r="H318" t="str">
            <v>TECO PCNF NMAT PRC  SETC</v>
          </cell>
        </row>
        <row r="319">
          <cell r="D319">
            <v>4888841</v>
          </cell>
          <cell r="E319" t="str">
            <v>ZB02</v>
          </cell>
          <cell r="F319" t="str">
            <v>31.03.2018</v>
          </cell>
          <cell r="G319" t="str">
            <v>347637 &amp; P12-WL-ME</v>
          </cell>
          <cell r="H319" t="str">
            <v>TECO PCNF NMAT PRC  SETC</v>
          </cell>
        </row>
        <row r="320">
          <cell r="D320">
            <v>4883319</v>
          </cell>
          <cell r="E320" t="str">
            <v>ZB02</v>
          </cell>
          <cell r="F320" t="str">
            <v>01.04.2018</v>
          </cell>
          <cell r="G320" t="str">
            <v>610000004171 &amp; P17-HR-EE2</v>
          </cell>
          <cell r="H320" t="str">
            <v>TECO PCNF NMAT PRC  SETC</v>
          </cell>
        </row>
        <row r="321">
          <cell r="D321">
            <v>4887697</v>
          </cell>
          <cell r="E321" t="str">
            <v>ZB02</v>
          </cell>
          <cell r="F321" t="str">
            <v>01.04.2018</v>
          </cell>
          <cell r="G321" t="str">
            <v>610000004106 &amp; P11-NT-EE</v>
          </cell>
          <cell r="H321" t="str">
            <v>TECO PCNF NMAT PRC  SETC</v>
          </cell>
        </row>
        <row r="322">
          <cell r="D322">
            <v>4887729</v>
          </cell>
          <cell r="E322" t="str">
            <v>ZB02</v>
          </cell>
          <cell r="F322" t="str">
            <v>03.04.2018</v>
          </cell>
          <cell r="G322" t="str">
            <v>610000004175 &amp; P18-FI-EE3</v>
          </cell>
          <cell r="H322" t="str">
            <v>TECO PCNF NMAT PRC  SETC</v>
          </cell>
        </row>
        <row r="323">
          <cell r="D323">
            <v>4887709</v>
          </cell>
          <cell r="E323" t="str">
            <v>ZB02</v>
          </cell>
          <cell r="F323" t="str">
            <v>04.04.2018</v>
          </cell>
          <cell r="G323" t="str">
            <v>610000004069 &amp; P15-FI-ME</v>
          </cell>
          <cell r="H323" t="str">
            <v>TECO PCNF NMAT PRC  SETC</v>
          </cell>
        </row>
        <row r="324">
          <cell r="D324">
            <v>4887721</v>
          </cell>
          <cell r="E324" t="str">
            <v>ZB02</v>
          </cell>
          <cell r="F324" t="str">
            <v>04.04.2018</v>
          </cell>
          <cell r="G324" t="str">
            <v>610000004070 &amp; P15-FL-ME</v>
          </cell>
          <cell r="H324" t="str">
            <v>TECO PCNF NMAT PRC  SETC</v>
          </cell>
        </row>
        <row r="325">
          <cell r="D325">
            <v>4888786</v>
          </cell>
          <cell r="E325" t="str">
            <v>ZB02</v>
          </cell>
          <cell r="F325" t="str">
            <v>04.04.2018</v>
          </cell>
          <cell r="G325" t="str">
            <v>610000004097 &amp; P10-NC-EE</v>
          </cell>
          <cell r="H325" t="str">
            <v>TECO PCNF NMAT PRC  SETC</v>
          </cell>
        </row>
        <row r="326">
          <cell r="D326">
            <v>4887698</v>
          </cell>
          <cell r="E326" t="str">
            <v>ZB02</v>
          </cell>
          <cell r="F326" t="str">
            <v>05.04.2018</v>
          </cell>
          <cell r="G326" t="str">
            <v>610000004028 &amp; P11-MV-ME</v>
          </cell>
          <cell r="H326" t="str">
            <v>TECO PCNF NMAT PRC  SETC</v>
          </cell>
        </row>
        <row r="327">
          <cell r="D327">
            <v>4887700</v>
          </cell>
          <cell r="E327" t="str">
            <v>ZB02</v>
          </cell>
          <cell r="F327" t="str">
            <v>05.04.2018</v>
          </cell>
          <cell r="G327" t="str">
            <v>610000004078 &amp; P16-MC-ME</v>
          </cell>
          <cell r="H327" t="str">
            <v>TECO PCNF NMAT PRC  SETC</v>
          </cell>
        </row>
        <row r="328">
          <cell r="D328">
            <v>4887706</v>
          </cell>
          <cell r="E328" t="str">
            <v>ZB02</v>
          </cell>
          <cell r="F328" t="str">
            <v>05.04.2018</v>
          </cell>
          <cell r="G328" t="str">
            <v>610000004061 &amp; P14-MI-ME</v>
          </cell>
          <cell r="H328" t="str">
            <v>TECO PCNF NMAT PRC  SETC</v>
          </cell>
        </row>
        <row r="329">
          <cell r="D329">
            <v>4887707</v>
          </cell>
          <cell r="E329" t="str">
            <v>ZB02</v>
          </cell>
          <cell r="F329" t="str">
            <v>05.04.2018</v>
          </cell>
          <cell r="G329" t="str">
            <v>610000004064 &amp; P14-MC-ME</v>
          </cell>
          <cell r="H329" t="str">
            <v>TECO PCNF NMAT PRC  SETC</v>
          </cell>
        </row>
        <row r="330">
          <cell r="D330">
            <v>4887710</v>
          </cell>
          <cell r="E330" t="str">
            <v>ZB02</v>
          </cell>
          <cell r="F330" t="str">
            <v>05.04.2018</v>
          </cell>
          <cell r="G330" t="str">
            <v>610000004072 &amp; P15-MV-ME</v>
          </cell>
          <cell r="H330" t="str">
            <v>TECO PCNF NMAT PRC  SETC</v>
          </cell>
        </row>
        <row r="331">
          <cell r="D331">
            <v>4887711</v>
          </cell>
          <cell r="E331" t="str">
            <v>ZB02</v>
          </cell>
          <cell r="F331" t="str">
            <v>05.04.2018</v>
          </cell>
          <cell r="G331" t="str">
            <v>610000004073 &amp; P15-ML-ME</v>
          </cell>
          <cell r="H331" t="str">
            <v>TECO PCNF NMAT PRC  SETC</v>
          </cell>
        </row>
        <row r="332">
          <cell r="D332">
            <v>4887720</v>
          </cell>
          <cell r="E332" t="str">
            <v>ZB02</v>
          </cell>
          <cell r="F332" t="str">
            <v>05.04.2018</v>
          </cell>
          <cell r="G332" t="str">
            <v>610000004062 &amp; P14-ML-ME</v>
          </cell>
          <cell r="H332" t="str">
            <v>TECO PCNF NMAT PRC  SETC</v>
          </cell>
        </row>
        <row r="333">
          <cell r="D333">
            <v>4887731</v>
          </cell>
          <cell r="E333" t="str">
            <v>ZB02</v>
          </cell>
          <cell r="F333" t="str">
            <v>05.04.2018</v>
          </cell>
          <cell r="G333" t="str">
            <v>610000004063 &amp; P14-MV-ME</v>
          </cell>
          <cell r="H333" t="str">
            <v>TECO PCNF NMAT PRC  SETC</v>
          </cell>
        </row>
        <row r="334">
          <cell r="D334">
            <v>4887736</v>
          </cell>
          <cell r="E334" t="str">
            <v>ZB02</v>
          </cell>
          <cell r="F334" t="str">
            <v>05.04.2018</v>
          </cell>
          <cell r="G334" t="str">
            <v>610000004071 &amp; P15-MI-ME</v>
          </cell>
          <cell r="H334" t="str">
            <v>TECO PCNF NMAT PRC  SETC</v>
          </cell>
        </row>
        <row r="335">
          <cell r="D335">
            <v>4887752</v>
          </cell>
          <cell r="E335" t="str">
            <v>ZB02</v>
          </cell>
          <cell r="F335" t="str">
            <v>05.04.2018</v>
          </cell>
          <cell r="G335" t="str">
            <v>610000004026 &amp; P11-MI-ME</v>
          </cell>
          <cell r="H335" t="str">
            <v>TECO PCNF NMAT PRC  SETC</v>
          </cell>
        </row>
        <row r="336">
          <cell r="D336">
            <v>4888710</v>
          </cell>
          <cell r="E336" t="str">
            <v>ZB02</v>
          </cell>
          <cell r="F336" t="str">
            <v>05.04.2018</v>
          </cell>
          <cell r="G336" t="str">
            <v>610000004085 &amp; P17-FL-ME</v>
          </cell>
          <cell r="H336" t="str">
            <v>TECO PCNF NMAT PRC  SETC</v>
          </cell>
        </row>
        <row r="337">
          <cell r="D337">
            <v>4888749</v>
          </cell>
          <cell r="E337" t="str">
            <v>ZB02</v>
          </cell>
          <cell r="F337" t="str">
            <v>05.04.2018</v>
          </cell>
          <cell r="G337" t="str">
            <v>610000004113 &amp; P12-NC-EE</v>
          </cell>
          <cell r="H337" t="str">
            <v>TECO PCNF NMAT PRC  SETC</v>
          </cell>
        </row>
        <row r="338">
          <cell r="D338">
            <v>4888758</v>
          </cell>
          <cell r="E338" t="str">
            <v>ZB02</v>
          </cell>
          <cell r="F338" t="str">
            <v>05.04.2018</v>
          </cell>
          <cell r="G338" t="str">
            <v>610000004077 &amp; P16-FL-ME</v>
          </cell>
          <cell r="H338" t="str">
            <v>TECO PCNF NMAT PRC  SETC</v>
          </cell>
        </row>
        <row r="339">
          <cell r="D339">
            <v>4888795</v>
          </cell>
          <cell r="E339" t="str">
            <v>ZB02</v>
          </cell>
          <cell r="F339" t="str">
            <v>05.04.2018</v>
          </cell>
          <cell r="G339" t="str">
            <v>610000004086 &amp; P17-FI-ME</v>
          </cell>
          <cell r="H339" t="str">
            <v>TECO PCNF NMAT PRC  SETC</v>
          </cell>
        </row>
        <row r="340">
          <cell r="D340">
            <v>4891930</v>
          </cell>
          <cell r="E340" t="str">
            <v>ZB02</v>
          </cell>
          <cell r="F340" t="str">
            <v>05.04.2018</v>
          </cell>
          <cell r="G340" t="str">
            <v>610000004068 &amp; P15-WL-ME</v>
          </cell>
          <cell r="H340" t="str">
            <v>TECO PCNF NMAT PRC  SETC</v>
          </cell>
        </row>
        <row r="341">
          <cell r="D341">
            <v>4888637</v>
          </cell>
          <cell r="E341" t="str">
            <v>ZB02</v>
          </cell>
          <cell r="F341" t="str">
            <v>06.04.2018</v>
          </cell>
          <cell r="G341" t="str">
            <v>610000004091 &amp; P18-FL-ME</v>
          </cell>
          <cell r="H341" t="str">
            <v>TECO PCNF NMAT PRC  SETC</v>
          </cell>
        </row>
        <row r="342">
          <cell r="D342">
            <v>4888684</v>
          </cell>
          <cell r="E342" t="str">
            <v>ZB02</v>
          </cell>
          <cell r="F342" t="str">
            <v>06.04.2018</v>
          </cell>
          <cell r="G342" t="str">
            <v>610000004161 &amp; P17-FC-EE</v>
          </cell>
          <cell r="H342" t="str">
            <v>TECO PCNF NMAT PRC  SETC</v>
          </cell>
        </row>
        <row r="343">
          <cell r="D343">
            <v>4888704</v>
          </cell>
          <cell r="E343" t="str">
            <v>ZB02</v>
          </cell>
          <cell r="F343" t="str">
            <v>06.04.2018</v>
          </cell>
          <cell r="G343" t="str">
            <v>610000004025 &amp; P11-FL-ME</v>
          </cell>
          <cell r="H343" t="str">
            <v>TECO PCNF NMAT PRC  SETC</v>
          </cell>
        </row>
        <row r="344">
          <cell r="D344">
            <v>4894060</v>
          </cell>
          <cell r="E344" t="str">
            <v>ZB02</v>
          </cell>
          <cell r="F344" t="str">
            <v>07.04.2018</v>
          </cell>
          <cell r="G344" t="str">
            <v>342257 &amp; P17-WC-ME</v>
          </cell>
          <cell r="H344" t="str">
            <v>TECO PCNF NMAT PRC  SETC</v>
          </cell>
        </row>
        <row r="345">
          <cell r="D345">
            <v>4894064</v>
          </cell>
          <cell r="E345" t="str">
            <v>ZB02</v>
          </cell>
          <cell r="F345" t="str">
            <v>07.04.2018</v>
          </cell>
          <cell r="G345" t="str">
            <v>610000004115 &amp; P12-NI-EE2</v>
          </cell>
          <cell r="H345" t="str">
            <v>TECO PCNF NMAT PRC  SETC</v>
          </cell>
        </row>
        <row r="346">
          <cell r="D346">
            <v>4894679</v>
          </cell>
          <cell r="E346" t="str">
            <v>ZB02</v>
          </cell>
          <cell r="F346" t="str">
            <v>07.04.2018</v>
          </cell>
          <cell r="G346" t="str">
            <v>347637 &amp; P12-WL-ME</v>
          </cell>
          <cell r="H346" t="str">
            <v>TECO PCNF NMAT PRC  SETC</v>
          </cell>
        </row>
        <row r="347">
          <cell r="D347">
            <v>4888735</v>
          </cell>
          <cell r="E347" t="str">
            <v>ZB02</v>
          </cell>
          <cell r="F347" t="str">
            <v>08.04.2018</v>
          </cell>
          <cell r="G347" t="str">
            <v>610000004050 &amp; P13-FC-ME</v>
          </cell>
          <cell r="H347" t="str">
            <v>TECO PCNF NMAT PRC  SETC</v>
          </cell>
        </row>
        <row r="348">
          <cell r="D348">
            <v>4888840</v>
          </cell>
          <cell r="E348" t="str">
            <v>ZB02</v>
          </cell>
          <cell r="F348" t="str">
            <v>08.04.2018</v>
          </cell>
          <cell r="G348" t="str">
            <v>&amp; P12-MC-EE2</v>
          </cell>
          <cell r="H348" t="str">
            <v>TECO PCNF NMAT PRC  SETC</v>
          </cell>
        </row>
        <row r="349">
          <cell r="D349">
            <v>4888843</v>
          </cell>
          <cell r="E349" t="str">
            <v>ZB02</v>
          </cell>
          <cell r="F349" t="str">
            <v>08.04.2018</v>
          </cell>
          <cell r="G349" t="str">
            <v>&amp; P12-MC-EE</v>
          </cell>
          <cell r="H349" t="str">
            <v>TECO PCNF NMAT PRC  SETC</v>
          </cell>
        </row>
        <row r="350">
          <cell r="D350">
            <v>4888682</v>
          </cell>
          <cell r="E350" t="str">
            <v>ZB02</v>
          </cell>
          <cell r="F350" t="str">
            <v>09.04.2018</v>
          </cell>
          <cell r="G350" t="str">
            <v>610000004055 &amp; P13-ML-ME</v>
          </cell>
          <cell r="H350" t="str">
            <v>TECO PCNF NMAT PRC  SETC</v>
          </cell>
        </row>
        <row r="351">
          <cell r="D351">
            <v>4888683</v>
          </cell>
          <cell r="E351" t="str">
            <v>ZB02</v>
          </cell>
          <cell r="F351" t="str">
            <v>09.04.2018</v>
          </cell>
          <cell r="G351" t="str">
            <v>610000004079 &amp; P16-MI-ME</v>
          </cell>
          <cell r="H351" t="str">
            <v>TECO PCNF NMAT PRC  SETC</v>
          </cell>
        </row>
        <row r="352">
          <cell r="D352">
            <v>4888709</v>
          </cell>
          <cell r="E352" t="str">
            <v>ZB02</v>
          </cell>
          <cell r="F352" t="str">
            <v>09.04.2018</v>
          </cell>
          <cell r="G352" t="str">
            <v>610000004054 &amp; P13-MV-ME</v>
          </cell>
          <cell r="H352" t="str">
            <v>TECO PCNF NMAT PRC  SETC</v>
          </cell>
        </row>
        <row r="353">
          <cell r="D353">
            <v>4888738</v>
          </cell>
          <cell r="E353" t="str">
            <v>ZB02</v>
          </cell>
          <cell r="F353" t="str">
            <v>09.04.2018</v>
          </cell>
          <cell r="G353" t="str">
            <v>610000004088 &amp; P17-MR-ME</v>
          </cell>
          <cell r="H353" t="str">
            <v>TECO PCNF NMAT PRC  SETC</v>
          </cell>
        </row>
        <row r="354">
          <cell r="D354">
            <v>4888765</v>
          </cell>
          <cell r="E354" t="str">
            <v>ZB02</v>
          </cell>
          <cell r="F354" t="str">
            <v>09.04.2018</v>
          </cell>
          <cell r="G354" t="str">
            <v>610000004087 &amp; P17-MI-ME</v>
          </cell>
          <cell r="H354" t="str">
            <v>TECO PCNF NMAT PRC  SETC</v>
          </cell>
        </row>
        <row r="355">
          <cell r="D355">
            <v>4888787</v>
          </cell>
          <cell r="E355" t="str">
            <v>ZB02</v>
          </cell>
          <cell r="F355" t="str">
            <v>09.04.2018</v>
          </cell>
          <cell r="G355" t="str">
            <v>610000004022 &amp; P10-ML-ME</v>
          </cell>
          <cell r="H355" t="str">
            <v>TECO PCNF NMAT PRC  SETC</v>
          </cell>
        </row>
        <row r="356">
          <cell r="D356">
            <v>4888788</v>
          </cell>
          <cell r="E356" t="str">
            <v>ZB02</v>
          </cell>
          <cell r="F356" t="str">
            <v>09.04.2018</v>
          </cell>
          <cell r="G356" t="str">
            <v>610000004033 &amp; P12-MI-ME</v>
          </cell>
          <cell r="H356" t="str">
            <v>TECO PCNF NMAT PRC  SETC</v>
          </cell>
        </row>
        <row r="357">
          <cell r="D357">
            <v>4888797</v>
          </cell>
          <cell r="E357" t="str">
            <v>ZB02</v>
          </cell>
          <cell r="F357" t="str">
            <v>09.04.2018</v>
          </cell>
          <cell r="G357" t="str">
            <v>610000004027 &amp; P11-ML-ME</v>
          </cell>
          <cell r="H357" t="str">
            <v>TECO PCNF NMAT PRC  SETC</v>
          </cell>
        </row>
        <row r="358">
          <cell r="D358">
            <v>4888818</v>
          </cell>
          <cell r="E358" t="str">
            <v>ZB02</v>
          </cell>
          <cell r="F358" t="str">
            <v>09.04.2018</v>
          </cell>
          <cell r="G358" t="str">
            <v>610000004053 &amp; P13-MI-ME</v>
          </cell>
          <cell r="H358" t="str">
            <v>TECO PCNF NMAT PRC  SETC</v>
          </cell>
        </row>
        <row r="359">
          <cell r="D359">
            <v>4888819</v>
          </cell>
          <cell r="E359" t="str">
            <v>ZB02</v>
          </cell>
          <cell r="F359" t="str">
            <v>09.04.2018</v>
          </cell>
          <cell r="G359" t="str">
            <v>610000004080 &amp; P16-MV-ME</v>
          </cell>
          <cell r="H359" t="str">
            <v>TECO PCNF NMAT PRC  SETC</v>
          </cell>
        </row>
        <row r="360">
          <cell r="D360">
            <v>4888820</v>
          </cell>
          <cell r="E360" t="str">
            <v>ZB02</v>
          </cell>
          <cell r="F360" t="str">
            <v>09.04.2018</v>
          </cell>
          <cell r="G360" t="str">
            <v>610000004092 &amp; P18-MI-ME</v>
          </cell>
          <cell r="H360" t="str">
            <v>TECO PCNF NMAT PRC  SETC</v>
          </cell>
        </row>
        <row r="361">
          <cell r="D361">
            <v>4888821</v>
          </cell>
          <cell r="E361" t="str">
            <v>ZB02</v>
          </cell>
          <cell r="F361" t="str">
            <v>09.04.2018</v>
          </cell>
          <cell r="G361" t="str">
            <v>610000004096 &amp; P10-NI-EE</v>
          </cell>
          <cell r="H361" t="str">
            <v>TECO PCNF NMAT PRC  SETC</v>
          </cell>
        </row>
        <row r="362">
          <cell r="D362">
            <v>4888823</v>
          </cell>
          <cell r="E362" t="str">
            <v>ZB02</v>
          </cell>
          <cell r="F362" t="str">
            <v>09.04.2018</v>
          </cell>
          <cell r="G362" t="str">
            <v>342694 &amp; P12-MC-ME2</v>
          </cell>
          <cell r="H362" t="str">
            <v>TECO PCNF NMAT PRC  SETC</v>
          </cell>
        </row>
        <row r="363">
          <cell r="D363">
            <v>4894067</v>
          </cell>
          <cell r="E363" t="str">
            <v>ZB02</v>
          </cell>
          <cell r="F363" t="str">
            <v>09.04.2018</v>
          </cell>
          <cell r="G363" t="str">
            <v>610000004116 &amp; P12-NT-EE</v>
          </cell>
          <cell r="H363" t="str">
            <v>TECO PCNF NMAT PRC  SETC</v>
          </cell>
        </row>
        <row r="364">
          <cell r="D364">
            <v>4891929</v>
          </cell>
          <cell r="E364" t="str">
            <v>ZB02</v>
          </cell>
          <cell r="F364" t="str">
            <v>10.04.2018</v>
          </cell>
          <cell r="G364" t="str">
            <v>610000004051 &amp; P13-FL-ME</v>
          </cell>
          <cell r="H364" t="str">
            <v>TECO PCNF NMAT PRC  SETC</v>
          </cell>
        </row>
        <row r="365">
          <cell r="D365">
            <v>4891931</v>
          </cell>
          <cell r="E365" t="str">
            <v>ZB02</v>
          </cell>
          <cell r="F365" t="str">
            <v>10.04.2018</v>
          </cell>
          <cell r="G365" t="str">
            <v>610000004021 &amp; P10-FI-ME</v>
          </cell>
          <cell r="H365" t="str">
            <v>TECO PCNF NMAT PRC  SETC</v>
          </cell>
        </row>
        <row r="366">
          <cell r="D366">
            <v>4891934</v>
          </cell>
          <cell r="E366" t="str">
            <v>ZB02</v>
          </cell>
          <cell r="F366" t="str">
            <v>10.04.2018</v>
          </cell>
          <cell r="G366" t="str">
            <v>610000004177 &amp; P18-MC-EE</v>
          </cell>
          <cell r="H366" t="str">
            <v>TECO PCNF NMAT PRC  SETC</v>
          </cell>
        </row>
        <row r="367">
          <cell r="D367">
            <v>4894077</v>
          </cell>
          <cell r="E367" t="str">
            <v>ZB02</v>
          </cell>
          <cell r="F367" t="str">
            <v>10.04.2018</v>
          </cell>
          <cell r="G367" t="str">
            <v>610000004031 &amp; P12-FI-ME</v>
          </cell>
          <cell r="H367" t="str">
            <v>TECO PCNF NMAT PRC  SETC</v>
          </cell>
        </row>
        <row r="368">
          <cell r="D368">
            <v>4891933</v>
          </cell>
          <cell r="E368" t="str">
            <v>ZB02</v>
          </cell>
          <cell r="F368" t="str">
            <v>11.04.2018</v>
          </cell>
          <cell r="G368" t="str">
            <v>610000004146 &amp; P15-QI-EE</v>
          </cell>
          <cell r="H368" t="str">
            <v>TECO PCNF NMAT PRC  SETC</v>
          </cell>
        </row>
        <row r="369">
          <cell r="D369">
            <v>4894063</v>
          </cell>
          <cell r="E369" t="str">
            <v>ZB02</v>
          </cell>
          <cell r="F369" t="str">
            <v>11.04.2018</v>
          </cell>
          <cell r="G369" t="str">
            <v>342258 &amp; P17-FI-ME2</v>
          </cell>
          <cell r="H369" t="str">
            <v>TECO PCNF NMAT PRC  SETC</v>
          </cell>
        </row>
        <row r="370">
          <cell r="D370">
            <v>4894066</v>
          </cell>
          <cell r="E370" t="str">
            <v>ZB02</v>
          </cell>
          <cell r="F370" t="str">
            <v>11.04.2018</v>
          </cell>
          <cell r="G370" t="str">
            <v>610000004095 &amp; P10-MC-EE</v>
          </cell>
          <cell r="H370" t="str">
            <v>TECO PCNF NMAT PRC  SETC</v>
          </cell>
        </row>
        <row r="371">
          <cell r="D371">
            <v>4894068</v>
          </cell>
          <cell r="E371" t="str">
            <v>ZB02</v>
          </cell>
          <cell r="F371" t="str">
            <v>11.04.2018</v>
          </cell>
          <cell r="G371" t="str">
            <v>610000004156 &amp; P16-QI-EE</v>
          </cell>
          <cell r="H371" t="str">
            <v>TECO PCNF NMAT PRC  SETC</v>
          </cell>
        </row>
        <row r="372">
          <cell r="D372">
            <v>4894069</v>
          </cell>
          <cell r="E372" t="str">
            <v>ZB02</v>
          </cell>
          <cell r="F372" t="str">
            <v>11.04.2018</v>
          </cell>
          <cell r="G372" t="str">
            <v>610000004163 &amp; P17-MC-EE</v>
          </cell>
          <cell r="H372" t="str">
            <v>TECO PCNF NMAT PRC  SETC</v>
          </cell>
        </row>
        <row r="373">
          <cell r="D373">
            <v>4894065</v>
          </cell>
          <cell r="E373" t="str">
            <v>ZB02</v>
          </cell>
          <cell r="F373" t="str">
            <v>12.04.2018</v>
          </cell>
          <cell r="G373" t="str">
            <v>610000004052 &amp; P13-MC-ME</v>
          </cell>
          <cell r="H373" t="str">
            <v>TECO PCNF NMAT PRC  SETC</v>
          </cell>
        </row>
        <row r="374">
          <cell r="D374">
            <v>4895897</v>
          </cell>
          <cell r="E374" t="str">
            <v>ZB02</v>
          </cell>
          <cell r="F374" t="str">
            <v>12.04.2018</v>
          </cell>
          <cell r="G374" t="str">
            <v>610000004068 &amp; P15-WL-ME</v>
          </cell>
          <cell r="H374" t="str">
            <v>TECO PCNF NMAT PRC  SETC</v>
          </cell>
        </row>
        <row r="375">
          <cell r="D375">
            <v>4894686</v>
          </cell>
          <cell r="E375" t="str">
            <v>ZB02</v>
          </cell>
          <cell r="F375" t="str">
            <v>14.04.2018</v>
          </cell>
          <cell r="G375" t="str">
            <v>347638 &amp; P12-FI-ME2</v>
          </cell>
          <cell r="H375" t="str">
            <v>TECO PCNF NMAT PRC  SETC</v>
          </cell>
        </row>
        <row r="376">
          <cell r="D376">
            <v>4895937</v>
          </cell>
          <cell r="E376" t="str">
            <v>ZB02</v>
          </cell>
          <cell r="F376" t="str">
            <v>14.04.2018</v>
          </cell>
          <cell r="G376" t="str">
            <v>342257 &amp; P17-WC-ME</v>
          </cell>
          <cell r="H376" t="str">
            <v>TECO PCNF NMAT PRC  SETC</v>
          </cell>
        </row>
        <row r="377">
          <cell r="D377">
            <v>4896709</v>
          </cell>
          <cell r="E377" t="str">
            <v>ZB02</v>
          </cell>
          <cell r="F377" t="str">
            <v>14.04.2018</v>
          </cell>
          <cell r="G377" t="str">
            <v>347637 &amp; P12-WL-ME</v>
          </cell>
          <cell r="H377" t="str">
            <v>TECO PCNF NMAT PRC  SETC</v>
          </cell>
        </row>
        <row r="378">
          <cell r="D378">
            <v>4887687</v>
          </cell>
          <cell r="E378" t="str">
            <v>ZB02</v>
          </cell>
          <cell r="F378" t="str">
            <v>16.04.2018</v>
          </cell>
          <cell r="G378" t="str">
            <v>610000004131 &amp; P14-NI-EE3</v>
          </cell>
          <cell r="H378" t="str">
            <v>TECO PCNF NMAT PRC  SETC</v>
          </cell>
        </row>
        <row r="379">
          <cell r="D379">
            <v>4895961</v>
          </cell>
          <cell r="E379" t="str">
            <v>ZB02</v>
          </cell>
          <cell r="F379" t="str">
            <v>17.04.2018</v>
          </cell>
          <cell r="G379" t="str">
            <v>610000004175 &amp; P18-FI-EE3</v>
          </cell>
          <cell r="H379" t="str">
            <v>TECO PCNF NMAT PRC  SETC</v>
          </cell>
        </row>
        <row r="380">
          <cell r="D380">
            <v>4895928</v>
          </cell>
          <cell r="E380" t="str">
            <v>ZB02</v>
          </cell>
          <cell r="F380" t="str">
            <v>18.04.2018</v>
          </cell>
          <cell r="G380" t="str">
            <v>610000004103 &amp; P11-NI-EE</v>
          </cell>
          <cell r="H380" t="str">
            <v>TECO PCNF NMAT PRC  SETC</v>
          </cell>
        </row>
        <row r="381">
          <cell r="D381">
            <v>4895932</v>
          </cell>
          <cell r="E381" t="str">
            <v>ZB02</v>
          </cell>
          <cell r="F381" t="str">
            <v>18.04.2018</v>
          </cell>
          <cell r="G381" t="str">
            <v>610000004069 &amp; P15-FI-ME</v>
          </cell>
          <cell r="H381" t="str">
            <v>TECO PCNF NMAT PRC  SETC</v>
          </cell>
        </row>
        <row r="382">
          <cell r="D382">
            <v>4895949</v>
          </cell>
          <cell r="E382" t="str">
            <v>ZB02</v>
          </cell>
          <cell r="F382" t="str">
            <v>18.04.2018</v>
          </cell>
          <cell r="G382" t="str">
            <v>610000004070 &amp; P15-FL-ME</v>
          </cell>
          <cell r="H382" t="str">
            <v>TECO PCNF NMAT PRC  SETC</v>
          </cell>
        </row>
        <row r="383">
          <cell r="D383">
            <v>4895929</v>
          </cell>
          <cell r="E383" t="str">
            <v>ZB02</v>
          </cell>
          <cell r="F383" t="str">
            <v>19.04.2018</v>
          </cell>
          <cell r="G383" t="str">
            <v>610000004032 &amp; P12-ML-ME</v>
          </cell>
          <cell r="H383" t="str">
            <v>TECO PCNF NMAT PRC  SETC</v>
          </cell>
        </row>
        <row r="384">
          <cell r="D384">
            <v>4895972</v>
          </cell>
          <cell r="E384" t="str">
            <v>ZB02</v>
          </cell>
          <cell r="F384" t="str">
            <v>19.04.2018</v>
          </cell>
          <cell r="G384" t="str">
            <v>342279 &amp; P14-ML-ME2</v>
          </cell>
          <cell r="H384" t="str">
            <v>TECO PCNF NMAT PRC  SETC</v>
          </cell>
        </row>
        <row r="385">
          <cell r="D385">
            <v>4896667</v>
          </cell>
          <cell r="E385" t="str">
            <v>ZB02</v>
          </cell>
          <cell r="F385" t="str">
            <v>19.04.2018</v>
          </cell>
          <cell r="G385" t="str">
            <v>610000004085 &amp; P17-FL-ME</v>
          </cell>
          <cell r="H385" t="str">
            <v>TECO PCNF NMAT PRC  SETC</v>
          </cell>
        </row>
        <row r="386">
          <cell r="D386">
            <v>4896685</v>
          </cell>
          <cell r="E386" t="str">
            <v>ZB02</v>
          </cell>
          <cell r="F386" t="str">
            <v>19.04.2018</v>
          </cell>
          <cell r="G386" t="str">
            <v>610000004077 &amp; P16-FL-ME</v>
          </cell>
          <cell r="H386" t="str">
            <v>TECO PCNF NMAT PRC  SETC</v>
          </cell>
        </row>
        <row r="387">
          <cell r="D387">
            <v>4896696</v>
          </cell>
          <cell r="E387" t="str">
            <v>ZB02</v>
          </cell>
          <cell r="F387" t="str">
            <v>19.04.2018</v>
          </cell>
          <cell r="G387" t="str">
            <v>610000004086 &amp; P17-FI-ME</v>
          </cell>
          <cell r="H387" t="str">
            <v>TECO PCNF NMAT PRC  SETC</v>
          </cell>
        </row>
        <row r="388">
          <cell r="D388">
            <v>4897355</v>
          </cell>
          <cell r="E388" t="str">
            <v>ZB02</v>
          </cell>
          <cell r="F388" t="str">
            <v>19.04.2018</v>
          </cell>
          <cell r="G388" t="str">
            <v>610000004068 &amp; P15-WL-ME</v>
          </cell>
          <cell r="H388" t="str">
            <v>TECO PCNF NMAT PRC  SETC</v>
          </cell>
        </row>
        <row r="389">
          <cell r="D389">
            <v>4888703</v>
          </cell>
          <cell r="E389" t="str">
            <v>ZB02</v>
          </cell>
          <cell r="F389" t="str">
            <v>20.04.2018</v>
          </cell>
          <cell r="G389" t="str">
            <v>610000004111 &amp; P12-NC-EE</v>
          </cell>
          <cell r="H389" t="str">
            <v>TECO PCNF NMAT PRC  SETC</v>
          </cell>
        </row>
        <row r="390">
          <cell r="D390">
            <v>4896518</v>
          </cell>
          <cell r="E390" t="str">
            <v>ZB02</v>
          </cell>
          <cell r="F390" t="str">
            <v>20.04.2018</v>
          </cell>
          <cell r="G390" t="str">
            <v>610000004091 &amp; P18-FL-ME</v>
          </cell>
          <cell r="H390" t="str">
            <v>TECO PCNF NMAT PRC  SETC</v>
          </cell>
        </row>
        <row r="391">
          <cell r="D391">
            <v>4896660</v>
          </cell>
          <cell r="E391" t="str">
            <v>ZB02</v>
          </cell>
          <cell r="F391" t="str">
            <v>20.04.2018</v>
          </cell>
          <cell r="G391" t="str">
            <v>610000004161 &amp; P17-FC-EE</v>
          </cell>
          <cell r="H391" t="str">
            <v>TECO PCNF NMAT PRC  SETC</v>
          </cell>
        </row>
        <row r="392">
          <cell r="D392">
            <v>4896663</v>
          </cell>
          <cell r="E392" t="str">
            <v>ZB02</v>
          </cell>
          <cell r="F392" t="str">
            <v>20.04.2018</v>
          </cell>
          <cell r="G392" t="str">
            <v>610000004025 &amp; P11-FL-ME</v>
          </cell>
          <cell r="H392" t="str">
            <v>TECO PCNF NMAT PRC  SETC</v>
          </cell>
        </row>
        <row r="393">
          <cell r="D393">
            <v>4896698</v>
          </cell>
          <cell r="E393" t="str">
            <v>ZB02</v>
          </cell>
          <cell r="F393" t="str">
            <v>20.04.2018</v>
          </cell>
          <cell r="G393" t="str">
            <v>610000004102 &amp; P11-MC-EE</v>
          </cell>
          <cell r="H393" t="str">
            <v>TECO PCNF NMAT PRC  SETC</v>
          </cell>
        </row>
        <row r="394">
          <cell r="D394">
            <v>4896701</v>
          </cell>
          <cell r="E394" t="str">
            <v>ZB02</v>
          </cell>
          <cell r="F394" t="str">
            <v>20.04.2018</v>
          </cell>
          <cell r="G394" t="str">
            <v>610000004129 &amp; P14-MC-EE</v>
          </cell>
          <cell r="H394" t="str">
            <v>TECO PCNF NMAT PRC  SETC</v>
          </cell>
        </row>
        <row r="395">
          <cell r="D395">
            <v>4897508</v>
          </cell>
          <cell r="E395" t="str">
            <v>ZB02</v>
          </cell>
          <cell r="F395" t="str">
            <v>21.04.2018</v>
          </cell>
          <cell r="G395" t="str">
            <v>342257 &amp; P17-WC-ME</v>
          </cell>
          <cell r="H395" t="str">
            <v>TECO PCNF NMAT PRC  SETC</v>
          </cell>
        </row>
        <row r="396">
          <cell r="D396">
            <v>4898174</v>
          </cell>
          <cell r="E396" t="str">
            <v>ZB02</v>
          </cell>
          <cell r="F396" t="str">
            <v>21.04.2018</v>
          </cell>
          <cell r="G396" t="str">
            <v>347637 &amp; P12-WL-ME</v>
          </cell>
          <cell r="H396" t="str">
            <v>TECO PCNF NMAT PRC  SETC</v>
          </cell>
        </row>
        <row r="397">
          <cell r="D397">
            <v>4888825</v>
          </cell>
          <cell r="E397" t="str">
            <v>ZB02</v>
          </cell>
          <cell r="F397" t="str">
            <v>22.04.2018</v>
          </cell>
          <cell r="G397" t="str">
            <v>342744 &amp; P17-HCB-EE4</v>
          </cell>
          <cell r="H397" t="str">
            <v>TECO PCNF NMAT PRC  SETC</v>
          </cell>
        </row>
        <row r="398">
          <cell r="D398">
            <v>4896669</v>
          </cell>
          <cell r="E398" t="str">
            <v>ZB02</v>
          </cell>
          <cell r="F398" t="str">
            <v>22.04.2018</v>
          </cell>
          <cell r="G398" t="str">
            <v>610000004130 &amp; P14-NI-EE</v>
          </cell>
          <cell r="H398" t="str">
            <v>TECO PCNF NMAT PRC  SETC</v>
          </cell>
        </row>
        <row r="399">
          <cell r="D399">
            <v>4896677</v>
          </cell>
          <cell r="E399" t="str">
            <v>ZB02</v>
          </cell>
          <cell r="F399" t="str">
            <v>22.04.2018</v>
          </cell>
          <cell r="G399" t="str">
            <v>610000004050 &amp; P13-FC-ME</v>
          </cell>
          <cell r="H399" t="str">
            <v>TECO PCNF NMAT PRC  SETC</v>
          </cell>
        </row>
        <row r="400">
          <cell r="D400">
            <v>4896686</v>
          </cell>
          <cell r="E400" t="str">
            <v>ZB02</v>
          </cell>
          <cell r="F400" t="str">
            <v>22.04.2018</v>
          </cell>
          <cell r="G400" t="str">
            <v>610000004122 &amp; P13-NI-EE3</v>
          </cell>
          <cell r="H400" t="str">
            <v>TECO PCNF NMAT PRC  SETC</v>
          </cell>
        </row>
        <row r="401">
          <cell r="D401">
            <v>4896693</v>
          </cell>
          <cell r="E401" t="str">
            <v>ZB02</v>
          </cell>
          <cell r="F401" t="str">
            <v>22.04.2018</v>
          </cell>
          <cell r="G401" t="str">
            <v>610000004112 &amp; P12-NI-EE4</v>
          </cell>
          <cell r="H401" t="str">
            <v>TECO PCNF NMAT PRC  SETC</v>
          </cell>
        </row>
        <row r="402">
          <cell r="D402">
            <v>4896697</v>
          </cell>
          <cell r="E402" t="str">
            <v>ZB02</v>
          </cell>
          <cell r="F402" t="str">
            <v>23.04.2018</v>
          </cell>
          <cell r="G402" t="str">
            <v>610000004162 &amp; P17-MI-EE</v>
          </cell>
          <cell r="H402" t="str">
            <v>TECO PCNF NMAT PRC  SETC</v>
          </cell>
        </row>
        <row r="403">
          <cell r="D403">
            <v>4896711</v>
          </cell>
          <cell r="E403" t="str">
            <v>ZB02</v>
          </cell>
          <cell r="F403" t="str">
            <v>23.04.2018</v>
          </cell>
          <cell r="G403" t="str">
            <v>347678 &amp; P12-MI-EE</v>
          </cell>
          <cell r="H403" t="str">
            <v>TECO PCNF NMAT PRC  SETC</v>
          </cell>
        </row>
        <row r="404">
          <cell r="D404">
            <v>4897354</v>
          </cell>
          <cell r="E404" t="str">
            <v>ZB02</v>
          </cell>
          <cell r="F404" t="str">
            <v>24.04.2018</v>
          </cell>
          <cell r="G404" t="str">
            <v>610000004051 &amp; P13-FL-ME</v>
          </cell>
          <cell r="H404" t="str">
            <v>TECO PCNF NMAT PRC  SETC</v>
          </cell>
        </row>
        <row r="405">
          <cell r="D405">
            <v>4897358</v>
          </cell>
          <cell r="E405" t="str">
            <v>ZB02</v>
          </cell>
          <cell r="F405" t="str">
            <v>24.04.2018</v>
          </cell>
          <cell r="G405" t="str">
            <v>610000004021 &amp; P10-FI-ME</v>
          </cell>
          <cell r="H405" t="str">
            <v>TECO PCNF NMAT PRC  SETC</v>
          </cell>
        </row>
        <row r="406">
          <cell r="D406">
            <v>4897504</v>
          </cell>
          <cell r="E406" t="str">
            <v>ZB02</v>
          </cell>
          <cell r="F406" t="str">
            <v>24.04.2018</v>
          </cell>
          <cell r="G406" t="str">
            <v>610000004176 &amp; P18-NI-EE</v>
          </cell>
          <cell r="H406" t="str">
            <v>TECO PCNF NMAT PRC  SETC</v>
          </cell>
        </row>
        <row r="407">
          <cell r="D407">
            <v>4897518</v>
          </cell>
          <cell r="E407" t="str">
            <v>ZB02</v>
          </cell>
          <cell r="F407" t="str">
            <v>24.04.2018</v>
          </cell>
          <cell r="G407" t="str">
            <v>610000004031 &amp; P12-FI-ME</v>
          </cell>
          <cell r="H407" t="str">
            <v>TECO PCNF NMAT PRC  SETC</v>
          </cell>
        </row>
        <row r="408">
          <cell r="D408">
            <v>4897510</v>
          </cell>
          <cell r="E408" t="str">
            <v>ZB02</v>
          </cell>
          <cell r="F408" t="str">
            <v>25.04.2018</v>
          </cell>
          <cell r="G408" t="str">
            <v>342258 &amp; P17-FI-ME2</v>
          </cell>
          <cell r="H408" t="str">
            <v>TECO PCNF NMAT PRC  SETC</v>
          </cell>
        </row>
        <row r="409">
          <cell r="D409">
            <v>4897519</v>
          </cell>
          <cell r="E409" t="str">
            <v>ZB02</v>
          </cell>
          <cell r="F409" t="str">
            <v>25.04.2018</v>
          </cell>
          <cell r="G409" t="str">
            <v>342586 &amp; P16-MCB-EE</v>
          </cell>
          <cell r="H409" t="str">
            <v>TECO PCNF NMAT PRC  SETC</v>
          </cell>
        </row>
        <row r="410">
          <cell r="D410">
            <v>4898067</v>
          </cell>
          <cell r="E410" t="str">
            <v>ZB02</v>
          </cell>
          <cell r="F410" t="str">
            <v>25.04.2018</v>
          </cell>
          <cell r="G410" t="str">
            <v>610000004123 &amp; P13-NC-EE</v>
          </cell>
          <cell r="H410" t="str">
            <v>TECO PCNF NMAT PRC  SETC</v>
          </cell>
        </row>
        <row r="411">
          <cell r="D411">
            <v>4894080</v>
          </cell>
          <cell r="E411" t="str">
            <v>ZB02</v>
          </cell>
          <cell r="F411" t="str">
            <v>26.04.2018</v>
          </cell>
          <cell r="G411" t="str">
            <v>6M - EE Flavoring Zone (P17)</v>
          </cell>
          <cell r="H411" t="str">
            <v>TECO PCNF NMAT PRC  SETC</v>
          </cell>
        </row>
        <row r="412">
          <cell r="D412">
            <v>4894081</v>
          </cell>
          <cell r="E412" t="str">
            <v>ZB02</v>
          </cell>
          <cell r="F412" t="str">
            <v>26.04.2018</v>
          </cell>
          <cell r="G412" t="str">
            <v>343914 &amp; P16-HC-EE</v>
          </cell>
          <cell r="H412" t="str">
            <v>TECO PCNF NMAT PRC  SETC</v>
          </cell>
        </row>
        <row r="413">
          <cell r="D413">
            <v>4897511</v>
          </cell>
          <cell r="E413" t="str">
            <v>ZB02</v>
          </cell>
          <cell r="F413" t="str">
            <v>26.04.2018</v>
          </cell>
          <cell r="G413" t="str">
            <v>610000004152 &amp; P16-MC-EE</v>
          </cell>
          <cell r="H413" t="str">
            <v>TECO PCNF NMAT PRC  SETC</v>
          </cell>
        </row>
        <row r="414">
          <cell r="D414">
            <v>4899100</v>
          </cell>
          <cell r="E414" t="str">
            <v>ZB02</v>
          </cell>
          <cell r="F414" t="str">
            <v>26.04.2018</v>
          </cell>
          <cell r="G414" t="str">
            <v>610000004068 &amp; P15-WL-ME</v>
          </cell>
          <cell r="H414" t="str">
            <v>TECO PCNF NMAT PRC  SETC</v>
          </cell>
        </row>
        <row r="415">
          <cell r="D415">
            <v>4898184</v>
          </cell>
          <cell r="E415" t="str">
            <v>ZB02</v>
          </cell>
          <cell r="F415" t="str">
            <v>28.04.2018</v>
          </cell>
          <cell r="G415" t="str">
            <v>347638 &amp; P12-FI-ME2</v>
          </cell>
          <cell r="H415" t="str">
            <v>TECO PCNF NMAT PRC  SETC</v>
          </cell>
        </row>
        <row r="416">
          <cell r="D416">
            <v>4899115</v>
          </cell>
          <cell r="E416" t="str">
            <v>ZB02</v>
          </cell>
          <cell r="F416" t="str">
            <v>28.04.2018</v>
          </cell>
          <cell r="G416" t="str">
            <v>342257 &amp; P17-WC-ME</v>
          </cell>
          <cell r="H416" t="str">
            <v>TECO PCNF NMAT PRC  SETC</v>
          </cell>
        </row>
        <row r="417">
          <cell r="D417">
            <v>4899952</v>
          </cell>
          <cell r="E417" t="str">
            <v>ZB02</v>
          </cell>
          <cell r="F417" t="str">
            <v>28.04.2018</v>
          </cell>
          <cell r="G417" t="str">
            <v>347637 &amp; P12-WL-ME</v>
          </cell>
          <cell r="H417" t="str">
            <v>TECO PCNF NMAT PRC  SETC</v>
          </cell>
        </row>
        <row r="418">
          <cell r="D418">
            <v>4898170</v>
          </cell>
          <cell r="E418" t="str">
            <v>ZB02</v>
          </cell>
          <cell r="F418" t="str">
            <v>29.04.2018</v>
          </cell>
          <cell r="G418" t="str">
            <v>342588 &amp; P17-MI-EE2</v>
          </cell>
          <cell r="H418" t="str">
            <v>TECO PCNF NMAT PRC  SETC</v>
          </cell>
        </row>
        <row r="419">
          <cell r="D419">
            <v>4888785</v>
          </cell>
          <cell r="E419" t="str">
            <v>ZB02</v>
          </cell>
          <cell r="F419" t="str">
            <v>01.05.2018</v>
          </cell>
          <cell r="G419" t="str">
            <v>342348 &amp; P18-YR-ME2</v>
          </cell>
          <cell r="H419" t="str">
            <v>TECO PCNF NMAT PRC  SETC</v>
          </cell>
        </row>
        <row r="420">
          <cell r="D420">
            <v>4899127</v>
          </cell>
          <cell r="E420" t="str">
            <v>ZB02</v>
          </cell>
          <cell r="F420" t="str">
            <v>01.05.2018</v>
          </cell>
          <cell r="G420" t="str">
            <v>610000004175 &amp; P18-FI-EE3</v>
          </cell>
          <cell r="H420" t="str">
            <v>TECO PCNF NMAT PRC  SETC</v>
          </cell>
        </row>
        <row r="421">
          <cell r="D421">
            <v>4899143</v>
          </cell>
          <cell r="E421" t="str">
            <v>ZB02</v>
          </cell>
          <cell r="F421" t="str">
            <v>01.05.2018</v>
          </cell>
          <cell r="G421" t="str">
            <v>347639 &amp; P12-MI-ME2</v>
          </cell>
          <cell r="H421" t="str">
            <v>TECO PCNF NMAT PRC  SETC</v>
          </cell>
        </row>
        <row r="422">
          <cell r="D422">
            <v>4902363</v>
          </cell>
          <cell r="E422" t="str">
            <v>ZB02</v>
          </cell>
          <cell r="F422" t="str">
            <v>01.05.2018</v>
          </cell>
          <cell r="G422" t="str">
            <v>610000004081 &amp; P16-MR-ME</v>
          </cell>
          <cell r="H422" t="str">
            <v>TECO PCNF NMAT PRC  SETC</v>
          </cell>
        </row>
        <row r="423">
          <cell r="D423">
            <v>4899113</v>
          </cell>
          <cell r="E423" t="str">
            <v>ZB02</v>
          </cell>
          <cell r="F423" t="str">
            <v>02.05.2018</v>
          </cell>
          <cell r="G423" t="str">
            <v>610000004069 &amp; P15-FI-ME</v>
          </cell>
          <cell r="H423" t="str">
            <v>TECO PCNF NMAT PRC  SETC</v>
          </cell>
        </row>
        <row r="424">
          <cell r="D424">
            <v>4899122</v>
          </cell>
          <cell r="E424" t="str">
            <v>ZB02</v>
          </cell>
          <cell r="F424" t="str">
            <v>02.05.2018</v>
          </cell>
          <cell r="G424" t="str">
            <v>610000004070 &amp; P15-FL-ME</v>
          </cell>
          <cell r="H424" t="str">
            <v>TECO PCNF NMAT PRC  SETC</v>
          </cell>
        </row>
        <row r="425">
          <cell r="D425">
            <v>4895927</v>
          </cell>
          <cell r="E425" t="str">
            <v>ZB02</v>
          </cell>
          <cell r="F425" t="str">
            <v>03.05.2018</v>
          </cell>
          <cell r="G425" t="str">
            <v>610000004100 &amp; P10-HI-EE</v>
          </cell>
          <cell r="H425" t="str">
            <v>TECO PCNF NMAT PRC  SETC</v>
          </cell>
        </row>
        <row r="426">
          <cell r="D426">
            <v>4899821</v>
          </cell>
          <cell r="E426" t="str">
            <v>ZB02</v>
          </cell>
          <cell r="F426" t="str">
            <v>03.05.2018</v>
          </cell>
          <cell r="G426" t="str">
            <v>610000004085 &amp; P17-FL-ME</v>
          </cell>
          <cell r="H426" t="str">
            <v>TECO PCNF NMAT PRC  SETC</v>
          </cell>
        </row>
        <row r="427">
          <cell r="D427">
            <v>4899874</v>
          </cell>
          <cell r="E427" t="str">
            <v>ZB02</v>
          </cell>
          <cell r="F427" t="str">
            <v>03.05.2018</v>
          </cell>
          <cell r="G427" t="str">
            <v>610000004077 &amp; P16-FL-ME</v>
          </cell>
          <cell r="H427" t="str">
            <v>TECO PCNF NMAT PRC  SETC</v>
          </cell>
        </row>
        <row r="428">
          <cell r="D428">
            <v>4899925</v>
          </cell>
          <cell r="E428" t="str">
            <v>ZB02</v>
          </cell>
          <cell r="F428" t="str">
            <v>03.05.2018</v>
          </cell>
          <cell r="G428" t="str">
            <v>610000004086 &amp; P17-FI-ME</v>
          </cell>
          <cell r="H428" t="str">
            <v>TECO PCNF NMAT PRC  SETC</v>
          </cell>
        </row>
        <row r="429">
          <cell r="D429">
            <v>4900700</v>
          </cell>
          <cell r="E429" t="str">
            <v>ZB02</v>
          </cell>
          <cell r="F429" t="str">
            <v>03.05.2018</v>
          </cell>
          <cell r="G429" t="str">
            <v>610000004068 &amp; P15-WL-ME</v>
          </cell>
          <cell r="H429" t="str">
            <v>TECO PCNF NMAT PRC  SETC</v>
          </cell>
        </row>
        <row r="430">
          <cell r="D430">
            <v>4899792</v>
          </cell>
          <cell r="E430" t="str">
            <v>ZB02</v>
          </cell>
          <cell r="F430" t="str">
            <v>04.05.2018</v>
          </cell>
          <cell r="G430" t="str">
            <v>610000004091 &amp; P18-FL-ME</v>
          </cell>
          <cell r="H430" t="str">
            <v>TECO PCNF NMAT PRC  SETC</v>
          </cell>
        </row>
        <row r="431">
          <cell r="D431">
            <v>4899796</v>
          </cell>
          <cell r="E431" t="str">
            <v>ZB02</v>
          </cell>
          <cell r="F431" t="str">
            <v>04.05.2018</v>
          </cell>
          <cell r="G431" t="str">
            <v>610000004161 &amp; P17-FC-EE</v>
          </cell>
          <cell r="H431" t="str">
            <v>TECO PCNF NMAT PRC  SETC</v>
          </cell>
        </row>
        <row r="432">
          <cell r="D432">
            <v>4899814</v>
          </cell>
          <cell r="E432" t="str">
            <v>ZB02</v>
          </cell>
          <cell r="F432" t="str">
            <v>04.05.2018</v>
          </cell>
          <cell r="G432" t="str">
            <v>610000004025 &amp; P11-FL-ME</v>
          </cell>
          <cell r="H432" t="str">
            <v>TECO PCNF NMAT PRC  SETC</v>
          </cell>
        </row>
        <row r="433">
          <cell r="D433">
            <v>4899815</v>
          </cell>
          <cell r="E433" t="str">
            <v>ZB02</v>
          </cell>
          <cell r="F433" t="str">
            <v>05.05.2018</v>
          </cell>
          <cell r="G433" t="str">
            <v>610000004028 &amp; P11-MV-ME</v>
          </cell>
          <cell r="H433" t="str">
            <v>TECO PCNF NMAT PRC  SETC</v>
          </cell>
        </row>
        <row r="434">
          <cell r="D434">
            <v>4899820</v>
          </cell>
          <cell r="E434" t="str">
            <v>ZB02</v>
          </cell>
          <cell r="F434" t="str">
            <v>05.05.2018</v>
          </cell>
          <cell r="G434" t="str">
            <v>610000004078 &amp; P16-MC-ME</v>
          </cell>
          <cell r="H434" t="str">
            <v>TECO PCNF NMAT PRC  SETC</v>
          </cell>
        </row>
        <row r="435">
          <cell r="D435">
            <v>4899840</v>
          </cell>
          <cell r="E435" t="str">
            <v>ZB02</v>
          </cell>
          <cell r="F435" t="str">
            <v>05.05.2018</v>
          </cell>
          <cell r="G435" t="str">
            <v>610000004061 &amp; P14-MI-ME</v>
          </cell>
          <cell r="H435" t="str">
            <v>TECO PCNF NMAT PRC  SETC</v>
          </cell>
        </row>
        <row r="436">
          <cell r="D436">
            <v>4899841</v>
          </cell>
          <cell r="E436" t="str">
            <v>ZB02</v>
          </cell>
          <cell r="F436" t="str">
            <v>05.05.2018</v>
          </cell>
          <cell r="G436" t="str">
            <v>610000004064 &amp; P14-MC-ME</v>
          </cell>
          <cell r="H436" t="str">
            <v>TECO PCNF NMAT PRC  SETC</v>
          </cell>
        </row>
        <row r="437">
          <cell r="D437">
            <v>4899849</v>
          </cell>
          <cell r="E437" t="str">
            <v>ZB02</v>
          </cell>
          <cell r="F437" t="str">
            <v>05.05.2018</v>
          </cell>
          <cell r="G437" t="str">
            <v>610000004072 &amp; P15-MV-ME</v>
          </cell>
          <cell r="H437" t="str">
            <v>TECO PCNF NMAT PRC  SETC</v>
          </cell>
        </row>
        <row r="438">
          <cell r="D438">
            <v>4899850</v>
          </cell>
          <cell r="E438" t="str">
            <v>ZB02</v>
          </cell>
          <cell r="F438" t="str">
            <v>05.05.2018</v>
          </cell>
          <cell r="G438" t="str">
            <v>610000004073 &amp; P15-ML-ME</v>
          </cell>
          <cell r="H438" t="str">
            <v>TECO PCNF NMAT PRC  SETC</v>
          </cell>
        </row>
        <row r="439">
          <cell r="D439">
            <v>4899873</v>
          </cell>
          <cell r="E439" t="str">
            <v>ZB02</v>
          </cell>
          <cell r="F439" t="str">
            <v>05.05.2018</v>
          </cell>
          <cell r="G439" t="str">
            <v>610000004062 &amp; P14-ML-ME</v>
          </cell>
          <cell r="H439" t="str">
            <v>TECO PCNF NMAT PRC  SETC</v>
          </cell>
        </row>
        <row r="440">
          <cell r="D440">
            <v>4899904</v>
          </cell>
          <cell r="E440" t="str">
            <v>ZB02</v>
          </cell>
          <cell r="F440" t="str">
            <v>05.05.2018</v>
          </cell>
          <cell r="G440" t="str">
            <v>610000004063 &amp; P14-MV-ME</v>
          </cell>
          <cell r="H440" t="str">
            <v>TECO PCNF NMAT PRC  SETC</v>
          </cell>
        </row>
        <row r="441">
          <cell r="D441">
            <v>4899909</v>
          </cell>
          <cell r="E441" t="str">
            <v>ZB02</v>
          </cell>
          <cell r="F441" t="str">
            <v>05.05.2018</v>
          </cell>
          <cell r="G441" t="str">
            <v>610000004071 &amp; P15-MI-ME</v>
          </cell>
          <cell r="H441" t="str">
            <v>TECO PCNF NMAT PRC  SETC</v>
          </cell>
        </row>
        <row r="442">
          <cell r="D442">
            <v>4899924</v>
          </cell>
          <cell r="E442" t="str">
            <v>ZB02</v>
          </cell>
          <cell r="F442" t="str">
            <v>05.05.2018</v>
          </cell>
          <cell r="G442" t="str">
            <v>610000004135 &amp; P14-QC-EE</v>
          </cell>
          <cell r="H442" t="str">
            <v>TECO PCNF NMAT PRC  SETC</v>
          </cell>
        </row>
        <row r="443">
          <cell r="D443">
            <v>4899934</v>
          </cell>
          <cell r="E443" t="str">
            <v>ZB02</v>
          </cell>
          <cell r="F443" t="str">
            <v>05.05.2018</v>
          </cell>
          <cell r="G443" t="str">
            <v>610000004026 &amp; P11-MI-ME</v>
          </cell>
          <cell r="H443" t="str">
            <v>TECO PCNF NMAT PRC  SETC</v>
          </cell>
        </row>
        <row r="444">
          <cell r="D444">
            <v>4900720</v>
          </cell>
          <cell r="E444" t="str">
            <v>ZB02</v>
          </cell>
          <cell r="F444" t="str">
            <v>05.05.2018</v>
          </cell>
          <cell r="G444" t="str">
            <v>342257 &amp; P17-WC-ME</v>
          </cell>
          <cell r="H444" t="str">
            <v>TECO PCNF NMAT PRC  SETC</v>
          </cell>
        </row>
        <row r="445">
          <cell r="D445">
            <v>4901615</v>
          </cell>
          <cell r="E445" t="str">
            <v>ZB02</v>
          </cell>
          <cell r="F445" t="str">
            <v>05.05.2018</v>
          </cell>
          <cell r="G445" t="str">
            <v>347637 &amp; P12-WL-ME</v>
          </cell>
          <cell r="H445" t="str">
            <v>TECO PCNF NMAT PRC  SETC</v>
          </cell>
        </row>
        <row r="446">
          <cell r="D446">
            <v>4899851</v>
          </cell>
          <cell r="E446" t="str">
            <v>ZB02</v>
          </cell>
          <cell r="F446" t="str">
            <v>06.05.2018</v>
          </cell>
          <cell r="G446" t="str">
            <v>610000004050 &amp; P13-FC-ME</v>
          </cell>
          <cell r="H446" t="str">
            <v>TECO PCNF NMAT PRC  SETC</v>
          </cell>
        </row>
        <row r="447">
          <cell r="D447">
            <v>4894592</v>
          </cell>
          <cell r="E447" t="str">
            <v>ZB02</v>
          </cell>
          <cell r="F447" t="str">
            <v>07.05.2018</v>
          </cell>
          <cell r="G447" t="str">
            <v>610000004024 &amp; P10-HL-ME</v>
          </cell>
          <cell r="H447" t="str">
            <v>TECO PCNF NMAT PRC  SETC</v>
          </cell>
        </row>
        <row r="448">
          <cell r="D448">
            <v>4896673</v>
          </cell>
          <cell r="E448" t="str">
            <v>ZB02</v>
          </cell>
          <cell r="F448" t="str">
            <v>08.05.2018</v>
          </cell>
          <cell r="G448" t="str">
            <v>610000004138 &amp; P14-HI-EE</v>
          </cell>
          <cell r="H448" t="str">
            <v>TECO PCNF NMAT PRC  SETC</v>
          </cell>
        </row>
        <row r="449">
          <cell r="D449">
            <v>4900438</v>
          </cell>
          <cell r="E449" t="str">
            <v>ZB02</v>
          </cell>
          <cell r="F449" t="str">
            <v>08.05.2018</v>
          </cell>
          <cell r="G449" t="str">
            <v>610000004051 &amp; P13-FL-ME</v>
          </cell>
          <cell r="H449" t="str">
            <v>TECO PCNF NMAT PRC  SETC</v>
          </cell>
        </row>
        <row r="450">
          <cell r="D450">
            <v>4900734</v>
          </cell>
          <cell r="E450" t="str">
            <v>ZB02</v>
          </cell>
          <cell r="F450" t="str">
            <v>08.05.2018</v>
          </cell>
          <cell r="G450" t="str">
            <v>610000004031 &amp; P12-FI-ME</v>
          </cell>
          <cell r="H450" t="str">
            <v>TECO PCNF NMAT PRC  SETC</v>
          </cell>
        </row>
        <row r="451">
          <cell r="D451">
            <v>4901527</v>
          </cell>
          <cell r="E451" t="str">
            <v>ZB02</v>
          </cell>
          <cell r="F451" t="str">
            <v>08.05.2018</v>
          </cell>
          <cell r="G451" t="str">
            <v>610000004165 &amp; P17-NC-EE</v>
          </cell>
          <cell r="H451" t="str">
            <v>TECO PCNF NMAT PRC  SETC</v>
          </cell>
        </row>
        <row r="452">
          <cell r="D452">
            <v>4901528</v>
          </cell>
          <cell r="E452" t="str">
            <v>ZB02</v>
          </cell>
          <cell r="F452" t="str">
            <v>08.05.2018</v>
          </cell>
          <cell r="G452" t="str">
            <v>610000004166 &amp; P17-NI-EE</v>
          </cell>
          <cell r="H452" t="str">
            <v>TECO PCNF NMAT PRC  SETC</v>
          </cell>
        </row>
        <row r="453">
          <cell r="D453">
            <v>4900724</v>
          </cell>
          <cell r="E453" t="str">
            <v>ZB02</v>
          </cell>
          <cell r="F453" t="str">
            <v>09.05.2018</v>
          </cell>
          <cell r="G453" t="str">
            <v>342258 &amp; P17-FI-ME2</v>
          </cell>
          <cell r="H453" t="str">
            <v>TECO PCNF NMAT PRC  SETC</v>
          </cell>
        </row>
        <row r="454">
          <cell r="D454">
            <v>4885941</v>
          </cell>
          <cell r="E454" t="str">
            <v>ZB02</v>
          </cell>
          <cell r="F454" t="str">
            <v>10.05.2018</v>
          </cell>
          <cell r="G454" t="str">
            <v>610000004057 &amp; P13-HR-ME2</v>
          </cell>
          <cell r="H454" t="str">
            <v>TECO PCNF NMAT PRC  SETC</v>
          </cell>
        </row>
        <row r="455">
          <cell r="D455">
            <v>4894634</v>
          </cell>
          <cell r="E455" t="str">
            <v>ZB02</v>
          </cell>
          <cell r="F455" t="str">
            <v>10.05.2018</v>
          </cell>
          <cell r="G455" t="str">
            <v>610000004059 &amp; P13-HL-ME</v>
          </cell>
          <cell r="H455" t="str">
            <v>TECO PCNF NMAT PRC  SETC</v>
          </cell>
        </row>
        <row r="456">
          <cell r="D456">
            <v>4897509</v>
          </cell>
          <cell r="E456" t="str">
            <v>ZB02</v>
          </cell>
          <cell r="F456" t="str">
            <v>10.05.2018</v>
          </cell>
          <cell r="G456" t="str">
            <v>610000004058 &amp; P13-HR-ME</v>
          </cell>
          <cell r="H456" t="str">
            <v>TECO PCNF GMPS MANC PRC  SETC</v>
          </cell>
        </row>
        <row r="457">
          <cell r="D457">
            <v>4902430</v>
          </cell>
          <cell r="E457" t="str">
            <v>ZB02</v>
          </cell>
          <cell r="F457" t="str">
            <v>10.05.2018</v>
          </cell>
          <cell r="G457" t="str">
            <v>610000004068 &amp; P15-WL-ME</v>
          </cell>
          <cell r="H457" t="str">
            <v>TECO PCNF NMAT PRC  SETC</v>
          </cell>
        </row>
        <row r="458">
          <cell r="D458">
            <v>4901584</v>
          </cell>
          <cell r="E458" t="str">
            <v>ZB02</v>
          </cell>
          <cell r="F458" t="str">
            <v>11.05.2018</v>
          </cell>
          <cell r="G458" t="str">
            <v>610000004095 &amp; P10-MC-EE</v>
          </cell>
          <cell r="H458" t="str">
            <v>TECO PCNF NMAT PRC  SETC</v>
          </cell>
        </row>
        <row r="459">
          <cell r="D459">
            <v>4901585</v>
          </cell>
          <cell r="E459" t="str">
            <v>ZB02</v>
          </cell>
          <cell r="F459" t="str">
            <v>11.05.2018</v>
          </cell>
          <cell r="G459" t="str">
            <v>610000004163 &amp; P17-MC-EE</v>
          </cell>
          <cell r="H459" t="str">
            <v>TECO PCNF NMAT PRC  SETC</v>
          </cell>
        </row>
        <row r="460">
          <cell r="D460">
            <v>4901583</v>
          </cell>
          <cell r="E460" t="str">
            <v>ZB02</v>
          </cell>
          <cell r="F460" t="str">
            <v>12.05.2018</v>
          </cell>
          <cell r="G460" t="str">
            <v>610000004052 &amp; P13-MC-ME</v>
          </cell>
          <cell r="H460" t="str">
            <v>TECO PCNF NMAT PRC  SETC</v>
          </cell>
        </row>
        <row r="461">
          <cell r="D461">
            <v>4901619</v>
          </cell>
          <cell r="E461" t="str">
            <v>ZB02</v>
          </cell>
          <cell r="F461" t="str">
            <v>12.05.2018</v>
          </cell>
          <cell r="G461" t="str">
            <v>347638 &amp; P12-FI-ME2</v>
          </cell>
          <cell r="H461" t="str">
            <v>TECO PCNF NMAT PRC  SETC</v>
          </cell>
        </row>
        <row r="462">
          <cell r="D462">
            <v>4902440</v>
          </cell>
          <cell r="E462" t="str">
            <v>ZB02</v>
          </cell>
          <cell r="F462" t="str">
            <v>12.05.2018</v>
          </cell>
          <cell r="G462" t="str">
            <v>342257 &amp; P17-WC-ME</v>
          </cell>
          <cell r="H462" t="str">
            <v>TECO PCNF NMAT PRC  SETC</v>
          </cell>
        </row>
        <row r="463">
          <cell r="D463">
            <v>4903132</v>
          </cell>
          <cell r="E463" t="str">
            <v>ZB02</v>
          </cell>
          <cell r="F463" t="str">
            <v>12.05.2018</v>
          </cell>
          <cell r="G463" t="str">
            <v>347637 &amp; P12-WL-ME</v>
          </cell>
          <cell r="H463" t="str">
            <v>TECO PCNF NMAT PRC  SETC</v>
          </cell>
        </row>
        <row r="464">
          <cell r="D464">
            <v>4896710</v>
          </cell>
          <cell r="E464" t="str">
            <v>ZB02</v>
          </cell>
          <cell r="F464" t="str">
            <v>14.05.2018</v>
          </cell>
          <cell r="G464" t="str">
            <v>347677 &amp; P12-QI-EE</v>
          </cell>
          <cell r="H464" t="str">
            <v>TECO PCNF NMAT PRC  SETC</v>
          </cell>
        </row>
        <row r="465">
          <cell r="D465">
            <v>4902451</v>
          </cell>
          <cell r="E465" t="str">
            <v>ZB02</v>
          </cell>
          <cell r="F465" t="str">
            <v>15.05.2018</v>
          </cell>
          <cell r="G465" t="str">
            <v>610000004175 &amp; P18-FI-EE3</v>
          </cell>
          <cell r="H465" t="str">
            <v>TECO PCNF NMAT PRC  SETC</v>
          </cell>
        </row>
        <row r="466">
          <cell r="D466">
            <v>4902454</v>
          </cell>
          <cell r="E466" t="str">
            <v>ZB02</v>
          </cell>
          <cell r="F466" t="str">
            <v>15.05.2018</v>
          </cell>
          <cell r="G466" t="str">
            <v>610000004101 &amp; P11-NI-EE2</v>
          </cell>
          <cell r="H466" t="str">
            <v>TECO PCNF NMAT PRC  SETC</v>
          </cell>
        </row>
        <row r="467">
          <cell r="D467">
            <v>4902468</v>
          </cell>
          <cell r="E467" t="str">
            <v>ZB02</v>
          </cell>
          <cell r="F467" t="str">
            <v>15.05.2018</v>
          </cell>
          <cell r="G467" t="str">
            <v>610000004121 &amp; P13-NI-EE2</v>
          </cell>
          <cell r="H467" t="str">
            <v>TECO PCNF NMAT PRC  SETC</v>
          </cell>
        </row>
        <row r="468">
          <cell r="D468">
            <v>4903076</v>
          </cell>
          <cell r="E468" t="str">
            <v>ZB02</v>
          </cell>
          <cell r="F468" t="str">
            <v>15.05.2018</v>
          </cell>
          <cell r="G468" t="str">
            <v>610000004153 &amp; P16-NC-EE</v>
          </cell>
          <cell r="H468" t="str">
            <v>TECO PCNF NMAT PRC  SETC</v>
          </cell>
        </row>
        <row r="469">
          <cell r="D469">
            <v>4903108</v>
          </cell>
          <cell r="E469" t="str">
            <v>ZB02</v>
          </cell>
          <cell r="F469" t="str">
            <v>15.05.2018</v>
          </cell>
          <cell r="G469" t="str">
            <v>610000004143 &amp; P15-NC-EE</v>
          </cell>
          <cell r="H469" t="str">
            <v>TECO PCNF NMAT PRC  SETC</v>
          </cell>
        </row>
        <row r="470">
          <cell r="D470">
            <v>4896668</v>
          </cell>
          <cell r="E470" t="str">
            <v>ZB02</v>
          </cell>
          <cell r="F470" t="str">
            <v>16.05.2018</v>
          </cell>
          <cell r="G470" t="str">
            <v>610000004093 &amp; P18-HL-ME</v>
          </cell>
          <cell r="H470" t="str">
            <v>TECO PCNF NMAT PRC  SETC</v>
          </cell>
        </row>
        <row r="471">
          <cell r="D471">
            <v>4899121</v>
          </cell>
          <cell r="E471" t="str">
            <v>ZB02</v>
          </cell>
          <cell r="F471" t="str">
            <v>16.05.2018</v>
          </cell>
          <cell r="G471" t="str">
            <v>Bearing เสื่อมสภาพ PC-50</v>
          </cell>
          <cell r="H471" t="str">
            <v>TECO PCNF GMPS MANC PRC  SETC</v>
          </cell>
        </row>
        <row r="472">
          <cell r="D472">
            <v>4902437</v>
          </cell>
          <cell r="E472" t="str">
            <v>ZB02</v>
          </cell>
          <cell r="F472" t="str">
            <v>16.05.2018</v>
          </cell>
          <cell r="G472" t="str">
            <v>610000004069 &amp; P15-FI-ME</v>
          </cell>
          <cell r="H472" t="str">
            <v>TECO PCNF NMAT PRC  SETC</v>
          </cell>
        </row>
        <row r="473">
          <cell r="D473">
            <v>4902445</v>
          </cell>
          <cell r="E473" t="str">
            <v>ZB02</v>
          </cell>
          <cell r="F473" t="str">
            <v>16.05.2018</v>
          </cell>
          <cell r="G473" t="str">
            <v>610000004070 &amp; P15-FL-ME</v>
          </cell>
          <cell r="H473" t="str">
            <v>TECO PCNF NMAT PRC  SETC</v>
          </cell>
        </row>
        <row r="474">
          <cell r="D474">
            <v>4903109</v>
          </cell>
          <cell r="E474" t="str">
            <v>ZB02</v>
          </cell>
          <cell r="F474" t="str">
            <v>16.05.2018</v>
          </cell>
          <cell r="G474" t="str">
            <v>610000004178 &amp; P18-NC-EE</v>
          </cell>
          <cell r="H474" t="str">
            <v>TECO PCNF NMAT PRC  SETC</v>
          </cell>
        </row>
        <row r="475">
          <cell r="D475">
            <v>4902426</v>
          </cell>
          <cell r="E475" t="str">
            <v>ZB02</v>
          </cell>
          <cell r="F475" t="str">
            <v>17.05.2018</v>
          </cell>
          <cell r="G475" t="str">
            <v>610000004128 &amp; P14-NI-EE2</v>
          </cell>
          <cell r="H475" t="str">
            <v>TECO PCNF NMAT PRC  SETC</v>
          </cell>
        </row>
        <row r="476">
          <cell r="D476">
            <v>4902459</v>
          </cell>
          <cell r="E476" t="str">
            <v>ZB02</v>
          </cell>
          <cell r="F476" t="str">
            <v>17.05.2018</v>
          </cell>
          <cell r="G476" t="str">
            <v>610000004151 &amp; P16-NI-EE2</v>
          </cell>
          <cell r="H476" t="str">
            <v>TECO PCNF NMAT PRC  SETC</v>
          </cell>
        </row>
        <row r="477">
          <cell r="D477">
            <v>4902466</v>
          </cell>
          <cell r="E477" t="str">
            <v>ZB02</v>
          </cell>
          <cell r="F477" t="str">
            <v>17.05.2018</v>
          </cell>
          <cell r="G477" t="str">
            <v>610000004142 &amp; P15-NI-EE2</v>
          </cell>
          <cell r="H477" t="str">
            <v>TECO PCNF NMAT PRC  SETC</v>
          </cell>
        </row>
        <row r="478">
          <cell r="D478">
            <v>4903071</v>
          </cell>
          <cell r="E478" t="str">
            <v>ZB02</v>
          </cell>
          <cell r="F478" t="str">
            <v>17.05.2018</v>
          </cell>
          <cell r="G478" t="str">
            <v>610000004085 &amp; P17-FL-ME</v>
          </cell>
          <cell r="H478" t="str">
            <v>TECO PCNF NMAT PRC  SETC</v>
          </cell>
        </row>
        <row r="479">
          <cell r="D479">
            <v>4903092</v>
          </cell>
          <cell r="E479" t="str">
            <v>ZB02</v>
          </cell>
          <cell r="F479" t="str">
            <v>17.05.2018</v>
          </cell>
          <cell r="G479" t="str">
            <v>610000004077 &amp; P16-FL-ME</v>
          </cell>
          <cell r="H479" t="str">
            <v>TECO PCNF NMAT PRC  SETC</v>
          </cell>
        </row>
        <row r="480">
          <cell r="D480">
            <v>4903110</v>
          </cell>
          <cell r="E480" t="str">
            <v>ZB02</v>
          </cell>
          <cell r="F480" t="str">
            <v>17.05.2018</v>
          </cell>
          <cell r="G480" t="str">
            <v>610000004086 &amp; P17-FI-ME</v>
          </cell>
          <cell r="H480" t="str">
            <v>TECO PCNF NMAT PRC  SETC</v>
          </cell>
        </row>
        <row r="481">
          <cell r="D481">
            <v>4903926</v>
          </cell>
          <cell r="E481" t="str">
            <v>ZB02</v>
          </cell>
          <cell r="F481" t="str">
            <v>17.05.2018</v>
          </cell>
          <cell r="G481" t="str">
            <v>610000004068 &amp; P15-WL-ME</v>
          </cell>
          <cell r="H481" t="str">
            <v>TECO PCNF NMAT PRC  SETC</v>
          </cell>
        </row>
        <row r="482">
          <cell r="D482">
            <v>4902958</v>
          </cell>
          <cell r="E482" t="str">
            <v>ZB02</v>
          </cell>
          <cell r="F482" t="str">
            <v>18.05.2018</v>
          </cell>
          <cell r="G482" t="str">
            <v>610000004091 &amp; P18-FL-ME</v>
          </cell>
          <cell r="H482" t="str">
            <v>TECO PCNF NMAT PRC  SETC</v>
          </cell>
        </row>
        <row r="483">
          <cell r="D483">
            <v>4903061</v>
          </cell>
          <cell r="E483" t="str">
            <v>ZB02</v>
          </cell>
          <cell r="F483" t="str">
            <v>18.05.2018</v>
          </cell>
          <cell r="G483" t="str">
            <v>610000004161 &amp; P17-FC-EE</v>
          </cell>
          <cell r="H483" t="str">
            <v>TECO PCNF NMAT PRC  SETC</v>
          </cell>
        </row>
        <row r="484">
          <cell r="D484">
            <v>4903066</v>
          </cell>
          <cell r="E484" t="str">
            <v>ZB02</v>
          </cell>
          <cell r="F484" t="str">
            <v>19.05.2018</v>
          </cell>
          <cell r="G484" t="str">
            <v>610000004032 &amp; P12-ML-ME</v>
          </cell>
          <cell r="H484" t="str">
            <v>TECO PCNF NMAT PRC  SETC</v>
          </cell>
        </row>
        <row r="485">
          <cell r="D485">
            <v>4903114</v>
          </cell>
          <cell r="E485" t="str">
            <v>ZB02</v>
          </cell>
          <cell r="F485" t="str">
            <v>19.05.2018</v>
          </cell>
          <cell r="G485" t="str">
            <v>342279 &amp; P14-ML-ME2</v>
          </cell>
          <cell r="H485" t="str">
            <v>TECO PCNF NMAT PRC  SETC</v>
          </cell>
        </row>
        <row r="486">
          <cell r="D486">
            <v>4903932</v>
          </cell>
          <cell r="E486" t="str">
            <v>ZB02</v>
          </cell>
          <cell r="F486" t="str">
            <v>19.05.2018</v>
          </cell>
          <cell r="G486" t="str">
            <v>342257 &amp; P17-WC-ME</v>
          </cell>
          <cell r="H486" t="str">
            <v>TECO PCNF NMAT PRC  SETC</v>
          </cell>
        </row>
        <row r="487">
          <cell r="D487">
            <v>4904728</v>
          </cell>
          <cell r="E487" t="str">
            <v>ZB02</v>
          </cell>
          <cell r="F487" t="str">
            <v>19.05.2018</v>
          </cell>
          <cell r="G487" t="str">
            <v>347637 &amp; P12-WL-ME</v>
          </cell>
          <cell r="H487" t="str">
            <v>TECO PCNF NMAT PRC  SETC</v>
          </cell>
        </row>
        <row r="488">
          <cell r="D488">
            <v>4903060</v>
          </cell>
          <cell r="E488" t="str">
            <v>ZB02</v>
          </cell>
          <cell r="F488" t="str">
            <v>20.05.2018</v>
          </cell>
          <cell r="G488" t="str">
            <v>610000004079 &amp; P16-MI-ME</v>
          </cell>
          <cell r="H488" t="str">
            <v>TECO PCNF NMAT PRC  SETC</v>
          </cell>
        </row>
        <row r="489">
          <cell r="D489">
            <v>4903070</v>
          </cell>
          <cell r="E489" t="str">
            <v>ZB02</v>
          </cell>
          <cell r="F489" t="str">
            <v>20.05.2018</v>
          </cell>
          <cell r="G489" t="str">
            <v>610000004054 &amp; P13-MV-ME</v>
          </cell>
          <cell r="H489" t="str">
            <v>TECO PCNF NMAT PRC  SETC</v>
          </cell>
        </row>
        <row r="490">
          <cell r="D490">
            <v>4903077</v>
          </cell>
          <cell r="E490" t="str">
            <v>ZB02</v>
          </cell>
          <cell r="F490" t="str">
            <v>20.05.2018</v>
          </cell>
          <cell r="G490" t="str">
            <v>610000004177 &amp; P18-MC-EE</v>
          </cell>
          <cell r="H490" t="str">
            <v>TECO PCNF NMAT PRC  SETC</v>
          </cell>
        </row>
        <row r="491">
          <cell r="D491">
            <v>4903082</v>
          </cell>
          <cell r="E491" t="str">
            <v>ZB02</v>
          </cell>
          <cell r="F491" t="str">
            <v>20.05.2018</v>
          </cell>
          <cell r="G491" t="str">
            <v>610000004050 &amp; P13-FC-ME</v>
          </cell>
          <cell r="H491" t="str">
            <v>TECO PCNF NMAT PRC  SETC</v>
          </cell>
        </row>
        <row r="492">
          <cell r="D492">
            <v>4903085</v>
          </cell>
          <cell r="E492" t="str">
            <v>ZB02</v>
          </cell>
          <cell r="F492" t="str">
            <v>20.05.2018</v>
          </cell>
          <cell r="G492" t="str">
            <v>610000004088 &amp; P17-MR-ME</v>
          </cell>
          <cell r="H492" t="str">
            <v>TECO PCNF NMAT PRC  SETC</v>
          </cell>
        </row>
        <row r="493">
          <cell r="D493">
            <v>4903096</v>
          </cell>
          <cell r="E493" t="str">
            <v>ZB02</v>
          </cell>
          <cell r="F493" t="str">
            <v>20.05.2018</v>
          </cell>
          <cell r="G493" t="str">
            <v>610000004087 &amp; P17-MI-ME</v>
          </cell>
          <cell r="H493" t="str">
            <v>TECO PCNF NMAT PRC  SETC</v>
          </cell>
        </row>
        <row r="494">
          <cell r="D494">
            <v>4903102</v>
          </cell>
          <cell r="E494" t="str">
            <v>ZB02</v>
          </cell>
          <cell r="F494" t="str">
            <v>20.05.2018</v>
          </cell>
          <cell r="G494" t="str">
            <v>610000004022 &amp; P10-ML-ME</v>
          </cell>
          <cell r="H494" t="str">
            <v>TECO PCNF NMAT PRC  SETC</v>
          </cell>
        </row>
        <row r="495">
          <cell r="D495">
            <v>4903103</v>
          </cell>
          <cell r="E495" t="str">
            <v>ZB02</v>
          </cell>
          <cell r="F495" t="str">
            <v>20.05.2018</v>
          </cell>
          <cell r="G495" t="str">
            <v>610000004033 &amp; P12-MI-ME</v>
          </cell>
          <cell r="H495" t="str">
            <v>TECO PCNF NMAT PRC  SETC</v>
          </cell>
        </row>
        <row r="496">
          <cell r="D496">
            <v>4903111</v>
          </cell>
          <cell r="E496" t="str">
            <v>ZB02</v>
          </cell>
          <cell r="F496" t="str">
            <v>20.05.2018</v>
          </cell>
          <cell r="G496" t="str">
            <v>610000004102 &amp; P11-MC-EE</v>
          </cell>
          <cell r="H496" t="str">
            <v>TECO PCNF NMAT PRC  SETC</v>
          </cell>
        </row>
        <row r="497">
          <cell r="D497">
            <v>4903112</v>
          </cell>
          <cell r="E497" t="str">
            <v>ZB02</v>
          </cell>
          <cell r="F497" t="str">
            <v>20.05.2018</v>
          </cell>
          <cell r="G497" t="str">
            <v>610000004027 &amp; P11-ML-ME</v>
          </cell>
          <cell r="H497" t="str">
            <v>TECO PCNF NMAT PRC  SETC</v>
          </cell>
        </row>
        <row r="498">
          <cell r="D498">
            <v>4903121</v>
          </cell>
          <cell r="E498" t="str">
            <v>ZB02</v>
          </cell>
          <cell r="F498" t="str">
            <v>20.05.2018</v>
          </cell>
          <cell r="G498" t="str">
            <v>610000004053 &amp; P13-MI-ME</v>
          </cell>
          <cell r="H498" t="str">
            <v>TECO PCNF NMAT PRC  SETC</v>
          </cell>
        </row>
        <row r="499">
          <cell r="D499">
            <v>4903122</v>
          </cell>
          <cell r="E499" t="str">
            <v>ZB02</v>
          </cell>
          <cell r="F499" t="str">
            <v>20.05.2018</v>
          </cell>
          <cell r="G499" t="str">
            <v>610000004080 &amp; P16-MV-ME</v>
          </cell>
          <cell r="H499" t="str">
            <v>TECO PCNF NMAT PRC  SETC</v>
          </cell>
        </row>
        <row r="500">
          <cell r="D500">
            <v>4903123</v>
          </cell>
          <cell r="E500" t="str">
            <v>ZB02</v>
          </cell>
          <cell r="F500" t="str">
            <v>20.05.2018</v>
          </cell>
          <cell r="G500" t="str">
            <v>610000004092 &amp; P18-MI-ME</v>
          </cell>
          <cell r="H500" t="str">
            <v>TECO PCNF NMAT PRC  SETC</v>
          </cell>
        </row>
        <row r="501">
          <cell r="D501">
            <v>4903124</v>
          </cell>
          <cell r="E501" t="str">
            <v>ZB02</v>
          </cell>
          <cell r="F501" t="str">
            <v>20.05.2018</v>
          </cell>
          <cell r="G501" t="str">
            <v>610000004129 &amp; P14-MC-EE</v>
          </cell>
          <cell r="H501" t="str">
            <v>TECO PCNF NMAT PRC  SETC</v>
          </cell>
        </row>
        <row r="502">
          <cell r="D502">
            <v>4903125</v>
          </cell>
          <cell r="E502" t="str">
            <v>ZB02</v>
          </cell>
          <cell r="F502" t="str">
            <v>20.05.2018</v>
          </cell>
          <cell r="G502" t="str">
            <v>342694 &amp; P12-MC-ME2</v>
          </cell>
          <cell r="H502" t="str">
            <v>TECO PCNF NMAT PRC  SETC</v>
          </cell>
        </row>
        <row r="503">
          <cell r="D503">
            <v>4903131</v>
          </cell>
          <cell r="E503" t="str">
            <v>ZB02</v>
          </cell>
          <cell r="F503" t="str">
            <v>20.05.2018</v>
          </cell>
          <cell r="G503" t="str">
            <v>&amp; P12-MC-EE2</v>
          </cell>
          <cell r="H503" t="str">
            <v>TECO PCNF NMAT PRC  SETC</v>
          </cell>
        </row>
        <row r="504">
          <cell r="D504">
            <v>4903133</v>
          </cell>
          <cell r="E504" t="str">
            <v>ZB02</v>
          </cell>
          <cell r="F504" t="str">
            <v>20.05.2018</v>
          </cell>
          <cell r="G504" t="str">
            <v>&amp; P12-MC-EE</v>
          </cell>
          <cell r="H504" t="str">
            <v>TECO PCNF NMAT PRC  SETC</v>
          </cell>
        </row>
        <row r="505">
          <cell r="D505">
            <v>4894072</v>
          </cell>
          <cell r="E505" t="str">
            <v>ZB02</v>
          </cell>
          <cell r="F505" t="str">
            <v>22.05.2018</v>
          </cell>
          <cell r="G505" t="str">
            <v>342254 &amp; P11-YR-ME2</v>
          </cell>
          <cell r="H505" t="str">
            <v>TECO PCNF NMAT PRC  SETC</v>
          </cell>
        </row>
        <row r="506">
          <cell r="D506">
            <v>4903925</v>
          </cell>
          <cell r="E506" t="str">
            <v>ZB02</v>
          </cell>
          <cell r="F506" t="str">
            <v>22.05.2018</v>
          </cell>
          <cell r="G506" t="str">
            <v>610000004051 &amp; P13-FL-ME</v>
          </cell>
          <cell r="H506" t="str">
            <v>TECO PCNF NMAT PRC  SETC</v>
          </cell>
        </row>
        <row r="507">
          <cell r="D507">
            <v>4903962</v>
          </cell>
          <cell r="E507" t="str">
            <v>ZB02</v>
          </cell>
          <cell r="F507" t="str">
            <v>22.05.2018</v>
          </cell>
          <cell r="G507" t="str">
            <v>610000004031 &amp; P12-FI-ME</v>
          </cell>
          <cell r="H507" t="str">
            <v>TECO PCNF NMAT PRC  SETC</v>
          </cell>
        </row>
        <row r="508">
          <cell r="D508">
            <v>4901620</v>
          </cell>
          <cell r="E508" t="str">
            <v>ZB02</v>
          </cell>
          <cell r="F508" t="str">
            <v>23.05.2018</v>
          </cell>
          <cell r="G508" t="str">
            <v>347679 &amp; P12-NCB-EE</v>
          </cell>
          <cell r="H508" t="str">
            <v>TECO PCNF NMAT PRC  SETC</v>
          </cell>
        </row>
        <row r="509">
          <cell r="D509">
            <v>4903935</v>
          </cell>
          <cell r="E509" t="str">
            <v>ZB02</v>
          </cell>
          <cell r="F509" t="str">
            <v>23.05.2018</v>
          </cell>
          <cell r="G509" t="str">
            <v>342258 &amp; P17-FI-ME2</v>
          </cell>
          <cell r="H509" t="str">
            <v>TECO PCNF NMAT PRC  SETC</v>
          </cell>
        </row>
        <row r="510">
          <cell r="D510">
            <v>4903939</v>
          </cell>
          <cell r="E510" t="str">
            <v>ZB02</v>
          </cell>
          <cell r="F510" t="str">
            <v>23.05.2018</v>
          </cell>
          <cell r="G510" t="str">
            <v>610000004162 &amp; P17-MI-EE</v>
          </cell>
          <cell r="H510" t="str">
            <v>TECO PCNF NMAT PRC  SETC</v>
          </cell>
        </row>
        <row r="511">
          <cell r="D511">
            <v>4903960</v>
          </cell>
          <cell r="E511" t="str">
            <v>ZB02</v>
          </cell>
          <cell r="F511" t="str">
            <v>23.05.2018</v>
          </cell>
          <cell r="G511" t="str">
            <v>610000004170 &amp; P17-HR-EE</v>
          </cell>
          <cell r="H511" t="str">
            <v>TECO PCNF NMAT PRC  SETC</v>
          </cell>
        </row>
        <row r="512">
          <cell r="D512">
            <v>4903984</v>
          </cell>
          <cell r="E512" t="str">
            <v>ZB02</v>
          </cell>
          <cell r="F512" t="str">
            <v>23.05.2018</v>
          </cell>
          <cell r="G512" t="str">
            <v>347678 &amp; P12-MI-EE</v>
          </cell>
          <cell r="H512" t="str">
            <v>TECO PCNF NMAT PRC  SETC</v>
          </cell>
        </row>
        <row r="513">
          <cell r="D513">
            <v>4903927</v>
          </cell>
          <cell r="E513" t="str">
            <v>ZB02</v>
          </cell>
          <cell r="F513" t="str">
            <v>24.05.2018</v>
          </cell>
          <cell r="G513" t="str">
            <v>610000004021 &amp; P10-MI-ME</v>
          </cell>
          <cell r="H513" t="str">
            <v>TECO PCNF NMAT PRC  SETC</v>
          </cell>
        </row>
        <row r="514">
          <cell r="D514">
            <v>4905617</v>
          </cell>
          <cell r="E514" t="str">
            <v>ZB02</v>
          </cell>
          <cell r="F514" t="str">
            <v>24.05.2018</v>
          </cell>
          <cell r="G514" t="str">
            <v>610000004068 &amp; P15-WL-ME</v>
          </cell>
          <cell r="H514" t="str">
            <v>TECO PCNF NMAT PRC  SETC</v>
          </cell>
        </row>
        <row r="515">
          <cell r="D515">
            <v>4899112</v>
          </cell>
          <cell r="E515" t="str">
            <v>ZB02</v>
          </cell>
          <cell r="F515" t="str">
            <v>25.05.2018</v>
          </cell>
          <cell r="G515" t="str">
            <v>PP Rod  Bearing เสื่อมสภาพ</v>
          </cell>
          <cell r="H515" t="str">
            <v>TECO PCNF GMPS MANC PRC  SETC</v>
          </cell>
        </row>
        <row r="516">
          <cell r="D516">
            <v>4904721</v>
          </cell>
          <cell r="E516" t="str">
            <v>ZB02</v>
          </cell>
          <cell r="F516" t="str">
            <v>25.05.2018</v>
          </cell>
          <cell r="G516" t="str">
            <v>342586 &amp; P16-MCB-EE</v>
          </cell>
          <cell r="H516" t="str">
            <v>TECO PCNF NMAT PRC  SETC</v>
          </cell>
        </row>
        <row r="517">
          <cell r="D517">
            <v>4904683</v>
          </cell>
          <cell r="E517" t="str">
            <v>ZB02</v>
          </cell>
          <cell r="F517" t="str">
            <v>26.05.2018</v>
          </cell>
          <cell r="G517" t="str">
            <v>610000004152 &amp; P16-MC-EE</v>
          </cell>
          <cell r="H517" t="str">
            <v>TECO PCNF NMAT PRC  SETC</v>
          </cell>
        </row>
        <row r="518">
          <cell r="D518">
            <v>4904734</v>
          </cell>
          <cell r="E518" t="str">
            <v>ZB02</v>
          </cell>
          <cell r="F518" t="str">
            <v>26.05.2018</v>
          </cell>
          <cell r="G518" t="str">
            <v>347638 &amp; P12-FI-ME2</v>
          </cell>
          <cell r="H518" t="str">
            <v>TECO PCNF NMAT PRC  SETC</v>
          </cell>
        </row>
        <row r="519">
          <cell r="D519">
            <v>4904741</v>
          </cell>
          <cell r="E519" t="str">
            <v>ZB02</v>
          </cell>
          <cell r="F519" t="str">
            <v>26.05.2018</v>
          </cell>
          <cell r="G519" t="str">
            <v>&amp; P14-MC-ME2</v>
          </cell>
          <cell r="H519" t="str">
            <v>TECO PCNF NMAT PRC  SETC</v>
          </cell>
        </row>
        <row r="520">
          <cell r="D520">
            <v>4905672</v>
          </cell>
          <cell r="E520" t="str">
            <v>ZB02</v>
          </cell>
          <cell r="F520" t="str">
            <v>26.05.2018</v>
          </cell>
          <cell r="G520" t="str">
            <v>342257 &amp; P17-WC-ME</v>
          </cell>
          <cell r="H520" t="str">
            <v>TECO PCNF NMAT PRC  SETC</v>
          </cell>
        </row>
        <row r="521">
          <cell r="D521">
            <v>4906582</v>
          </cell>
          <cell r="E521" t="str">
            <v>ZB02</v>
          </cell>
          <cell r="F521" t="str">
            <v>26.05.2018</v>
          </cell>
          <cell r="G521" t="str">
            <v>347637 &amp; P12-WL-ME</v>
          </cell>
          <cell r="H521" t="str">
            <v>TECO PCNF NMAT PRC  SETC</v>
          </cell>
        </row>
        <row r="522">
          <cell r="D522">
            <v>4905705</v>
          </cell>
          <cell r="E522" t="str">
            <v>ZB02</v>
          </cell>
          <cell r="F522" t="str">
            <v>29.05.2018</v>
          </cell>
          <cell r="G522" t="str">
            <v>610000004175 &amp; P18-FI-EE3</v>
          </cell>
          <cell r="H522" t="str">
            <v>TECO PCNF NMAT PRC  SETC</v>
          </cell>
        </row>
        <row r="523">
          <cell r="D523">
            <v>4905753</v>
          </cell>
          <cell r="E523" t="str">
            <v>ZB02</v>
          </cell>
          <cell r="F523" t="str">
            <v>29.05.2018</v>
          </cell>
          <cell r="G523" t="str">
            <v>342588 &amp; P17-MI-EE2</v>
          </cell>
          <cell r="H523" t="str">
            <v>TECO PCNF NMAT PRC  SETC</v>
          </cell>
        </row>
        <row r="524">
          <cell r="D524">
            <v>4905670</v>
          </cell>
          <cell r="E524" t="str">
            <v>ZB02</v>
          </cell>
          <cell r="F524" t="str">
            <v>30.05.2018</v>
          </cell>
          <cell r="G524" t="str">
            <v>610000004069 &amp; P15-FI-ME</v>
          </cell>
          <cell r="H524" t="str">
            <v>TECO PCNF NMAT PRC  SETC</v>
          </cell>
        </row>
        <row r="525">
          <cell r="D525">
            <v>4905677</v>
          </cell>
          <cell r="E525" t="str">
            <v>ZB02</v>
          </cell>
          <cell r="F525" t="str">
            <v>30.05.2018</v>
          </cell>
          <cell r="G525" t="str">
            <v>610000004070 &amp; P15-FL-ME</v>
          </cell>
          <cell r="H525" t="str">
            <v>TECO PCNF NMAT PRC  SETC</v>
          </cell>
        </row>
        <row r="526">
          <cell r="D526">
            <v>4906525</v>
          </cell>
          <cell r="E526" t="str">
            <v>ZB02</v>
          </cell>
          <cell r="F526" t="str">
            <v>30.05.2018</v>
          </cell>
          <cell r="G526" t="str">
            <v>610000004104 &amp; P11-NC-EE</v>
          </cell>
          <cell r="H526" t="str">
            <v>TECO PCNF NMAT PRC  SETC</v>
          </cell>
        </row>
        <row r="527">
          <cell r="D527">
            <v>4902458</v>
          </cell>
          <cell r="E527" t="str">
            <v>ZB02</v>
          </cell>
          <cell r="F527" t="str">
            <v>31.05.2018</v>
          </cell>
          <cell r="G527" t="str">
            <v>610000004139 &amp; P14-HI-EE2</v>
          </cell>
          <cell r="H527" t="str">
            <v>TECO PCNF NMAT PRC  SETC</v>
          </cell>
        </row>
        <row r="528">
          <cell r="D528">
            <v>4906526</v>
          </cell>
          <cell r="E528" t="str">
            <v>ZB02</v>
          </cell>
          <cell r="F528" t="str">
            <v>31.05.2018</v>
          </cell>
          <cell r="G528" t="str">
            <v>610000004106 &amp; P11-NT-EE</v>
          </cell>
          <cell r="H528" t="str">
            <v>TECO PCNF NMAT PRC  SETC</v>
          </cell>
        </row>
        <row r="529">
          <cell r="D529">
            <v>4906529</v>
          </cell>
          <cell r="E529" t="str">
            <v>ZB02</v>
          </cell>
          <cell r="F529" t="str">
            <v>31.05.2018</v>
          </cell>
          <cell r="G529" t="str">
            <v>610000004085 &amp; P17-FL-ME</v>
          </cell>
          <cell r="H529" t="str">
            <v>TECO PCNF NMAT PRC  SETC</v>
          </cell>
        </row>
        <row r="530">
          <cell r="D530">
            <v>4906554</v>
          </cell>
          <cell r="E530" t="str">
            <v>ZB02</v>
          </cell>
          <cell r="F530" t="str">
            <v>31.05.2018</v>
          </cell>
          <cell r="G530" t="str">
            <v>610000004077 &amp; P16-FL-ME</v>
          </cell>
          <cell r="H530" t="str">
            <v>TECO PCNF NMAT PRC  SETC</v>
          </cell>
        </row>
        <row r="531">
          <cell r="D531">
            <v>4906571</v>
          </cell>
          <cell r="E531" t="str">
            <v>ZB02</v>
          </cell>
          <cell r="F531" t="str">
            <v>31.05.2018</v>
          </cell>
          <cell r="G531" t="str">
            <v>610000004086 &amp; P17-FI-ME</v>
          </cell>
          <cell r="H531" t="str">
            <v>TECO PCNF NMAT PRC  SETC</v>
          </cell>
        </row>
        <row r="532">
          <cell r="D532">
            <v>4907420</v>
          </cell>
          <cell r="E532" t="str">
            <v>ZB02</v>
          </cell>
          <cell r="F532" t="str">
            <v>31.05.2018</v>
          </cell>
          <cell r="G532" t="str">
            <v>610000004068 &amp; P15-WL-ME</v>
          </cell>
          <cell r="H532" t="str">
            <v>TECO PCNF NMAT PRC  SETC</v>
          </cell>
        </row>
        <row r="533">
          <cell r="D533">
            <v>4906512</v>
          </cell>
          <cell r="E533" t="str">
            <v>ZB02</v>
          </cell>
          <cell r="F533" t="str">
            <v>01.06.2018</v>
          </cell>
          <cell r="G533" t="str">
            <v>610000004091 &amp; P18-FL-ME</v>
          </cell>
          <cell r="H533" t="str">
            <v>TECO PCNF NMAT PRC  SETC</v>
          </cell>
        </row>
        <row r="534">
          <cell r="D534">
            <v>4906514</v>
          </cell>
          <cell r="E534" t="str">
            <v>ZB02</v>
          </cell>
          <cell r="F534" t="str">
            <v>01.06.2018</v>
          </cell>
          <cell r="G534" t="str">
            <v>610000004161 &amp; P17-FC-EE</v>
          </cell>
          <cell r="H534" t="str">
            <v>TECO PCNF NMAT PRC  SETC</v>
          </cell>
        </row>
        <row r="535">
          <cell r="D535">
            <v>4902447</v>
          </cell>
          <cell r="E535" t="str">
            <v>ZB02</v>
          </cell>
          <cell r="F535" t="str">
            <v>02.06.2018</v>
          </cell>
          <cell r="G535" t="str">
            <v>610000004132 &amp; P14-NC-EE</v>
          </cell>
          <cell r="H535" t="str">
            <v>TECO PCNF NMAT PRC  SETC</v>
          </cell>
        </row>
        <row r="536">
          <cell r="D536">
            <v>4907466</v>
          </cell>
          <cell r="E536" t="str">
            <v>ZB02</v>
          </cell>
          <cell r="F536" t="str">
            <v>02.06.2018</v>
          </cell>
          <cell r="G536" t="str">
            <v>342257 &amp; P17-WC-ME</v>
          </cell>
          <cell r="H536" t="str">
            <v>TECO PCNF NMAT PRC  SETC</v>
          </cell>
        </row>
        <row r="537">
          <cell r="D537">
            <v>4908312</v>
          </cell>
          <cell r="E537" t="str">
            <v>ZB02</v>
          </cell>
          <cell r="F537" t="str">
            <v>02.06.2018</v>
          </cell>
          <cell r="G537" t="str">
            <v>347637 &amp; P12-WL-ME</v>
          </cell>
          <cell r="H537" t="str">
            <v>TECO PCNF NMAT PRC  SETC</v>
          </cell>
        </row>
        <row r="538">
          <cell r="D538">
            <v>4903928</v>
          </cell>
          <cell r="E538" t="str">
            <v>ZB02</v>
          </cell>
          <cell r="F538" t="str">
            <v>03.06.2018</v>
          </cell>
          <cell r="G538" t="str">
            <v>610000004025 &amp; P11-ML-ME</v>
          </cell>
          <cell r="H538" t="str">
            <v>TECO PCNF NMAT PRC  SETC</v>
          </cell>
        </row>
        <row r="539">
          <cell r="D539">
            <v>4906540</v>
          </cell>
          <cell r="E539" t="str">
            <v>ZB02</v>
          </cell>
          <cell r="F539" t="str">
            <v>03.06.2018</v>
          </cell>
          <cell r="G539" t="str">
            <v>610000004050 &amp; P13-FC-ME</v>
          </cell>
          <cell r="H539" t="str">
            <v>TECO PCNF NMAT PRC  SETC</v>
          </cell>
        </row>
        <row r="540">
          <cell r="D540">
            <v>4907512</v>
          </cell>
          <cell r="E540" t="str">
            <v>ZB02</v>
          </cell>
          <cell r="F540" t="str">
            <v>03.06.2018</v>
          </cell>
          <cell r="G540" t="str">
            <v>610000004097 &amp; P10-NC-EE</v>
          </cell>
          <cell r="H540" t="str">
            <v>TECO PCNF NMAT PRC  SETC</v>
          </cell>
        </row>
        <row r="541">
          <cell r="D541">
            <v>4906527</v>
          </cell>
          <cell r="E541" t="str">
            <v>ZB02</v>
          </cell>
          <cell r="F541" t="str">
            <v>04.06.2018</v>
          </cell>
          <cell r="G541" t="str">
            <v>610000004028 &amp; P11-MV-ME</v>
          </cell>
          <cell r="H541" t="str">
            <v>TECO PCNF NMAT PRC  SETC</v>
          </cell>
        </row>
        <row r="542">
          <cell r="D542">
            <v>4906528</v>
          </cell>
          <cell r="E542" t="str">
            <v>ZB02</v>
          </cell>
          <cell r="F542" t="str">
            <v>04.06.2018</v>
          </cell>
          <cell r="G542" t="str">
            <v>610000004078 &amp; P16-MC-ME</v>
          </cell>
          <cell r="H542" t="str">
            <v>TECO PCNF NMAT PRC  SETC</v>
          </cell>
        </row>
        <row r="543">
          <cell r="D543">
            <v>4906534</v>
          </cell>
          <cell r="E543" t="str">
            <v>ZB02</v>
          </cell>
          <cell r="F543" t="str">
            <v>04.06.2018</v>
          </cell>
          <cell r="G543" t="str">
            <v>610000004061 &amp; P14-MI-ME</v>
          </cell>
          <cell r="H543" t="str">
            <v>TECO PCNF NMAT PRC  SETC</v>
          </cell>
        </row>
        <row r="544">
          <cell r="D544">
            <v>4906535</v>
          </cell>
          <cell r="E544" t="str">
            <v>ZB02</v>
          </cell>
          <cell r="F544" t="str">
            <v>04.06.2018</v>
          </cell>
          <cell r="G544" t="str">
            <v>610000004064 &amp; P14-MC-ME</v>
          </cell>
          <cell r="H544" t="str">
            <v>TECO PCNF NMAT PRC  SETC</v>
          </cell>
        </row>
        <row r="545">
          <cell r="D545">
            <v>4906538</v>
          </cell>
          <cell r="E545" t="str">
            <v>ZB02</v>
          </cell>
          <cell r="F545" t="str">
            <v>04.06.2018</v>
          </cell>
          <cell r="G545" t="str">
            <v>610000004072 &amp; P15-MV-ME</v>
          </cell>
          <cell r="H545" t="str">
            <v>TECO PCNF NMAT PRC  SETC</v>
          </cell>
        </row>
        <row r="546">
          <cell r="D546">
            <v>4906539</v>
          </cell>
          <cell r="E546" t="str">
            <v>ZB02</v>
          </cell>
          <cell r="F546" t="str">
            <v>04.06.2018</v>
          </cell>
          <cell r="G546" t="str">
            <v>610000004073 &amp; P15-ML-ME</v>
          </cell>
          <cell r="H546" t="str">
            <v>TECO PCNF NMAT PRC  SETC</v>
          </cell>
        </row>
        <row r="547">
          <cell r="D547">
            <v>4906553</v>
          </cell>
          <cell r="E547" t="str">
            <v>ZB02</v>
          </cell>
          <cell r="F547" t="str">
            <v>04.06.2018</v>
          </cell>
          <cell r="G547" t="str">
            <v>610000004062 &amp; P14-ML-ME</v>
          </cell>
          <cell r="H547" t="str">
            <v>TECO PCNF NMAT PRC  SETC</v>
          </cell>
        </row>
        <row r="548">
          <cell r="D548">
            <v>4906562</v>
          </cell>
          <cell r="E548" t="str">
            <v>ZB02</v>
          </cell>
          <cell r="F548" t="str">
            <v>04.06.2018</v>
          </cell>
          <cell r="G548" t="str">
            <v>610000004063 &amp; P14-MV-ME</v>
          </cell>
          <cell r="H548" t="str">
            <v>TECO PCNF NMAT PRC  SETC</v>
          </cell>
        </row>
        <row r="549">
          <cell r="D549">
            <v>4906563</v>
          </cell>
          <cell r="E549" t="str">
            <v>ZB02</v>
          </cell>
          <cell r="F549" t="str">
            <v>04.06.2018</v>
          </cell>
          <cell r="G549" t="str">
            <v>610000004071 &amp; P15-MI-ME</v>
          </cell>
          <cell r="H549" t="str">
            <v>TECO PCNF NMAT PRC  SETC</v>
          </cell>
        </row>
        <row r="550">
          <cell r="D550">
            <v>4906572</v>
          </cell>
          <cell r="E550" t="str">
            <v>ZB02</v>
          </cell>
          <cell r="F550" t="str">
            <v>04.06.2018</v>
          </cell>
          <cell r="G550" t="str">
            <v>610000004026 &amp; P11-MI-ME</v>
          </cell>
          <cell r="H550" t="str">
            <v>TECO PCNF NMAT PRC  SETC</v>
          </cell>
        </row>
        <row r="551">
          <cell r="D551">
            <v>4907477</v>
          </cell>
          <cell r="E551" t="str">
            <v>ZB02</v>
          </cell>
          <cell r="F551" t="str">
            <v>04.06.2018</v>
          </cell>
          <cell r="G551" t="str">
            <v>610000004113 &amp; P12-NC-EE</v>
          </cell>
          <cell r="H551" t="str">
            <v>TECO PCNF NMAT PRC  SETC</v>
          </cell>
        </row>
        <row r="552">
          <cell r="D552">
            <v>4901602</v>
          </cell>
          <cell r="E552" t="str">
            <v>ZB02</v>
          </cell>
          <cell r="F552" t="str">
            <v>05.06.2018</v>
          </cell>
          <cell r="G552" t="str">
            <v>342587 &amp; P17-HA-ME</v>
          </cell>
          <cell r="H552" t="str">
            <v>TECO PCNF NMAT PRC  SETC</v>
          </cell>
        </row>
        <row r="553">
          <cell r="D553">
            <v>4907398</v>
          </cell>
          <cell r="E553" t="str">
            <v>ZB02</v>
          </cell>
          <cell r="F553" t="str">
            <v>05.06.2018</v>
          </cell>
          <cell r="G553" t="str">
            <v>610000004051 &amp; P13-FL-ME</v>
          </cell>
          <cell r="H553" t="str">
            <v>TECO PCNF NMAT PRC  SETC</v>
          </cell>
        </row>
        <row r="554">
          <cell r="D554">
            <v>4907522</v>
          </cell>
          <cell r="E554" t="str">
            <v>ZB02</v>
          </cell>
          <cell r="F554" t="str">
            <v>05.06.2018</v>
          </cell>
          <cell r="G554" t="str">
            <v>610000004031 &amp; P12-FI-ME</v>
          </cell>
          <cell r="H554" t="str">
            <v>TECO PCNF NMAT PRC  SETC</v>
          </cell>
        </row>
        <row r="555">
          <cell r="D555">
            <v>4907486</v>
          </cell>
          <cell r="E555" t="str">
            <v>ZB02</v>
          </cell>
          <cell r="F555" t="str">
            <v>06.06.2018</v>
          </cell>
          <cell r="G555" t="str">
            <v>342258 &amp; P17-FI-ME2</v>
          </cell>
          <cell r="H555" t="str">
            <v>TECO PCNF NMAT PRC  SETC</v>
          </cell>
        </row>
        <row r="556">
          <cell r="D556">
            <v>4907399</v>
          </cell>
          <cell r="E556" t="str">
            <v>ZB02</v>
          </cell>
          <cell r="F556" t="str">
            <v>07.06.2018</v>
          </cell>
          <cell r="G556" t="str">
            <v>610000004127 &amp; P13-QT-EE</v>
          </cell>
          <cell r="H556" t="str">
            <v>TECO PCNF NMAT PRC  SETC</v>
          </cell>
        </row>
        <row r="557">
          <cell r="D557">
            <v>4907441</v>
          </cell>
          <cell r="E557" t="str">
            <v>ZB02</v>
          </cell>
          <cell r="F557" t="str">
            <v>07.06.2018</v>
          </cell>
          <cell r="G557" t="str">
            <v>610000004126 &amp; P13-QI-EE</v>
          </cell>
          <cell r="H557" t="str">
            <v>TECO PCNF NMAT PRC  SETC</v>
          </cell>
        </row>
        <row r="558">
          <cell r="D558">
            <v>4909461</v>
          </cell>
          <cell r="E558" t="str">
            <v>ZB02</v>
          </cell>
          <cell r="F558" t="str">
            <v>07.06.2018</v>
          </cell>
          <cell r="G558" t="str">
            <v>610000004068 &amp; P15-WL-ME</v>
          </cell>
          <cell r="H558" t="str">
            <v>TECO PCNF NMAT PRC  SETC</v>
          </cell>
        </row>
        <row r="559">
          <cell r="D559">
            <v>4908273</v>
          </cell>
          <cell r="E559" t="str">
            <v>ZB02</v>
          </cell>
          <cell r="F559" t="str">
            <v>08.06.2018</v>
          </cell>
          <cell r="G559" t="str">
            <v>610000004116 &amp; P12-NT-EE</v>
          </cell>
          <cell r="H559" t="str">
            <v>TECO PCNF NMAT PRC  SETC</v>
          </cell>
        </row>
        <row r="560">
          <cell r="D560">
            <v>4908304</v>
          </cell>
          <cell r="E560" t="str">
            <v>ZB02</v>
          </cell>
          <cell r="F560" t="str">
            <v>08.06.2018</v>
          </cell>
          <cell r="G560" t="str">
            <v>610000004096 &amp; P10-NI-EE</v>
          </cell>
          <cell r="H560" t="str">
            <v>TECO PCNF NMAT PRC  SETC</v>
          </cell>
        </row>
        <row r="561">
          <cell r="D561">
            <v>4902467</v>
          </cell>
          <cell r="E561" t="str">
            <v>ZB02</v>
          </cell>
          <cell r="F561" t="str">
            <v>09.06.2018</v>
          </cell>
          <cell r="G561" t="str">
            <v>610000004044 &amp; P12-HC-ME</v>
          </cell>
          <cell r="H561" t="str">
            <v>TECO PCNF NMAT PRC  SETC</v>
          </cell>
        </row>
        <row r="562">
          <cell r="D562">
            <v>4908318</v>
          </cell>
          <cell r="E562" t="str">
            <v>ZB02</v>
          </cell>
          <cell r="F562" t="str">
            <v>09.06.2018</v>
          </cell>
          <cell r="G562" t="str">
            <v>347638 &amp; P12-FI-ME2</v>
          </cell>
          <cell r="H562" t="str">
            <v>TECO PCNF NMAT PRC  SETC</v>
          </cell>
        </row>
        <row r="563">
          <cell r="D563">
            <v>4909475</v>
          </cell>
          <cell r="E563" t="str">
            <v>ZB02</v>
          </cell>
          <cell r="F563" t="str">
            <v>09.06.2018</v>
          </cell>
          <cell r="G563" t="str">
            <v>342257 &amp; P17-WC-ME</v>
          </cell>
          <cell r="H563" t="str">
            <v>TECO PCNF NMAT PRC  SETC</v>
          </cell>
        </row>
        <row r="564">
          <cell r="D564">
            <v>4910159</v>
          </cell>
          <cell r="E564" t="str">
            <v>ZB02</v>
          </cell>
          <cell r="F564" t="str">
            <v>09.06.2018</v>
          </cell>
          <cell r="G564" t="str">
            <v>347637 &amp; P12-WL-ME</v>
          </cell>
          <cell r="H564" t="str">
            <v>TECO PCNF NMAT PRC  SETC</v>
          </cell>
        </row>
        <row r="565">
          <cell r="D565">
            <v>4908272</v>
          </cell>
          <cell r="E565" t="str">
            <v>ZB02</v>
          </cell>
          <cell r="F565" t="str">
            <v>10.06.2018</v>
          </cell>
          <cell r="G565" t="str">
            <v>610000004095 &amp; P10-MC-EE</v>
          </cell>
          <cell r="H565" t="str">
            <v>TECO PCNF NMAT PRC  SETC</v>
          </cell>
        </row>
        <row r="566">
          <cell r="D566">
            <v>4908274</v>
          </cell>
          <cell r="E566" t="str">
            <v>ZB02</v>
          </cell>
          <cell r="F566" t="str">
            <v>10.06.2018</v>
          </cell>
          <cell r="G566" t="str">
            <v>610000004163 &amp; P17-MC-EE</v>
          </cell>
          <cell r="H566" t="str">
            <v>TECO PCNF NMAT PRC  SETC</v>
          </cell>
        </row>
        <row r="567">
          <cell r="D567">
            <v>4908275</v>
          </cell>
          <cell r="E567" t="str">
            <v>ZB02</v>
          </cell>
          <cell r="F567" t="str">
            <v>10.06.2018</v>
          </cell>
          <cell r="G567" t="str">
            <v>610000004167 &amp; P17-QC-EE</v>
          </cell>
          <cell r="H567" t="str">
            <v>TECO PCNF NMAT PRC  SETC</v>
          </cell>
        </row>
        <row r="568">
          <cell r="D568">
            <v>4908271</v>
          </cell>
          <cell r="E568" t="str">
            <v>ZB02</v>
          </cell>
          <cell r="F568" t="str">
            <v>11.06.2018</v>
          </cell>
          <cell r="G568" t="str">
            <v>610000004052 &amp; P13-MC-ME</v>
          </cell>
          <cell r="H568" t="str">
            <v>TECO PCNF NMAT PRC  SETC</v>
          </cell>
        </row>
        <row r="569">
          <cell r="D569">
            <v>4909470</v>
          </cell>
          <cell r="E569" t="str">
            <v>ZB02</v>
          </cell>
          <cell r="F569" t="str">
            <v>12.06.2018</v>
          </cell>
          <cell r="G569" t="str">
            <v>WATER FILTER เสื่อมสภาพ</v>
          </cell>
          <cell r="H569" t="str">
            <v>TECO PCNF GMPS MANC PRC  SETC</v>
          </cell>
        </row>
        <row r="570">
          <cell r="D570">
            <v>4909484</v>
          </cell>
          <cell r="E570" t="str">
            <v>ZB02</v>
          </cell>
          <cell r="F570" t="str">
            <v>12.06.2018</v>
          </cell>
          <cell r="G570" t="str">
            <v>610000004175 &amp; P18-FI-EE3</v>
          </cell>
          <cell r="H570" t="str">
            <v>TECO PCNF NMAT PRC  SETC</v>
          </cell>
        </row>
        <row r="571">
          <cell r="D571">
            <v>4909512</v>
          </cell>
          <cell r="E571" t="str">
            <v>ZB02</v>
          </cell>
          <cell r="F571" t="str">
            <v>12.06.2018</v>
          </cell>
          <cell r="G571" t="str">
            <v>347639 &amp; P12-MI-ME2</v>
          </cell>
          <cell r="H571" t="str">
            <v>TECO PCNF NMAT PRC  SETC</v>
          </cell>
        </row>
        <row r="572">
          <cell r="D572">
            <v>4909473</v>
          </cell>
          <cell r="E572" t="str">
            <v>ZB02</v>
          </cell>
          <cell r="F572" t="str">
            <v>13.06.2018</v>
          </cell>
          <cell r="G572" t="str">
            <v>610000004069 &amp; P15-FI-ME</v>
          </cell>
          <cell r="H572" t="str">
            <v>TECO PCNF NMAT PRC  SETC</v>
          </cell>
        </row>
        <row r="573">
          <cell r="D573">
            <v>4909479</v>
          </cell>
          <cell r="E573" t="str">
            <v>ZB02</v>
          </cell>
          <cell r="F573" t="str">
            <v>13.06.2018</v>
          </cell>
          <cell r="G573" t="str">
            <v>610000004070 &amp; P15-FL-ME</v>
          </cell>
          <cell r="H573" t="str">
            <v>TECO PCNF NMAT PRC  SETC</v>
          </cell>
        </row>
        <row r="574">
          <cell r="D574">
            <v>4910092</v>
          </cell>
          <cell r="E574" t="str">
            <v>ZB02</v>
          </cell>
          <cell r="F574" t="str">
            <v>14.06.2018</v>
          </cell>
          <cell r="G574" t="str">
            <v>610000004085 &amp; P17-FL-ME</v>
          </cell>
          <cell r="H574" t="str">
            <v>TECO PCNF NMAT PRC  SETC</v>
          </cell>
        </row>
        <row r="575">
          <cell r="D575">
            <v>4910114</v>
          </cell>
          <cell r="E575" t="str">
            <v>ZB02</v>
          </cell>
          <cell r="F575" t="str">
            <v>14.06.2018</v>
          </cell>
          <cell r="G575" t="str">
            <v>610000004077 &amp; P16-FL-ME</v>
          </cell>
          <cell r="H575" t="str">
            <v>TECO PCNF NMAT PRC  SETC</v>
          </cell>
        </row>
        <row r="576">
          <cell r="D576">
            <v>4910129</v>
          </cell>
          <cell r="E576" t="str">
            <v>ZB02</v>
          </cell>
          <cell r="F576" t="str">
            <v>14.06.2018</v>
          </cell>
          <cell r="G576" t="str">
            <v>610000004086 &amp; P17-FI-ME</v>
          </cell>
          <cell r="H576" t="str">
            <v>TECO PCNF NMAT PRC  SETC</v>
          </cell>
        </row>
        <row r="577">
          <cell r="D577">
            <v>4911212</v>
          </cell>
          <cell r="E577" t="str">
            <v>ZB02</v>
          </cell>
          <cell r="F577" t="str">
            <v>14.06.2018</v>
          </cell>
          <cell r="G577" t="str">
            <v>610000004068 &amp; P15-WL-ME</v>
          </cell>
          <cell r="H577" t="str">
            <v>TECO PCNF NMAT PRC  SETC</v>
          </cell>
        </row>
        <row r="578">
          <cell r="D578">
            <v>4906513</v>
          </cell>
          <cell r="E578" t="str">
            <v>ZB02</v>
          </cell>
          <cell r="F578" t="str">
            <v>15.06.2018</v>
          </cell>
          <cell r="G578" t="str">
            <v>610000004131 &amp; P14-NI-EE3</v>
          </cell>
          <cell r="H578" t="str">
            <v>TECO PCNF NMAT PRC  SETC</v>
          </cell>
        </row>
        <row r="579">
          <cell r="D579">
            <v>4909514</v>
          </cell>
          <cell r="E579" t="str">
            <v>ZB02</v>
          </cell>
          <cell r="F579" t="str">
            <v>15.06.2018</v>
          </cell>
          <cell r="G579" t="str">
            <v>351883 &amp; P17-QR-ME</v>
          </cell>
          <cell r="H579" t="str">
            <v>TECO PCNF NMAT PRC  SETC</v>
          </cell>
        </row>
        <row r="580">
          <cell r="D580">
            <v>4910079</v>
          </cell>
          <cell r="E580" t="str">
            <v>ZB02</v>
          </cell>
          <cell r="F580" t="str">
            <v>15.06.2018</v>
          </cell>
          <cell r="G580" t="str">
            <v>610000004091 &amp; P18-FL-ME</v>
          </cell>
          <cell r="H580" t="str">
            <v>TECO PCNF NMAT PRC  SETC</v>
          </cell>
        </row>
        <row r="581">
          <cell r="D581">
            <v>4910081</v>
          </cell>
          <cell r="E581" t="str">
            <v>ZB02</v>
          </cell>
          <cell r="F581" t="str">
            <v>15.06.2018</v>
          </cell>
          <cell r="G581" t="str">
            <v>610000004161 &amp; P17-FC-EE</v>
          </cell>
          <cell r="H581" t="str">
            <v>TECO PCNF NMAT PRC  SETC</v>
          </cell>
        </row>
        <row r="582">
          <cell r="D582">
            <v>4911247</v>
          </cell>
          <cell r="E582" t="str">
            <v>ZB02</v>
          </cell>
          <cell r="F582" t="str">
            <v>16.06.2018</v>
          </cell>
          <cell r="G582" t="str">
            <v>342257 &amp; P17-WC-ME</v>
          </cell>
          <cell r="H582" t="str">
            <v>TECO PCNF NMAT PRC  SETC</v>
          </cell>
        </row>
        <row r="583">
          <cell r="D583">
            <v>4912126</v>
          </cell>
          <cell r="E583" t="str">
            <v>ZB02</v>
          </cell>
          <cell r="F583" t="str">
            <v>16.06.2018</v>
          </cell>
          <cell r="G583" t="str">
            <v>347637 &amp; P12-WL-ME</v>
          </cell>
          <cell r="H583" t="str">
            <v>TECO PCNF NMAT PRC  SETC</v>
          </cell>
        </row>
        <row r="584">
          <cell r="D584">
            <v>4910089</v>
          </cell>
          <cell r="E584" t="str">
            <v>ZB02</v>
          </cell>
          <cell r="F584" t="str">
            <v>17.06.2018</v>
          </cell>
          <cell r="G584" t="str">
            <v>610000004103 &amp; P11-NI-EE</v>
          </cell>
          <cell r="H584" t="str">
            <v>TECO PCNF NMAT PRC  SETC</v>
          </cell>
        </row>
        <row r="585">
          <cell r="D585">
            <v>4910102</v>
          </cell>
          <cell r="E585" t="str">
            <v>ZB02</v>
          </cell>
          <cell r="F585" t="str">
            <v>17.06.2018</v>
          </cell>
          <cell r="G585" t="str">
            <v>610000004050 &amp; P13-FC-ME</v>
          </cell>
          <cell r="H585" t="str">
            <v>TECO PCNF NMAT PRC  SETC</v>
          </cell>
        </row>
        <row r="586">
          <cell r="D586">
            <v>4910090</v>
          </cell>
          <cell r="E586" t="str">
            <v>ZB02</v>
          </cell>
          <cell r="F586" t="str">
            <v>18.06.2018</v>
          </cell>
          <cell r="G586" t="str">
            <v>610000004032 &amp; P12-ML-ME</v>
          </cell>
          <cell r="H586" t="str">
            <v>TECO PCNF NMAT PRC  SETC</v>
          </cell>
        </row>
        <row r="587">
          <cell r="D587">
            <v>4910133</v>
          </cell>
          <cell r="E587" t="str">
            <v>ZB02</v>
          </cell>
          <cell r="F587" t="str">
            <v>18.06.2018</v>
          </cell>
          <cell r="G587" t="str">
            <v>342279 &amp; P14-ML-ME2</v>
          </cell>
          <cell r="H587" t="str">
            <v>TECO PCNF NMAT PRC  SETC</v>
          </cell>
        </row>
        <row r="588">
          <cell r="D588">
            <v>4910141</v>
          </cell>
          <cell r="E588" t="str">
            <v>ZB02</v>
          </cell>
          <cell r="F588" t="str">
            <v>18.06.2018</v>
          </cell>
          <cell r="G588" t="str">
            <v>610000004168 &amp; P17-QI-EE</v>
          </cell>
          <cell r="H588" t="str">
            <v>TECO PCNF NMAT PRC  SETC</v>
          </cell>
        </row>
        <row r="589">
          <cell r="D589">
            <v>4907436</v>
          </cell>
          <cell r="E589" t="str">
            <v>ZB02</v>
          </cell>
          <cell r="F589" t="str">
            <v>19.06.2018</v>
          </cell>
          <cell r="G589" t="str">
            <v>610000004111 &amp; P12-NC-EE</v>
          </cell>
          <cell r="H589" t="str">
            <v>TECO PCNF NMAT PRC  SETC</v>
          </cell>
        </row>
        <row r="590">
          <cell r="D590">
            <v>4911211</v>
          </cell>
          <cell r="E590" t="str">
            <v>ZB02</v>
          </cell>
          <cell r="F590" t="str">
            <v>19.06.2018</v>
          </cell>
          <cell r="G590" t="str">
            <v>610000004051 &amp; P13-FL-ME</v>
          </cell>
          <cell r="H590" t="str">
            <v>TECO PCNF NMAT PRC  SETC</v>
          </cell>
        </row>
        <row r="591">
          <cell r="D591">
            <v>4911244</v>
          </cell>
          <cell r="E591" t="str">
            <v>ZB02</v>
          </cell>
          <cell r="F591" t="str">
            <v>19.06.2018</v>
          </cell>
          <cell r="G591" t="str">
            <v>610000004177 &amp; P18-MC-EE</v>
          </cell>
          <cell r="H591" t="str">
            <v>TECO PCNF NMAT PRC  SETC</v>
          </cell>
        </row>
        <row r="592">
          <cell r="D592">
            <v>4911274</v>
          </cell>
          <cell r="E592" t="str">
            <v>ZB02</v>
          </cell>
          <cell r="F592" t="str">
            <v>19.06.2018</v>
          </cell>
          <cell r="G592" t="str">
            <v>610000004102 &amp; P11-MC-EE</v>
          </cell>
          <cell r="H592" t="str">
            <v>TECO PCNF NMAT PRC  SETC</v>
          </cell>
        </row>
        <row r="593">
          <cell r="D593">
            <v>4911275</v>
          </cell>
          <cell r="E593" t="str">
            <v>ZB02</v>
          </cell>
          <cell r="F593" t="str">
            <v>19.06.2018</v>
          </cell>
          <cell r="G593" t="str">
            <v>610000004031 &amp; P12-FI-ME</v>
          </cell>
          <cell r="H593" t="str">
            <v>TECO PCNF NMAT PRC  SETC</v>
          </cell>
        </row>
        <row r="594">
          <cell r="D594">
            <v>4911282</v>
          </cell>
          <cell r="E594" t="str">
            <v>ZB02</v>
          </cell>
          <cell r="F594" t="str">
            <v>19.06.2018</v>
          </cell>
          <cell r="G594" t="str">
            <v>610000004129 &amp; P14-MC-EE</v>
          </cell>
          <cell r="H594" t="str">
            <v>TECO PCNF NMAT PRC  SETC</v>
          </cell>
        </row>
        <row r="595">
          <cell r="D595">
            <v>4911286</v>
          </cell>
          <cell r="E595" t="str">
            <v>ZB02</v>
          </cell>
          <cell r="F595" t="str">
            <v>19.06.2018</v>
          </cell>
          <cell r="G595" t="str">
            <v>&amp; P12-MC-EE2</v>
          </cell>
          <cell r="H595" t="str">
            <v>TECO PCNF NMAT PRC  SETC</v>
          </cell>
        </row>
        <row r="596">
          <cell r="D596">
            <v>4911289</v>
          </cell>
          <cell r="E596" t="str">
            <v>ZB02</v>
          </cell>
          <cell r="F596" t="str">
            <v>19.06.2018</v>
          </cell>
          <cell r="G596" t="str">
            <v>&amp; P12-MC-EE</v>
          </cell>
          <cell r="H596" t="str">
            <v>TECO PCNF NMAT PRC  SETC</v>
          </cell>
        </row>
        <row r="597">
          <cell r="D597">
            <v>4912100</v>
          </cell>
          <cell r="E597" t="str">
            <v>ZB02</v>
          </cell>
          <cell r="F597" t="str">
            <v>19.06.2018</v>
          </cell>
          <cell r="G597" t="str">
            <v>610000004115 &amp; P12-NI-EE2</v>
          </cell>
          <cell r="H597" t="str">
            <v>TECO PCNF NMAT PRC  SETC</v>
          </cell>
        </row>
        <row r="598">
          <cell r="D598">
            <v>4911255</v>
          </cell>
          <cell r="E598" t="str">
            <v>ZB02</v>
          </cell>
          <cell r="F598" t="str">
            <v>20.06.2018</v>
          </cell>
          <cell r="G598" t="str">
            <v>342258 &amp; P17-FI-ME2</v>
          </cell>
          <cell r="H598" t="str">
            <v>TECO PCNF NMAT PRC  SETC</v>
          </cell>
        </row>
        <row r="599">
          <cell r="D599">
            <v>4911240</v>
          </cell>
          <cell r="E599" t="str">
            <v>ZB02</v>
          </cell>
          <cell r="F599" t="str">
            <v>21.06.2018</v>
          </cell>
          <cell r="G599" t="str">
            <v>610000004130 &amp; P14-NI-EE</v>
          </cell>
          <cell r="H599" t="str">
            <v>TECO PCNF NMAT PRC  SETC</v>
          </cell>
        </row>
        <row r="600">
          <cell r="D600">
            <v>4911260</v>
          </cell>
          <cell r="E600" t="str">
            <v>ZB02</v>
          </cell>
          <cell r="F600" t="str">
            <v>21.06.2018</v>
          </cell>
          <cell r="G600" t="str">
            <v>610000004122 &amp; P13-NI-EE3</v>
          </cell>
          <cell r="H600" t="str">
            <v>TECO PCNF NMAT PRC  SETC</v>
          </cell>
        </row>
        <row r="601">
          <cell r="D601">
            <v>4911265</v>
          </cell>
          <cell r="E601" t="str">
            <v>ZB02</v>
          </cell>
          <cell r="F601" t="str">
            <v>21.06.2018</v>
          </cell>
          <cell r="G601" t="str">
            <v>610000004112 &amp; P12-NI-EE4</v>
          </cell>
          <cell r="H601" t="str">
            <v>TECO PCNF NMAT PRC  SETC</v>
          </cell>
        </row>
        <row r="602">
          <cell r="D602">
            <v>4913481</v>
          </cell>
          <cell r="E602" t="str">
            <v>ZB02</v>
          </cell>
          <cell r="F602" t="str">
            <v>21.06.2018</v>
          </cell>
          <cell r="G602" t="str">
            <v>610000004068 &amp; P15-WL-ME</v>
          </cell>
          <cell r="H602" t="str">
            <v>TECO PCNF NMAT PRC  SETC</v>
          </cell>
        </row>
        <row r="603">
          <cell r="D603">
            <v>4912114</v>
          </cell>
          <cell r="E603" t="str">
            <v>ZB02</v>
          </cell>
          <cell r="F603" t="str">
            <v>22.06.2018</v>
          </cell>
          <cell r="G603" t="str">
            <v>610000004162 &amp; P17-MI-EE</v>
          </cell>
          <cell r="H603" t="str">
            <v>TECO PCNF NMAT PRC  SETC</v>
          </cell>
        </row>
        <row r="604">
          <cell r="D604">
            <v>4912140</v>
          </cell>
          <cell r="E604" t="str">
            <v>ZB02</v>
          </cell>
          <cell r="F604" t="str">
            <v>22.06.2018</v>
          </cell>
          <cell r="G604" t="str">
            <v>347678 &amp; P12-MI-EE</v>
          </cell>
          <cell r="H604" t="str">
            <v>TECO PCNF NMAT PRC  SETC</v>
          </cell>
        </row>
        <row r="605">
          <cell r="D605">
            <v>4912067</v>
          </cell>
          <cell r="E605" t="str">
            <v>ZB02</v>
          </cell>
          <cell r="F605" t="str">
            <v>23.06.2018</v>
          </cell>
          <cell r="G605" t="str">
            <v>610000004176 &amp; P18-NI-EE</v>
          </cell>
          <cell r="H605" t="str">
            <v>TECO PCNF NMAT PRC  SETC</v>
          </cell>
        </row>
        <row r="606">
          <cell r="D606">
            <v>4912132</v>
          </cell>
          <cell r="E606" t="str">
            <v>ZB02</v>
          </cell>
          <cell r="F606" t="str">
            <v>23.06.2018</v>
          </cell>
          <cell r="G606" t="str">
            <v>347638 &amp; P12-FI-ME2</v>
          </cell>
          <cell r="H606" t="str">
            <v>TECO PCNF NMAT PRC  SETC</v>
          </cell>
        </row>
        <row r="607">
          <cell r="D607">
            <v>4913515</v>
          </cell>
          <cell r="E607" t="str">
            <v>ZB02</v>
          </cell>
          <cell r="F607" t="str">
            <v>23.06.2018</v>
          </cell>
          <cell r="G607" t="str">
            <v>342257 &amp; P17-WC-ME</v>
          </cell>
          <cell r="H607" t="str">
            <v>TECO PCNF NMAT PRC  SETC</v>
          </cell>
        </row>
        <row r="608">
          <cell r="D608">
            <v>4914508</v>
          </cell>
          <cell r="E608" t="str">
            <v>ZB02</v>
          </cell>
          <cell r="F608" t="str">
            <v>23.06.2018</v>
          </cell>
          <cell r="G608" t="str">
            <v>347637 &amp; P12-WL-ME</v>
          </cell>
          <cell r="H608" t="str">
            <v>TECO PCNF NMAT PRC  SETC</v>
          </cell>
        </row>
        <row r="609">
          <cell r="D609">
            <v>4912117</v>
          </cell>
          <cell r="E609" t="str">
            <v>ZB02</v>
          </cell>
          <cell r="F609" t="str">
            <v>24.06.2018</v>
          </cell>
          <cell r="G609" t="str">
            <v>342586 &amp; P16-MCB-EE</v>
          </cell>
          <cell r="H609" t="str">
            <v>TECO PCNF NMAT PRC  SETC</v>
          </cell>
        </row>
        <row r="610">
          <cell r="D610">
            <v>4913480</v>
          </cell>
          <cell r="E610" t="str">
            <v>ZB02</v>
          </cell>
          <cell r="F610" t="str">
            <v>24.06.2018</v>
          </cell>
          <cell r="G610" t="str">
            <v>610000004123 &amp; P13-NC-EE</v>
          </cell>
          <cell r="H610" t="str">
            <v>TECO PCNF NMAT PRC  SETC</v>
          </cell>
        </row>
        <row r="611">
          <cell r="D611">
            <v>4912103</v>
          </cell>
          <cell r="E611" t="str">
            <v>ZB02</v>
          </cell>
          <cell r="F611" t="str">
            <v>25.06.2018</v>
          </cell>
          <cell r="G611" t="str">
            <v>610000004152 &amp; P16-MC-EE</v>
          </cell>
          <cell r="H611" t="str">
            <v>TECO PCNF NMAT PRC  SETC</v>
          </cell>
        </row>
        <row r="612">
          <cell r="D612">
            <v>4912121</v>
          </cell>
          <cell r="E612" t="str">
            <v>ZB02</v>
          </cell>
          <cell r="F612" t="str">
            <v>25.06.2018</v>
          </cell>
          <cell r="G612" t="str">
            <v>342631 &amp; P17-QI-EE2</v>
          </cell>
          <cell r="H612" t="str">
            <v>TECO PCNF NMAT PRC  SETC</v>
          </cell>
        </row>
        <row r="613">
          <cell r="D613">
            <v>4908307</v>
          </cell>
          <cell r="E613" t="str">
            <v>ZB02</v>
          </cell>
          <cell r="F613" t="str">
            <v>26.06.2018</v>
          </cell>
          <cell r="G613" t="str">
            <v>6M - EE Flavoring Zone (P17)</v>
          </cell>
          <cell r="H613" t="str">
            <v>TECO PCNF NMAT PRC  SETC</v>
          </cell>
        </row>
        <row r="614">
          <cell r="D614">
            <v>4912102</v>
          </cell>
          <cell r="E614" t="str">
            <v>ZB02</v>
          </cell>
          <cell r="F614" t="str">
            <v>26.06.2018</v>
          </cell>
          <cell r="G614" t="str">
            <v>342299 &amp; P14-QR-EE</v>
          </cell>
          <cell r="H614" t="str">
            <v>TECO PCNF NMAT PRC  SETC</v>
          </cell>
        </row>
        <row r="615">
          <cell r="D615">
            <v>4913532</v>
          </cell>
          <cell r="E615" t="str">
            <v>ZB02</v>
          </cell>
          <cell r="F615" t="str">
            <v>26.06.2018</v>
          </cell>
          <cell r="G615" t="str">
            <v>610000004175 &amp; P18-FI-EE3</v>
          </cell>
          <cell r="H615" t="str">
            <v>TECO PCNF NMAT PRC  SETC</v>
          </cell>
        </row>
        <row r="616">
          <cell r="D616">
            <v>4913513</v>
          </cell>
          <cell r="E616" t="str">
            <v>ZB02</v>
          </cell>
          <cell r="F616" t="str">
            <v>27.06.2018</v>
          </cell>
          <cell r="G616" t="str">
            <v>610000004069 &amp; P15-FI-ME</v>
          </cell>
          <cell r="H616" t="str">
            <v>REL  NMAT PRC  SETC</v>
          </cell>
        </row>
        <row r="617">
          <cell r="D617">
            <v>4913524</v>
          </cell>
          <cell r="E617" t="str">
            <v>ZB02</v>
          </cell>
          <cell r="F617" t="str">
            <v>27.06.2018</v>
          </cell>
          <cell r="G617" t="str">
            <v>610000004070 &amp; P15-FL-ME</v>
          </cell>
          <cell r="H617" t="str">
            <v>REL  NMAT PRC  SETC</v>
          </cell>
        </row>
        <row r="618">
          <cell r="D618">
            <v>4906548</v>
          </cell>
          <cell r="E618" t="str">
            <v>ZB02</v>
          </cell>
          <cell r="F618" t="str">
            <v>28.06.2018</v>
          </cell>
          <cell r="G618" t="str">
            <v>610000004075 &amp; P15-HR-ME</v>
          </cell>
          <cell r="H618" t="str">
            <v>REL  NMAT PRC  SETC</v>
          </cell>
        </row>
        <row r="619">
          <cell r="D619">
            <v>4913568</v>
          </cell>
          <cell r="E619" t="str">
            <v>ZB02</v>
          </cell>
          <cell r="F619" t="str">
            <v>28.06.2018</v>
          </cell>
          <cell r="G619" t="str">
            <v>342588 &amp; P17-MI-EE2</v>
          </cell>
          <cell r="H619" t="str">
            <v>TECO PCNF NMAT PRC  SETC</v>
          </cell>
        </row>
        <row r="620">
          <cell r="D620">
            <v>4914455</v>
          </cell>
          <cell r="E620" t="str">
            <v>ZB02</v>
          </cell>
          <cell r="F620" t="str">
            <v>28.06.2018</v>
          </cell>
          <cell r="G620" t="str">
            <v>610000004085 &amp; P17-FL-ME</v>
          </cell>
          <cell r="H620" t="str">
            <v>REL  NMAT PRC  SETC</v>
          </cell>
        </row>
        <row r="621">
          <cell r="D621">
            <v>4914481</v>
          </cell>
          <cell r="E621" t="str">
            <v>ZB02</v>
          </cell>
          <cell r="F621" t="str">
            <v>28.06.2018</v>
          </cell>
          <cell r="G621" t="str">
            <v>610000004077 &amp; P16-FL-ME</v>
          </cell>
          <cell r="H621" t="str">
            <v>REL  NMAT PRC  SETC</v>
          </cell>
        </row>
        <row r="622">
          <cell r="D622">
            <v>4914497</v>
          </cell>
          <cell r="E622" t="str">
            <v>ZB02</v>
          </cell>
          <cell r="F622" t="str">
            <v>28.06.2018</v>
          </cell>
          <cell r="G622" t="str">
            <v>610000004086 &amp; P17-FI-ME</v>
          </cell>
          <cell r="H622" t="str">
            <v>REL  NMAT PRC  SETC</v>
          </cell>
        </row>
        <row r="623">
          <cell r="D623">
            <v>4915351</v>
          </cell>
          <cell r="E623" t="str">
            <v>ZB02</v>
          </cell>
          <cell r="F623" t="str">
            <v>28.06.2018</v>
          </cell>
          <cell r="G623" t="str">
            <v>610000004068 &amp; P15-WL-ME</v>
          </cell>
          <cell r="H623" t="str">
            <v>REL  NMAT PRC  SETC</v>
          </cell>
        </row>
        <row r="624">
          <cell r="D624">
            <v>4914441</v>
          </cell>
          <cell r="E624" t="str">
            <v>ZB02</v>
          </cell>
          <cell r="F624" t="str">
            <v>29.06.2018</v>
          </cell>
          <cell r="G624" t="str">
            <v>610000004091 &amp; P18-FL-ME</v>
          </cell>
          <cell r="H624" t="str">
            <v>REL  NMAT PRC  SETC</v>
          </cell>
        </row>
        <row r="625">
          <cell r="D625">
            <v>4914446</v>
          </cell>
          <cell r="E625" t="str">
            <v>ZB02</v>
          </cell>
          <cell r="F625" t="str">
            <v>29.06.2018</v>
          </cell>
          <cell r="G625" t="str">
            <v>610000004161 &amp; P17-FC-EE</v>
          </cell>
          <cell r="H625" t="str">
            <v>TECO PCNF NMAT PRC  SETC</v>
          </cell>
        </row>
        <row r="626">
          <cell r="D626">
            <v>4910113</v>
          </cell>
          <cell r="E626" t="str">
            <v>ZB02</v>
          </cell>
          <cell r="F626" t="str">
            <v>30.06.2018</v>
          </cell>
          <cell r="G626" t="str">
            <v>610000004074 &amp; P15-QL-ME</v>
          </cell>
          <cell r="H626" t="str">
            <v>REL  NMAT PRC  SETC</v>
          </cell>
        </row>
        <row r="627">
          <cell r="D627">
            <v>4915406</v>
          </cell>
          <cell r="E627" t="str">
            <v>ZB02</v>
          </cell>
          <cell r="F627" t="str">
            <v>30.06.2018</v>
          </cell>
          <cell r="G627" t="str">
            <v>342257 &amp; P17-WC-ME</v>
          </cell>
          <cell r="H627" t="str">
            <v>REL  NMAT PRC  SETC</v>
          </cell>
        </row>
        <row r="628">
          <cell r="D628">
            <v>4916274</v>
          </cell>
          <cell r="E628" t="str">
            <v>ZB02</v>
          </cell>
          <cell r="F628" t="str">
            <v>30.06.2018</v>
          </cell>
          <cell r="G628" t="str">
            <v>347637 &amp; P12-WL-ME</v>
          </cell>
          <cell r="H628" t="str">
            <v>REL  NMAT PRC  SETC</v>
          </cell>
        </row>
        <row r="629">
          <cell r="D629">
            <v>4914468</v>
          </cell>
          <cell r="E629" t="str">
            <v>ZB02</v>
          </cell>
          <cell r="F629" t="str">
            <v>01.07.2018</v>
          </cell>
          <cell r="G629" t="str">
            <v>610000004050 &amp; P13-FC-ME</v>
          </cell>
          <cell r="H629" t="str">
            <v>REL  NMAT PRC  SETC</v>
          </cell>
        </row>
        <row r="630">
          <cell r="D630">
            <v>4910155</v>
          </cell>
          <cell r="E630" t="str">
            <v>ZB02</v>
          </cell>
          <cell r="F630" t="str">
            <v>03.07.2018</v>
          </cell>
          <cell r="G630" t="str">
            <v>343826 &amp; P16-HI-EE2</v>
          </cell>
          <cell r="H630" t="str">
            <v>REL  NMAT PRC  SETC</v>
          </cell>
        </row>
        <row r="631">
          <cell r="D631">
            <v>4911215</v>
          </cell>
          <cell r="E631" t="str">
            <v>ZB02</v>
          </cell>
          <cell r="F631" t="str">
            <v>03.07.2018</v>
          </cell>
          <cell r="G631" t="str">
            <v>610000004025 &amp; P11-ML-ME</v>
          </cell>
          <cell r="H631" t="str">
            <v>REL  NMAT PRC  SETC</v>
          </cell>
        </row>
        <row r="632">
          <cell r="D632">
            <v>4915348</v>
          </cell>
          <cell r="E632" t="str">
            <v>ZB02</v>
          </cell>
          <cell r="F632" t="str">
            <v>03.07.2018</v>
          </cell>
          <cell r="G632" t="str">
            <v>610000004051 &amp; P13-FL-ME</v>
          </cell>
          <cell r="H632" t="str">
            <v>REL  NMAT PRC  SETC</v>
          </cell>
        </row>
        <row r="633">
          <cell r="D633">
            <v>4915448</v>
          </cell>
          <cell r="E633" t="str">
            <v>ZB02</v>
          </cell>
          <cell r="F633" t="str">
            <v>03.07.2018</v>
          </cell>
          <cell r="G633" t="str">
            <v>610000004031 &amp; P12-FI-ME</v>
          </cell>
          <cell r="H633" t="str">
            <v>REL  NMAT PRC  SETC</v>
          </cell>
        </row>
        <row r="634">
          <cell r="D634">
            <v>4915382</v>
          </cell>
          <cell r="E634" t="str">
            <v>ZB02</v>
          </cell>
          <cell r="F634" t="str">
            <v>04.07.2018</v>
          </cell>
          <cell r="G634" t="str">
            <v>610000004028 &amp; P11-MV-ME</v>
          </cell>
          <cell r="H634" t="str">
            <v>REL  NMAT PRC  SETC</v>
          </cell>
        </row>
        <row r="635">
          <cell r="D635">
            <v>4915387</v>
          </cell>
          <cell r="E635" t="str">
            <v>ZB02</v>
          </cell>
          <cell r="F635" t="str">
            <v>04.07.2018</v>
          </cell>
          <cell r="G635" t="str">
            <v>610000004078 &amp; P16-MC-ME</v>
          </cell>
          <cell r="H635" t="str">
            <v>REL  NMAT PRC  SETC</v>
          </cell>
        </row>
        <row r="636">
          <cell r="D636">
            <v>4915401</v>
          </cell>
          <cell r="E636" t="str">
            <v>ZB02</v>
          </cell>
          <cell r="F636" t="str">
            <v>04.07.2018</v>
          </cell>
          <cell r="G636" t="str">
            <v>610000004061 &amp; P14-MI-ME</v>
          </cell>
          <cell r="H636" t="str">
            <v>REL  NMAT PRC  SETC</v>
          </cell>
        </row>
        <row r="637">
          <cell r="D637">
            <v>4915402</v>
          </cell>
          <cell r="E637" t="str">
            <v>ZB02</v>
          </cell>
          <cell r="F637" t="str">
            <v>04.07.2018</v>
          </cell>
          <cell r="G637" t="str">
            <v>610000004064 &amp; P14-MC-ME</v>
          </cell>
          <cell r="H637" t="str">
            <v>REL  NMAT PRC  SETC</v>
          </cell>
        </row>
        <row r="638">
          <cell r="D638">
            <v>4915404</v>
          </cell>
          <cell r="E638" t="str">
            <v>ZB02</v>
          </cell>
          <cell r="F638" t="str">
            <v>04.07.2018</v>
          </cell>
          <cell r="G638" t="str">
            <v>610000004072 &amp; P15-MV-ME</v>
          </cell>
          <cell r="H638" t="str">
            <v>REL  NMAT PRC  SETC</v>
          </cell>
        </row>
        <row r="639">
          <cell r="D639">
            <v>4915405</v>
          </cell>
          <cell r="E639" t="str">
            <v>ZB02</v>
          </cell>
          <cell r="F639" t="str">
            <v>04.07.2018</v>
          </cell>
          <cell r="G639" t="str">
            <v>610000004073 &amp; P15-ML-ME</v>
          </cell>
          <cell r="H639" t="str">
            <v>REL  NMAT PRC  SETC</v>
          </cell>
        </row>
        <row r="640">
          <cell r="D640">
            <v>4915420</v>
          </cell>
          <cell r="E640" t="str">
            <v>ZB02</v>
          </cell>
          <cell r="F640" t="str">
            <v>04.07.2018</v>
          </cell>
          <cell r="G640" t="str">
            <v>610000004062 &amp; P14-ML-ME</v>
          </cell>
          <cell r="H640" t="str">
            <v>REL  NMAT PRC  SETC</v>
          </cell>
        </row>
        <row r="641">
          <cell r="D641">
            <v>4915421</v>
          </cell>
          <cell r="E641" t="str">
            <v>ZB02</v>
          </cell>
          <cell r="F641" t="str">
            <v>04.07.2018</v>
          </cell>
          <cell r="G641" t="str">
            <v>342258 &amp; P17-FI-ME2</v>
          </cell>
          <cell r="H641" t="str">
            <v>REL  NMAT PRC  SETC</v>
          </cell>
        </row>
        <row r="642">
          <cell r="D642">
            <v>4915435</v>
          </cell>
          <cell r="E642" t="str">
            <v>ZB02</v>
          </cell>
          <cell r="F642" t="str">
            <v>04.07.2018</v>
          </cell>
          <cell r="G642" t="str">
            <v>610000004063 &amp; P14-MV-ME</v>
          </cell>
          <cell r="H642" t="str">
            <v>REL  NMAT PRC  SETC</v>
          </cell>
        </row>
        <row r="643">
          <cell r="D643">
            <v>4915440</v>
          </cell>
          <cell r="E643" t="str">
            <v>ZB02</v>
          </cell>
          <cell r="F643" t="str">
            <v>04.07.2018</v>
          </cell>
          <cell r="G643" t="str">
            <v>610000004071 &amp; P15-MI-ME</v>
          </cell>
          <cell r="H643" t="str">
            <v>REL  NMAT PRC  SETC</v>
          </cell>
        </row>
        <row r="644">
          <cell r="D644">
            <v>4915456</v>
          </cell>
          <cell r="E644" t="str">
            <v>ZB02</v>
          </cell>
          <cell r="F644" t="str">
            <v>04.07.2018</v>
          </cell>
          <cell r="G644" t="str">
            <v>610000004026 &amp; P11-MI-ME</v>
          </cell>
          <cell r="H644" t="str">
            <v>REL  NMAT PRC  SETC</v>
          </cell>
        </row>
        <row r="645">
          <cell r="D645">
            <v>4917266</v>
          </cell>
          <cell r="E645" t="str">
            <v>ZB02</v>
          </cell>
          <cell r="F645" t="str">
            <v>05.07.2018</v>
          </cell>
          <cell r="G645" t="str">
            <v>610000004068 &amp; P15-WL-ME</v>
          </cell>
          <cell r="H645" t="str">
            <v>REL  NMAT PRC  SETC</v>
          </cell>
        </row>
        <row r="646">
          <cell r="D646">
            <v>4916066</v>
          </cell>
          <cell r="E646" t="str">
            <v>ZB02</v>
          </cell>
          <cell r="F646" t="str">
            <v>06.07.2018</v>
          </cell>
          <cell r="G646" t="str">
            <v>610000004079 &amp; P16-MI-ME</v>
          </cell>
          <cell r="H646" t="str">
            <v>REL  NMAT PRC  SETC</v>
          </cell>
        </row>
        <row r="647">
          <cell r="D647">
            <v>4916200</v>
          </cell>
          <cell r="E647" t="str">
            <v>ZB02</v>
          </cell>
          <cell r="F647" t="str">
            <v>06.07.2018</v>
          </cell>
          <cell r="G647" t="str">
            <v>610000004021 &amp; P10-MI-ME</v>
          </cell>
          <cell r="H647" t="str">
            <v>REL  NMAT PRC  SETC</v>
          </cell>
        </row>
        <row r="648">
          <cell r="D648">
            <v>4916201</v>
          </cell>
          <cell r="E648" t="str">
            <v>ZB02</v>
          </cell>
          <cell r="F648" t="str">
            <v>06.07.2018</v>
          </cell>
          <cell r="G648" t="str">
            <v>610000004054 &amp; P13-MV-ME</v>
          </cell>
          <cell r="H648" t="str">
            <v>REL  NMAT PRC  SETC</v>
          </cell>
        </row>
        <row r="649">
          <cell r="D649">
            <v>4916223</v>
          </cell>
          <cell r="E649" t="str">
            <v>ZB02</v>
          </cell>
          <cell r="F649" t="str">
            <v>06.07.2018</v>
          </cell>
          <cell r="G649" t="str">
            <v>610000004088 &amp; P17-MR-ME</v>
          </cell>
          <cell r="H649" t="str">
            <v>REL  NMAT PRC  SETC</v>
          </cell>
        </row>
        <row r="650">
          <cell r="D650">
            <v>4916233</v>
          </cell>
          <cell r="E650" t="str">
            <v>ZB02</v>
          </cell>
          <cell r="F650" t="str">
            <v>06.07.2018</v>
          </cell>
          <cell r="G650" t="str">
            <v>610000004087 &amp; P17-MI-ME</v>
          </cell>
          <cell r="H650" t="str">
            <v>REL  NMAT PRC  SETC</v>
          </cell>
        </row>
        <row r="651">
          <cell r="D651">
            <v>4916243</v>
          </cell>
          <cell r="E651" t="str">
            <v>ZB02</v>
          </cell>
          <cell r="F651" t="str">
            <v>06.07.2018</v>
          </cell>
          <cell r="G651" t="str">
            <v>610000004022 &amp; P10-ML-ME</v>
          </cell>
          <cell r="H651" t="str">
            <v>REL  NMAT PRC  SETC</v>
          </cell>
        </row>
        <row r="652">
          <cell r="D652">
            <v>4916244</v>
          </cell>
          <cell r="E652" t="str">
            <v>ZB02</v>
          </cell>
          <cell r="F652" t="str">
            <v>06.07.2018</v>
          </cell>
          <cell r="G652" t="str">
            <v>610000004033 &amp; P12-MI-ME</v>
          </cell>
          <cell r="H652" t="str">
            <v>REL  NMAT PRC  SETC</v>
          </cell>
        </row>
        <row r="653">
          <cell r="D653">
            <v>4916250</v>
          </cell>
          <cell r="E653" t="str">
            <v>ZB02</v>
          </cell>
          <cell r="F653" t="str">
            <v>06.07.2018</v>
          </cell>
          <cell r="G653" t="str">
            <v>610000004027 &amp; P11-ML-ME</v>
          </cell>
          <cell r="H653" t="str">
            <v>REL  NMAT PRC  SETC</v>
          </cell>
        </row>
        <row r="654">
          <cell r="D654">
            <v>4916259</v>
          </cell>
          <cell r="E654" t="str">
            <v>ZB02</v>
          </cell>
          <cell r="F654" t="str">
            <v>06.07.2018</v>
          </cell>
          <cell r="G654" t="str">
            <v>610000004053 &amp; P13-MI-ME</v>
          </cell>
          <cell r="H654" t="str">
            <v>REL  NMAT PRC  SETC</v>
          </cell>
        </row>
        <row r="655">
          <cell r="D655">
            <v>4916260</v>
          </cell>
          <cell r="E655" t="str">
            <v>ZB02</v>
          </cell>
          <cell r="F655" t="str">
            <v>06.07.2018</v>
          </cell>
          <cell r="G655" t="str">
            <v>610000004080 &amp; P16-MV-ME</v>
          </cell>
          <cell r="H655" t="str">
            <v>REL  NMAT PRC  SETC</v>
          </cell>
        </row>
        <row r="656">
          <cell r="D656">
            <v>4916261</v>
          </cell>
          <cell r="E656" t="str">
            <v>ZB02</v>
          </cell>
          <cell r="F656" t="str">
            <v>06.07.2018</v>
          </cell>
          <cell r="G656" t="str">
            <v>610000004092 &amp; P18-MI-ME</v>
          </cell>
          <cell r="H656" t="str">
            <v>REL  NMAT PRC  SETC</v>
          </cell>
        </row>
        <row r="657">
          <cell r="D657">
            <v>4916263</v>
          </cell>
          <cell r="E657" t="str">
            <v>ZB02</v>
          </cell>
          <cell r="F657" t="str">
            <v>06.07.2018</v>
          </cell>
          <cell r="G657" t="str">
            <v>342694 &amp; P12-MC-ME2</v>
          </cell>
          <cell r="H657" t="str">
            <v>REL  NMAT PRC  SETC</v>
          </cell>
        </row>
        <row r="658">
          <cell r="D658">
            <v>4916290</v>
          </cell>
          <cell r="E658" t="str">
            <v>ZB02</v>
          </cell>
          <cell r="F658" t="str">
            <v>06.07.2018</v>
          </cell>
          <cell r="G658" t="str">
            <v>&amp; P14-MC-ME2</v>
          </cell>
          <cell r="H658" t="str">
            <v>REL  NMAT PRC  SETC</v>
          </cell>
        </row>
        <row r="659">
          <cell r="D659">
            <v>4909494</v>
          </cell>
          <cell r="E659" t="str">
            <v>ZB02</v>
          </cell>
          <cell r="F659" t="str">
            <v>07.07.2018</v>
          </cell>
          <cell r="G659" t="str">
            <v>610000004023 &amp; P10-HR-ME</v>
          </cell>
          <cell r="H659" t="str">
            <v>REL  NMAT PRC  SETC</v>
          </cell>
        </row>
        <row r="660">
          <cell r="D660">
            <v>4916283</v>
          </cell>
          <cell r="E660" t="str">
            <v>ZB02</v>
          </cell>
          <cell r="F660" t="str">
            <v>07.07.2018</v>
          </cell>
          <cell r="G660" t="str">
            <v>347638 &amp; P12-FI-ME2</v>
          </cell>
          <cell r="H660" t="str">
            <v>REL  NMAT PRC  SETC</v>
          </cell>
        </row>
        <row r="661">
          <cell r="D661">
            <v>4917262</v>
          </cell>
          <cell r="E661" t="str">
            <v>ZB02</v>
          </cell>
          <cell r="F661" t="str">
            <v>07.07.2018</v>
          </cell>
          <cell r="G661" t="str">
            <v>610000004165 &amp; P17-NC-EE</v>
          </cell>
          <cell r="H661" t="str">
            <v>REL  NMAT PRC  SETC</v>
          </cell>
        </row>
        <row r="662">
          <cell r="D662">
            <v>4917263</v>
          </cell>
          <cell r="E662" t="str">
            <v>ZB02</v>
          </cell>
          <cell r="F662" t="str">
            <v>07.07.2018</v>
          </cell>
          <cell r="G662" t="str">
            <v>610000004166 &amp; P17-NI-EE</v>
          </cell>
          <cell r="H662" t="str">
            <v>REL  NMAT PRC  SETC</v>
          </cell>
        </row>
        <row r="663">
          <cell r="D663">
            <v>4917282</v>
          </cell>
          <cell r="E663" t="str">
            <v>ZB02</v>
          </cell>
          <cell r="F663" t="str">
            <v>07.07.2018</v>
          </cell>
          <cell r="G663" t="str">
            <v>342257 &amp; P17-WC-ME</v>
          </cell>
          <cell r="H663" t="str">
            <v>REL  NMAT PRC  SETC</v>
          </cell>
        </row>
        <row r="664">
          <cell r="D664">
            <v>4918129</v>
          </cell>
          <cell r="E664" t="str">
            <v>ZB02</v>
          </cell>
          <cell r="F664" t="str">
            <v>07.07.2018</v>
          </cell>
          <cell r="G664" t="str">
            <v>347637 &amp; P12-WL-ME</v>
          </cell>
          <cell r="H664" t="str">
            <v>CRTD MANC NMAT PRC</v>
          </cell>
        </row>
        <row r="665">
          <cell r="D665">
            <v>4912073</v>
          </cell>
          <cell r="E665" t="str">
            <v>ZB02</v>
          </cell>
          <cell r="F665" t="str">
            <v>08.07.2018</v>
          </cell>
          <cell r="G665" t="str">
            <v>610000004065 &amp; P14-QI-ME</v>
          </cell>
          <cell r="H665" t="str">
            <v>CRTD MANC NMAT PRC</v>
          </cell>
        </row>
        <row r="666">
          <cell r="D666">
            <v>4916265</v>
          </cell>
          <cell r="E666" t="str">
            <v>ZB02</v>
          </cell>
          <cell r="F666" t="str">
            <v>08.07.2018</v>
          </cell>
          <cell r="G666" t="str">
            <v>342595 &amp; P16-QR-ME2</v>
          </cell>
          <cell r="H666" t="str">
            <v>CRTD MANC NMAT PRC</v>
          </cell>
        </row>
        <row r="667">
          <cell r="D667">
            <v>4910150</v>
          </cell>
          <cell r="E667" t="str">
            <v>ZB02</v>
          </cell>
          <cell r="F667" t="str">
            <v>10.07.2018</v>
          </cell>
          <cell r="G667" t="str">
            <v>342761 &amp; P16-YR-EE</v>
          </cell>
          <cell r="H667" t="str">
            <v>REL  NMAT PRC  SETC</v>
          </cell>
        </row>
        <row r="668">
          <cell r="D668">
            <v>4912119</v>
          </cell>
          <cell r="E668" t="str">
            <v>ZB02</v>
          </cell>
          <cell r="F668" t="str">
            <v>10.07.2018</v>
          </cell>
          <cell r="G668" t="str">
            <v>342730 &amp; P16-HI-EE</v>
          </cell>
          <cell r="H668" t="str">
            <v>REL  NMAT PRC  SETC</v>
          </cell>
        </row>
        <row r="669">
          <cell r="D669">
            <v>4916208</v>
          </cell>
          <cell r="E669" t="str">
            <v>ZB02</v>
          </cell>
          <cell r="F669" t="str">
            <v>10.07.2018</v>
          </cell>
          <cell r="G669" t="str">
            <v>610000004146 &amp; P15-QI-EE</v>
          </cell>
          <cell r="H669" t="str">
            <v>REL  NMAT PRC  SETC</v>
          </cell>
        </row>
        <row r="670">
          <cell r="D670">
            <v>4916234</v>
          </cell>
          <cell r="E670" t="str">
            <v>ZB02</v>
          </cell>
          <cell r="F670" t="str">
            <v>10.07.2018</v>
          </cell>
          <cell r="G670" t="str">
            <v>610000004156 &amp; P16-QI-EE</v>
          </cell>
          <cell r="H670" t="str">
            <v>REL  NMAT PRC  SETC</v>
          </cell>
        </row>
        <row r="671">
          <cell r="D671">
            <v>4917287</v>
          </cell>
          <cell r="E671" t="str">
            <v>ZB02</v>
          </cell>
          <cell r="F671" t="str">
            <v>10.07.2018</v>
          </cell>
          <cell r="G671" t="str">
            <v>610000004095 &amp; P10-MC-EE</v>
          </cell>
          <cell r="H671" t="str">
            <v>REL  NMAT PRC  SETC</v>
          </cell>
        </row>
        <row r="672">
          <cell r="D672">
            <v>4917288</v>
          </cell>
          <cell r="E672" t="str">
            <v>ZB02</v>
          </cell>
          <cell r="F672" t="str">
            <v>10.07.2018</v>
          </cell>
          <cell r="G672" t="str">
            <v>610000004163 &amp; P17-MC-EE</v>
          </cell>
          <cell r="H672" t="str">
            <v>REL  NMAT PRC  SETC</v>
          </cell>
        </row>
        <row r="673">
          <cell r="D673">
            <v>4917291</v>
          </cell>
          <cell r="E673" t="str">
            <v>ZB02</v>
          </cell>
          <cell r="F673" t="str">
            <v>10.07.2018</v>
          </cell>
          <cell r="G673" t="str">
            <v>610000004175 &amp; P18-FI-EE3</v>
          </cell>
          <cell r="H673" t="str">
            <v>REL  NMAT PRC  SETC</v>
          </cell>
        </row>
        <row r="674">
          <cell r="D674">
            <v>4917280</v>
          </cell>
          <cell r="E674" t="str">
            <v>ZB02</v>
          </cell>
          <cell r="F674" t="str">
            <v>11.07.2018</v>
          </cell>
          <cell r="G674" t="str">
            <v>610000004069 &amp; P15-FI-ME</v>
          </cell>
          <cell r="H674" t="str">
            <v>CRTD MANC NMAT PRC</v>
          </cell>
        </row>
        <row r="675">
          <cell r="D675">
            <v>4917285</v>
          </cell>
          <cell r="E675" t="str">
            <v>ZB02</v>
          </cell>
          <cell r="F675" t="str">
            <v>11.07.2018</v>
          </cell>
          <cell r="G675" t="str">
            <v>610000004070 &amp; P15-FL-ME</v>
          </cell>
          <cell r="H675" t="str">
            <v>CRTD MANC NMAT PRC</v>
          </cell>
        </row>
        <row r="676">
          <cell r="D676">
            <v>4918080</v>
          </cell>
          <cell r="E676" t="str">
            <v>ZB02</v>
          </cell>
          <cell r="F676" t="str">
            <v>12.07.2018</v>
          </cell>
          <cell r="G676" t="str">
            <v>610000004085 &amp; P17-FL-ME</v>
          </cell>
          <cell r="H676" t="str">
            <v>CRTD MANC NMAT PRC</v>
          </cell>
        </row>
        <row r="677">
          <cell r="D677">
            <v>4918097</v>
          </cell>
          <cell r="E677" t="str">
            <v>ZB02</v>
          </cell>
          <cell r="F677" t="str">
            <v>12.07.2018</v>
          </cell>
          <cell r="G677" t="str">
            <v>610000004077 &amp; P16-FL-ME</v>
          </cell>
          <cell r="H677" t="str">
            <v>CRTD MANC NMAT PRC</v>
          </cell>
        </row>
        <row r="678">
          <cell r="D678">
            <v>4918111</v>
          </cell>
          <cell r="E678" t="str">
            <v>ZB02</v>
          </cell>
          <cell r="F678" t="str">
            <v>12.07.2018</v>
          </cell>
          <cell r="G678" t="str">
            <v>610000004086 &amp; P17-FI-ME</v>
          </cell>
          <cell r="H678" t="str">
            <v>CRTD MANC NMAT PRC</v>
          </cell>
        </row>
        <row r="679">
          <cell r="D679">
            <v>4917930</v>
          </cell>
          <cell r="E679" t="str">
            <v>ZB02</v>
          </cell>
          <cell r="F679" t="str">
            <v>13.07.2018</v>
          </cell>
          <cell r="G679" t="str">
            <v>610000004091 &amp; P18-FL-ME</v>
          </cell>
          <cell r="H679" t="str">
            <v>CRTD MANC NMAT PRC</v>
          </cell>
        </row>
        <row r="680">
          <cell r="D680">
            <v>4917933</v>
          </cell>
          <cell r="E680" t="str">
            <v>ZB02</v>
          </cell>
          <cell r="F680" t="str">
            <v>13.07.2018</v>
          </cell>
          <cell r="G680" t="str">
            <v>610000004161 &amp; P17-FC-EE</v>
          </cell>
          <cell r="H680" t="str">
            <v>REL  NMAT PRC  SETC</v>
          </cell>
        </row>
        <row r="681">
          <cell r="D681">
            <v>4914475</v>
          </cell>
          <cell r="E681" t="str">
            <v>ZB02</v>
          </cell>
          <cell r="F681" t="str">
            <v>14.07.2018</v>
          </cell>
          <cell r="G681" t="str">
            <v>610000004109 &amp; P11-HR-EE</v>
          </cell>
          <cell r="H681" t="str">
            <v>REL  NMAT PRC  SETC</v>
          </cell>
        </row>
        <row r="682">
          <cell r="D682">
            <v>4918107</v>
          </cell>
          <cell r="E682" t="str">
            <v>ZB02</v>
          </cell>
          <cell r="F682" t="str">
            <v>14.07.2018</v>
          </cell>
          <cell r="G682" t="str">
            <v>610000004101 &amp; P11-NI-EE2</v>
          </cell>
          <cell r="H682" t="str">
            <v>REL  NMAT PRC  SETC</v>
          </cell>
        </row>
        <row r="683">
          <cell r="D683">
            <v>4918116</v>
          </cell>
          <cell r="E683" t="str">
            <v>ZB02</v>
          </cell>
          <cell r="F683" t="str">
            <v>14.07.2018</v>
          </cell>
          <cell r="G683" t="str">
            <v>610000004121 &amp; P13-NI-EE2</v>
          </cell>
          <cell r="H683" t="str">
            <v>REL  NMAT PRC  SETC</v>
          </cell>
        </row>
        <row r="684">
          <cell r="D684">
            <v>4914459</v>
          </cell>
          <cell r="E684" t="str">
            <v>ZB02</v>
          </cell>
          <cell r="F684" t="str">
            <v>15.07.2018</v>
          </cell>
          <cell r="G684" t="str">
            <v>610000004149 &amp; P15-HR-EE</v>
          </cell>
          <cell r="H684" t="str">
            <v>REL  NMAT PRC  SETC</v>
          </cell>
        </row>
        <row r="685">
          <cell r="D685">
            <v>4918089</v>
          </cell>
          <cell r="E685" t="str">
            <v>ZB02</v>
          </cell>
          <cell r="F685" t="str">
            <v>15.07.2018</v>
          </cell>
          <cell r="G685" t="str">
            <v>610000004050 &amp; P13-FC-ME</v>
          </cell>
          <cell r="H685" t="str">
            <v>CRTD MANC NMAT PRC</v>
          </cell>
        </row>
        <row r="686">
          <cell r="D686">
            <v>4917931</v>
          </cell>
          <cell r="E686" t="str">
            <v>ZB02</v>
          </cell>
          <cell r="F686" t="str">
            <v>16.07.2018</v>
          </cell>
          <cell r="G686" t="str">
            <v>610000004128 &amp; P14-NI-EE2</v>
          </cell>
          <cell r="H686" t="str">
            <v>REL  NMAT PRC  SETC</v>
          </cell>
        </row>
        <row r="687">
          <cell r="D687">
            <v>4918110</v>
          </cell>
          <cell r="E687" t="str">
            <v>ZB02</v>
          </cell>
          <cell r="F687" t="str">
            <v>16.07.2018</v>
          </cell>
          <cell r="G687" t="str">
            <v>610000004151 &amp; P16-NI-EE2</v>
          </cell>
          <cell r="H687" t="str">
            <v>REL  NMAT PRC  SETC</v>
          </cell>
        </row>
        <row r="688">
          <cell r="D688">
            <v>4918115</v>
          </cell>
          <cell r="E688" t="str">
            <v>ZB02</v>
          </cell>
          <cell r="F688" t="str">
            <v>16.07.2018</v>
          </cell>
          <cell r="G688" t="str">
            <v>610000004142 &amp; P15-NI-EE2</v>
          </cell>
          <cell r="H688" t="str">
            <v>REL  NMAT PRC  SETC</v>
          </cell>
        </row>
        <row r="689">
          <cell r="D689">
            <v>4916067</v>
          </cell>
          <cell r="E689" t="str">
            <v>ZB02</v>
          </cell>
          <cell r="F689" t="str">
            <v>21.07.2018</v>
          </cell>
          <cell r="G689" t="str">
            <v>610000004090 &amp; P17-HL-ME</v>
          </cell>
          <cell r="H689" t="str">
            <v>CRTD MANC NMAT PRC</v>
          </cell>
        </row>
        <row r="690">
          <cell r="D690">
            <v>4913039</v>
          </cell>
          <cell r="E690" t="str">
            <v>ZB02</v>
          </cell>
          <cell r="F690" t="str">
            <v>22.07.2018</v>
          </cell>
          <cell r="G690" t="str">
            <v>610000004049 &amp; P12-HR-ME4</v>
          </cell>
          <cell r="H690" t="str">
            <v>CRTD MANC NMAT PRC</v>
          </cell>
        </row>
        <row r="691">
          <cell r="D691">
            <v>4916268</v>
          </cell>
          <cell r="E691" t="str">
            <v>ZB02</v>
          </cell>
          <cell r="F691" t="str">
            <v>22.07.2018</v>
          </cell>
          <cell r="G691" t="str">
            <v>342741 &amp; P17-HCB-EE</v>
          </cell>
          <cell r="H691" t="str">
            <v>REL  NMAT PRC  SETC</v>
          </cell>
        </row>
        <row r="692">
          <cell r="D692">
            <v>4917318</v>
          </cell>
          <cell r="E692" t="str">
            <v>ZB02</v>
          </cell>
          <cell r="F692" t="str">
            <v>22.07.2018</v>
          </cell>
          <cell r="G692" t="str">
            <v>347679 &amp; P12-NCB-EE</v>
          </cell>
          <cell r="H692" t="str">
            <v>REL  NMAT PRC  SETC</v>
          </cell>
        </row>
        <row r="693">
          <cell r="D693">
            <v>4918120</v>
          </cell>
          <cell r="E693" t="str">
            <v>ZB02</v>
          </cell>
          <cell r="F693" t="str">
            <v>31.07.2018</v>
          </cell>
          <cell r="G693" t="str">
            <v>6M - EE Flavoring Zone (P17)</v>
          </cell>
          <cell r="H693" t="str">
            <v>REL  NMAT PRC  SETC</v>
          </cell>
        </row>
        <row r="694">
          <cell r="D694">
            <v>4918101</v>
          </cell>
          <cell r="E694" t="str">
            <v>ZB02</v>
          </cell>
          <cell r="F694" t="str">
            <v>01.08.2018</v>
          </cell>
          <cell r="G694" t="str">
            <v>610000004132 &amp; P14-NC-EE</v>
          </cell>
          <cell r="H694" t="str">
            <v>CRTD MANC NMAT PRC</v>
          </cell>
        </row>
        <row r="695">
          <cell r="D695">
            <v>4917261</v>
          </cell>
          <cell r="E695" t="str">
            <v>ZB02</v>
          </cell>
          <cell r="F695" t="str">
            <v>03.08.2018</v>
          </cell>
          <cell r="G695" t="str">
            <v>610000004045 &amp; P12-HL-ME</v>
          </cell>
          <cell r="H695" t="str">
            <v>CRTD MANC NMAT PRC</v>
          </cell>
        </row>
        <row r="696">
          <cell r="D696">
            <v>4918100</v>
          </cell>
          <cell r="E696" t="str">
            <v>ZB02</v>
          </cell>
          <cell r="F696" t="str">
            <v>07.08.2018</v>
          </cell>
          <cell r="G696" t="str">
            <v>610000004047 &amp; P12-YR-ME</v>
          </cell>
          <cell r="H696" t="str">
            <v>CRTD MANC NMAT PRC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50 Y2018 Confirm"/>
    </sheetNames>
    <sheetDataSet>
      <sheetData sheetId="0">
        <row r="4">
          <cell r="E4" t="str">
            <v>Order</v>
          </cell>
          <cell r="F4" t="str">
            <v>Postg date</v>
          </cell>
          <cell r="G4" t="str">
            <v>Equipment</v>
          </cell>
          <cell r="H4" t="str">
            <v>WkCtrAct</v>
          </cell>
        </row>
        <row r="6">
          <cell r="E6">
            <v>4857888</v>
          </cell>
          <cell r="F6" t="str">
            <v>05.01.2018</v>
          </cell>
          <cell r="G6">
            <v>10049372</v>
          </cell>
          <cell r="H6" t="str">
            <v>PRO006</v>
          </cell>
        </row>
        <row r="7">
          <cell r="E7">
            <v>4859491</v>
          </cell>
          <cell r="F7" t="str">
            <v>15.01.2018</v>
          </cell>
          <cell r="G7">
            <v>10051763</v>
          </cell>
          <cell r="H7" t="str">
            <v>PRO016</v>
          </cell>
        </row>
        <row r="8">
          <cell r="E8">
            <v>4860404</v>
          </cell>
          <cell r="F8" t="str">
            <v>05.01.2018</v>
          </cell>
          <cell r="G8">
            <v>10051396</v>
          </cell>
          <cell r="H8" t="str">
            <v>PRO006</v>
          </cell>
        </row>
        <row r="9">
          <cell r="E9">
            <v>4862223</v>
          </cell>
          <cell r="F9" t="str">
            <v>12.01.2018</v>
          </cell>
          <cell r="G9">
            <v>10051396</v>
          </cell>
          <cell r="H9" t="str">
            <v>PRO006</v>
          </cell>
        </row>
        <row r="10">
          <cell r="E10">
            <v>4863287</v>
          </cell>
          <cell r="F10" t="str">
            <v>08.02.2018</v>
          </cell>
          <cell r="G10">
            <v>10051778</v>
          </cell>
          <cell r="H10" t="str">
            <v>PRO019</v>
          </cell>
        </row>
        <row r="11">
          <cell r="E11">
            <v>4863287</v>
          </cell>
          <cell r="F11" t="str">
            <v>08.02.2018</v>
          </cell>
          <cell r="G11">
            <v>10051778</v>
          </cell>
          <cell r="H11" t="str">
            <v>PRO016</v>
          </cell>
        </row>
        <row r="12">
          <cell r="E12">
            <v>4863287</v>
          </cell>
          <cell r="F12" t="str">
            <v>08.02.2018</v>
          </cell>
          <cell r="G12">
            <v>10051778</v>
          </cell>
          <cell r="H12" t="str">
            <v>PRO010</v>
          </cell>
        </row>
        <row r="13">
          <cell r="E13">
            <v>4863314</v>
          </cell>
          <cell r="F13" t="str">
            <v>18.01.2018</v>
          </cell>
          <cell r="G13">
            <v>10051386</v>
          </cell>
          <cell r="H13" t="str">
            <v>PRO006</v>
          </cell>
        </row>
        <row r="14">
          <cell r="E14">
            <v>4863333</v>
          </cell>
          <cell r="F14" t="str">
            <v>18.01.2018</v>
          </cell>
          <cell r="G14">
            <v>10051769</v>
          </cell>
          <cell r="H14" t="str">
            <v>PRO000</v>
          </cell>
        </row>
        <row r="15">
          <cell r="E15">
            <v>4863388</v>
          </cell>
          <cell r="F15" t="str">
            <v>26.01.2018</v>
          </cell>
          <cell r="G15">
            <v>10049372</v>
          </cell>
          <cell r="H15" t="str">
            <v>PRO006</v>
          </cell>
        </row>
        <row r="16">
          <cell r="E16">
            <v>4863394</v>
          </cell>
          <cell r="F16" t="str">
            <v>26.01.2018</v>
          </cell>
          <cell r="G16">
            <v>10049361</v>
          </cell>
          <cell r="H16" t="str">
            <v>PRO006</v>
          </cell>
        </row>
        <row r="17">
          <cell r="E17">
            <v>4864303</v>
          </cell>
          <cell r="F17" t="str">
            <v>15.01.2018</v>
          </cell>
          <cell r="G17">
            <v>10049350</v>
          </cell>
          <cell r="H17" t="str">
            <v>PRO016</v>
          </cell>
        </row>
        <row r="18">
          <cell r="E18">
            <v>4864318</v>
          </cell>
          <cell r="F18" t="str">
            <v>15.01.2018</v>
          </cell>
          <cell r="G18">
            <v>10051763</v>
          </cell>
          <cell r="H18" t="str">
            <v>PRO016</v>
          </cell>
        </row>
        <row r="19">
          <cell r="E19">
            <v>4864363</v>
          </cell>
          <cell r="F19" t="str">
            <v>15.01.2018</v>
          </cell>
          <cell r="G19">
            <v>10049372</v>
          </cell>
          <cell r="H19" t="str">
            <v>PRO016</v>
          </cell>
        </row>
        <row r="20">
          <cell r="E20">
            <v>4864392</v>
          </cell>
          <cell r="F20" t="str">
            <v>15.01.2018</v>
          </cell>
          <cell r="G20">
            <v>10051778</v>
          </cell>
          <cell r="H20" t="str">
            <v>PRO016</v>
          </cell>
        </row>
        <row r="21">
          <cell r="E21">
            <v>4864724</v>
          </cell>
          <cell r="F21" t="str">
            <v>08.02.2018</v>
          </cell>
          <cell r="G21">
            <v>10049372</v>
          </cell>
          <cell r="H21" t="str">
            <v>PRO019</v>
          </cell>
        </row>
        <row r="22">
          <cell r="E22">
            <v>4864724</v>
          </cell>
          <cell r="F22" t="str">
            <v>08.02.2018</v>
          </cell>
          <cell r="G22">
            <v>10049372</v>
          </cell>
          <cell r="H22" t="str">
            <v>PRO015</v>
          </cell>
        </row>
        <row r="23">
          <cell r="E23">
            <v>4864860</v>
          </cell>
          <cell r="F23" t="str">
            <v>26.01.2018</v>
          </cell>
          <cell r="G23">
            <v>10049372</v>
          </cell>
          <cell r="H23" t="str">
            <v>PRO000</v>
          </cell>
        </row>
        <row r="24">
          <cell r="E24">
            <v>4864866</v>
          </cell>
          <cell r="F24" t="str">
            <v>12.01.2018</v>
          </cell>
          <cell r="G24">
            <v>10051778</v>
          </cell>
          <cell r="H24" t="str">
            <v>PRO006</v>
          </cell>
        </row>
        <row r="25">
          <cell r="E25">
            <v>4864872</v>
          </cell>
          <cell r="F25" t="str">
            <v>15.01.2018</v>
          </cell>
          <cell r="G25">
            <v>10051778</v>
          </cell>
          <cell r="H25" t="str">
            <v>PRO016</v>
          </cell>
        </row>
        <row r="26">
          <cell r="E26">
            <v>4864873</v>
          </cell>
          <cell r="F26" t="str">
            <v>12.01.2018</v>
          </cell>
          <cell r="G26">
            <v>10051778</v>
          </cell>
          <cell r="H26" t="str">
            <v>PRO006</v>
          </cell>
        </row>
        <row r="27">
          <cell r="E27">
            <v>4865527</v>
          </cell>
          <cell r="F27" t="str">
            <v>19.02.2018</v>
          </cell>
          <cell r="G27">
            <v>10051778</v>
          </cell>
          <cell r="H27" t="str">
            <v>PRO019</v>
          </cell>
        </row>
        <row r="28">
          <cell r="E28">
            <v>4865527</v>
          </cell>
          <cell r="F28" t="str">
            <v>19.02.2018</v>
          </cell>
          <cell r="G28">
            <v>10051778</v>
          </cell>
          <cell r="H28" t="str">
            <v>PRO013</v>
          </cell>
        </row>
        <row r="29">
          <cell r="E29">
            <v>4865528</v>
          </cell>
          <cell r="F29" t="str">
            <v>12.01.2018</v>
          </cell>
          <cell r="G29">
            <v>10049372</v>
          </cell>
          <cell r="H29" t="str">
            <v>PRO006</v>
          </cell>
        </row>
        <row r="30">
          <cell r="E30">
            <v>4865529</v>
          </cell>
          <cell r="F30" t="str">
            <v>12.01.2018</v>
          </cell>
          <cell r="G30">
            <v>10049372</v>
          </cell>
          <cell r="H30" t="str">
            <v>PRO006</v>
          </cell>
        </row>
        <row r="31">
          <cell r="E31">
            <v>4865531</v>
          </cell>
          <cell r="F31" t="str">
            <v>15.01.2018</v>
          </cell>
          <cell r="G31">
            <v>10051386</v>
          </cell>
          <cell r="H31" t="str">
            <v>PRO016</v>
          </cell>
        </row>
        <row r="32">
          <cell r="E32">
            <v>4865551</v>
          </cell>
          <cell r="F32" t="str">
            <v>12.01.2018</v>
          </cell>
          <cell r="G32">
            <v>10051386</v>
          </cell>
          <cell r="H32" t="str">
            <v>PRO006</v>
          </cell>
        </row>
        <row r="33">
          <cell r="E33">
            <v>4865552</v>
          </cell>
          <cell r="F33" t="str">
            <v>12.01.2018</v>
          </cell>
          <cell r="G33">
            <v>10051443</v>
          </cell>
          <cell r="H33" t="str">
            <v>PRO006</v>
          </cell>
        </row>
        <row r="34">
          <cell r="E34">
            <v>4865554</v>
          </cell>
          <cell r="F34" t="str">
            <v>15.01.2018</v>
          </cell>
          <cell r="G34">
            <v>10051386</v>
          </cell>
          <cell r="H34" t="str">
            <v>PRO016</v>
          </cell>
        </row>
        <row r="35">
          <cell r="E35">
            <v>4865557</v>
          </cell>
          <cell r="F35" t="str">
            <v>15.01.2018</v>
          </cell>
          <cell r="G35">
            <v>10049372</v>
          </cell>
          <cell r="H35" t="str">
            <v>PRO016</v>
          </cell>
        </row>
        <row r="36">
          <cell r="E36">
            <v>4865561</v>
          </cell>
          <cell r="F36" t="str">
            <v>15.01.2018</v>
          </cell>
          <cell r="G36">
            <v>10051386</v>
          </cell>
          <cell r="H36" t="str">
            <v>PRO016</v>
          </cell>
        </row>
        <row r="37">
          <cell r="E37">
            <v>4865564</v>
          </cell>
          <cell r="F37" t="str">
            <v>12.01.2018</v>
          </cell>
          <cell r="G37">
            <v>10051763</v>
          </cell>
          <cell r="H37" t="str">
            <v>PRO006</v>
          </cell>
        </row>
        <row r="38">
          <cell r="E38">
            <v>4865565</v>
          </cell>
          <cell r="F38" t="str">
            <v>12.01.2018</v>
          </cell>
          <cell r="G38">
            <v>10051396</v>
          </cell>
          <cell r="H38" t="str">
            <v>PRO006</v>
          </cell>
        </row>
        <row r="39">
          <cell r="E39">
            <v>4865566</v>
          </cell>
          <cell r="F39" t="str">
            <v>12.01.2018</v>
          </cell>
          <cell r="G39">
            <v>10049372</v>
          </cell>
          <cell r="H39" t="str">
            <v>PRO006</v>
          </cell>
        </row>
        <row r="40">
          <cell r="E40">
            <v>4865575</v>
          </cell>
          <cell r="F40" t="str">
            <v>12.01.2018</v>
          </cell>
          <cell r="G40">
            <v>10051443</v>
          </cell>
          <cell r="H40" t="str">
            <v>PRO006</v>
          </cell>
        </row>
        <row r="41">
          <cell r="E41">
            <v>4865608</v>
          </cell>
          <cell r="F41" t="str">
            <v>15.01.2018</v>
          </cell>
          <cell r="G41">
            <v>10051778</v>
          </cell>
          <cell r="H41" t="str">
            <v>PRO016</v>
          </cell>
        </row>
        <row r="42">
          <cell r="E42">
            <v>4865614</v>
          </cell>
          <cell r="F42" t="str">
            <v>26.01.2018</v>
          </cell>
          <cell r="G42">
            <v>10051778</v>
          </cell>
          <cell r="H42" t="str">
            <v>PRO000</v>
          </cell>
        </row>
        <row r="43">
          <cell r="E43">
            <v>4865948</v>
          </cell>
          <cell r="F43" t="str">
            <v>15.01.2018</v>
          </cell>
          <cell r="G43">
            <v>10051443</v>
          </cell>
          <cell r="H43" t="str">
            <v>PRO016</v>
          </cell>
        </row>
        <row r="44">
          <cell r="E44">
            <v>4865949</v>
          </cell>
          <cell r="F44" t="str">
            <v>12.01.2018</v>
          </cell>
          <cell r="G44">
            <v>10049372</v>
          </cell>
          <cell r="H44" t="str">
            <v>PRO006</v>
          </cell>
        </row>
        <row r="45">
          <cell r="E45">
            <v>4865964</v>
          </cell>
          <cell r="F45" t="str">
            <v>15.01.2018</v>
          </cell>
          <cell r="G45">
            <v>10051769</v>
          </cell>
          <cell r="H45" t="str">
            <v>PRO016</v>
          </cell>
        </row>
        <row r="46">
          <cell r="E46">
            <v>4865969</v>
          </cell>
          <cell r="F46" t="str">
            <v>15.01.2018</v>
          </cell>
          <cell r="G46">
            <v>10049372</v>
          </cell>
          <cell r="H46" t="str">
            <v>PRO016</v>
          </cell>
        </row>
        <row r="47">
          <cell r="E47">
            <v>4865982</v>
          </cell>
          <cell r="F47" t="str">
            <v>15.01.2018</v>
          </cell>
          <cell r="G47">
            <v>10049350</v>
          </cell>
          <cell r="H47" t="str">
            <v>PRO016</v>
          </cell>
        </row>
        <row r="48">
          <cell r="E48">
            <v>4865995</v>
          </cell>
          <cell r="F48" t="str">
            <v>15.01.2018</v>
          </cell>
          <cell r="G48">
            <v>10051396</v>
          </cell>
          <cell r="H48" t="str">
            <v>PRO016</v>
          </cell>
        </row>
        <row r="49">
          <cell r="E49">
            <v>4866004</v>
          </cell>
          <cell r="F49" t="str">
            <v>15.01.2018</v>
          </cell>
          <cell r="G49">
            <v>10049350</v>
          </cell>
          <cell r="H49" t="str">
            <v>PRO016</v>
          </cell>
        </row>
        <row r="50">
          <cell r="E50">
            <v>4866005</v>
          </cell>
          <cell r="F50" t="str">
            <v>03.02.2018</v>
          </cell>
          <cell r="G50">
            <v>10049361</v>
          </cell>
          <cell r="H50" t="str">
            <v>PRO006</v>
          </cell>
        </row>
        <row r="51">
          <cell r="E51">
            <v>4866014</v>
          </cell>
          <cell r="F51" t="str">
            <v>18.01.2018</v>
          </cell>
          <cell r="G51">
            <v>10051769</v>
          </cell>
          <cell r="H51" t="str">
            <v>PRO006</v>
          </cell>
        </row>
        <row r="52">
          <cell r="E52">
            <v>4866024</v>
          </cell>
          <cell r="F52" t="str">
            <v>15.01.2018</v>
          </cell>
          <cell r="G52">
            <v>10049372</v>
          </cell>
          <cell r="H52" t="str">
            <v>PRO016</v>
          </cell>
        </row>
        <row r="53">
          <cell r="E53">
            <v>4866029</v>
          </cell>
          <cell r="F53" t="str">
            <v>18.01.2018</v>
          </cell>
          <cell r="G53">
            <v>10049350</v>
          </cell>
          <cell r="H53" t="str">
            <v>PRO006</v>
          </cell>
        </row>
        <row r="54">
          <cell r="E54">
            <v>4866049</v>
          </cell>
          <cell r="F54" t="str">
            <v>15.01.2018</v>
          </cell>
          <cell r="G54">
            <v>10051778</v>
          </cell>
          <cell r="H54" t="str">
            <v>PRO016</v>
          </cell>
        </row>
        <row r="55">
          <cell r="E55">
            <v>4866821</v>
          </cell>
          <cell r="F55" t="str">
            <v>18.01.2018</v>
          </cell>
          <cell r="G55">
            <v>10049361</v>
          </cell>
          <cell r="H55" t="str">
            <v>PRO006</v>
          </cell>
        </row>
        <row r="56">
          <cell r="E56">
            <v>4866822</v>
          </cell>
          <cell r="F56" t="str">
            <v>22.01.2018</v>
          </cell>
          <cell r="G56">
            <v>10049350</v>
          </cell>
          <cell r="H56" t="str">
            <v>PRO016</v>
          </cell>
        </row>
        <row r="57">
          <cell r="E57">
            <v>4866823</v>
          </cell>
          <cell r="F57" t="str">
            <v>15.01.2018</v>
          </cell>
          <cell r="G57">
            <v>10051386</v>
          </cell>
          <cell r="H57" t="str">
            <v>PRO016</v>
          </cell>
        </row>
        <row r="58">
          <cell r="E58">
            <v>4866826</v>
          </cell>
          <cell r="F58" t="str">
            <v>22.01.2018</v>
          </cell>
          <cell r="G58">
            <v>10051763</v>
          </cell>
          <cell r="H58" t="str">
            <v>PRO016</v>
          </cell>
        </row>
        <row r="59">
          <cell r="E59">
            <v>4866829</v>
          </cell>
          <cell r="F59" t="str">
            <v>18.01.2018</v>
          </cell>
          <cell r="G59">
            <v>10051396</v>
          </cell>
          <cell r="H59" t="str">
            <v>PRO006</v>
          </cell>
        </row>
        <row r="60">
          <cell r="E60">
            <v>4866837</v>
          </cell>
          <cell r="F60" t="str">
            <v>15.01.2018</v>
          </cell>
          <cell r="G60">
            <v>10049372</v>
          </cell>
          <cell r="H60" t="str">
            <v>PRO016</v>
          </cell>
        </row>
        <row r="61">
          <cell r="E61">
            <v>4866843</v>
          </cell>
          <cell r="F61" t="str">
            <v>22.01.2018</v>
          </cell>
          <cell r="G61">
            <v>10049372</v>
          </cell>
          <cell r="H61" t="str">
            <v>PRO016</v>
          </cell>
        </row>
        <row r="62">
          <cell r="E62">
            <v>4866851</v>
          </cell>
          <cell r="F62" t="str">
            <v>06.03.2018</v>
          </cell>
          <cell r="G62">
            <v>10051443</v>
          </cell>
          <cell r="H62" t="str">
            <v>PRO016</v>
          </cell>
        </row>
        <row r="63">
          <cell r="E63">
            <v>4866866</v>
          </cell>
          <cell r="F63" t="str">
            <v>18.01.2018</v>
          </cell>
          <cell r="G63">
            <v>10051386</v>
          </cell>
          <cell r="H63" t="str">
            <v>PRO006</v>
          </cell>
        </row>
        <row r="64">
          <cell r="E64">
            <v>4866867</v>
          </cell>
          <cell r="F64" t="str">
            <v>18.01.2018</v>
          </cell>
          <cell r="G64">
            <v>10051396</v>
          </cell>
          <cell r="H64" t="str">
            <v>PRO006</v>
          </cell>
        </row>
        <row r="65">
          <cell r="E65">
            <v>4866870</v>
          </cell>
          <cell r="F65" t="str">
            <v>22.01.2018</v>
          </cell>
          <cell r="G65">
            <v>10051778</v>
          </cell>
          <cell r="H65" t="str">
            <v>PRO016</v>
          </cell>
        </row>
        <row r="66">
          <cell r="E66">
            <v>4866874</v>
          </cell>
          <cell r="F66" t="str">
            <v>18.01.2018</v>
          </cell>
          <cell r="G66">
            <v>10051386</v>
          </cell>
          <cell r="H66" t="str">
            <v>PRO006</v>
          </cell>
        </row>
        <row r="67">
          <cell r="E67">
            <v>4866879</v>
          </cell>
          <cell r="F67" t="str">
            <v>06.02.2018</v>
          </cell>
          <cell r="G67">
            <v>10049372</v>
          </cell>
          <cell r="H67" t="str">
            <v>PRO006</v>
          </cell>
        </row>
        <row r="68">
          <cell r="E68">
            <v>4867541</v>
          </cell>
          <cell r="F68" t="str">
            <v>22.01.2018</v>
          </cell>
          <cell r="G68">
            <v>10051769</v>
          </cell>
          <cell r="H68" t="str">
            <v>PRO016</v>
          </cell>
        </row>
        <row r="69">
          <cell r="E69">
            <v>4867542</v>
          </cell>
          <cell r="F69" t="str">
            <v>22.01.2018</v>
          </cell>
          <cell r="G69">
            <v>10051778</v>
          </cell>
          <cell r="H69" t="str">
            <v>PRO016</v>
          </cell>
        </row>
        <row r="70">
          <cell r="E70">
            <v>4867547</v>
          </cell>
          <cell r="F70" t="str">
            <v>22.01.2018</v>
          </cell>
          <cell r="G70">
            <v>10051396</v>
          </cell>
          <cell r="H70" t="str">
            <v>PRO016</v>
          </cell>
        </row>
        <row r="71">
          <cell r="E71">
            <v>4867563</v>
          </cell>
          <cell r="F71" t="str">
            <v>22.01.2018</v>
          </cell>
          <cell r="G71">
            <v>10049361</v>
          </cell>
          <cell r="H71" t="str">
            <v>PRO016</v>
          </cell>
        </row>
        <row r="72">
          <cell r="E72">
            <v>4867564</v>
          </cell>
          <cell r="F72" t="str">
            <v>22.01.2018</v>
          </cell>
          <cell r="G72">
            <v>10049361</v>
          </cell>
          <cell r="H72" t="str">
            <v>PRO016</v>
          </cell>
        </row>
        <row r="73">
          <cell r="E73">
            <v>4867564</v>
          </cell>
          <cell r="F73" t="str">
            <v>22.01.2018</v>
          </cell>
          <cell r="G73">
            <v>10049361</v>
          </cell>
          <cell r="H73" t="str">
            <v>PRO015</v>
          </cell>
        </row>
        <row r="74">
          <cell r="E74">
            <v>4867564</v>
          </cell>
          <cell r="F74" t="str">
            <v>22.01.2018</v>
          </cell>
          <cell r="G74">
            <v>10049361</v>
          </cell>
          <cell r="H74" t="str">
            <v>PRO011</v>
          </cell>
        </row>
        <row r="75">
          <cell r="E75">
            <v>4867574</v>
          </cell>
          <cell r="F75" t="str">
            <v>22.01.2018</v>
          </cell>
          <cell r="G75">
            <v>10051386</v>
          </cell>
          <cell r="H75" t="str">
            <v>PRO016</v>
          </cell>
        </row>
        <row r="76">
          <cell r="E76">
            <v>4867575</v>
          </cell>
          <cell r="F76" t="str">
            <v>22.01.2018</v>
          </cell>
          <cell r="G76">
            <v>10051386</v>
          </cell>
          <cell r="H76" t="str">
            <v>PRO016</v>
          </cell>
        </row>
        <row r="77">
          <cell r="E77">
            <v>4867582</v>
          </cell>
          <cell r="F77" t="str">
            <v>08.02.2018</v>
          </cell>
          <cell r="G77">
            <v>10049372</v>
          </cell>
          <cell r="H77" t="str">
            <v>PRO019</v>
          </cell>
        </row>
        <row r="78">
          <cell r="E78">
            <v>4867582</v>
          </cell>
          <cell r="F78" t="str">
            <v>08.02.2018</v>
          </cell>
          <cell r="G78">
            <v>10049372</v>
          </cell>
          <cell r="H78" t="str">
            <v>PRO011</v>
          </cell>
        </row>
        <row r="79">
          <cell r="E79">
            <v>4867590</v>
          </cell>
          <cell r="F79" t="str">
            <v>06.02.2018</v>
          </cell>
          <cell r="G79">
            <v>10049361</v>
          </cell>
          <cell r="H79" t="str">
            <v>PRO006</v>
          </cell>
        </row>
        <row r="80">
          <cell r="E80">
            <v>4867593</v>
          </cell>
          <cell r="F80" t="str">
            <v>22.01.2018</v>
          </cell>
          <cell r="G80">
            <v>10049361</v>
          </cell>
          <cell r="H80" t="str">
            <v>PRO016</v>
          </cell>
        </row>
        <row r="81">
          <cell r="E81">
            <v>4867608</v>
          </cell>
          <cell r="F81" t="str">
            <v>08.02.2018</v>
          </cell>
          <cell r="G81">
            <v>10049372</v>
          </cell>
          <cell r="H81" t="str">
            <v>PRO016</v>
          </cell>
        </row>
        <row r="82">
          <cell r="E82">
            <v>4867610</v>
          </cell>
          <cell r="F82" t="str">
            <v>06.02.2018</v>
          </cell>
          <cell r="G82">
            <v>10049361</v>
          </cell>
          <cell r="H82" t="str">
            <v>PRO006</v>
          </cell>
        </row>
        <row r="83">
          <cell r="E83">
            <v>4867610</v>
          </cell>
          <cell r="F83" t="str">
            <v>06.02.2018</v>
          </cell>
          <cell r="G83">
            <v>10049361</v>
          </cell>
          <cell r="H83" t="str">
            <v>PRO006</v>
          </cell>
        </row>
        <row r="84">
          <cell r="E84">
            <v>4867612</v>
          </cell>
          <cell r="F84" t="str">
            <v>06.02.2018</v>
          </cell>
          <cell r="G84">
            <v>10051386</v>
          </cell>
          <cell r="H84" t="str">
            <v>PRO006</v>
          </cell>
        </row>
        <row r="85">
          <cell r="E85">
            <v>4867618</v>
          </cell>
          <cell r="F85" t="str">
            <v>22.01.2018</v>
          </cell>
          <cell r="G85">
            <v>10049361</v>
          </cell>
          <cell r="H85" t="str">
            <v>PRO016</v>
          </cell>
        </row>
        <row r="86">
          <cell r="E86">
            <v>4867619</v>
          </cell>
          <cell r="F86" t="str">
            <v>19.02.2018</v>
          </cell>
          <cell r="G86">
            <v>10049361</v>
          </cell>
          <cell r="H86" t="str">
            <v>PRO019</v>
          </cell>
        </row>
        <row r="87">
          <cell r="E87">
            <v>4867619</v>
          </cell>
          <cell r="F87" t="str">
            <v>19.02.2018</v>
          </cell>
          <cell r="G87">
            <v>10049361</v>
          </cell>
          <cell r="H87" t="str">
            <v>PRO016</v>
          </cell>
        </row>
        <row r="88">
          <cell r="E88">
            <v>4867622</v>
          </cell>
          <cell r="F88" t="str">
            <v>22.01.2018</v>
          </cell>
          <cell r="G88">
            <v>10051386</v>
          </cell>
          <cell r="H88" t="str">
            <v>PRO016</v>
          </cell>
        </row>
        <row r="89">
          <cell r="E89">
            <v>4867626</v>
          </cell>
          <cell r="F89" t="str">
            <v>08.02.2018</v>
          </cell>
          <cell r="G89">
            <v>10051763</v>
          </cell>
          <cell r="H89" t="str">
            <v>PRO016</v>
          </cell>
        </row>
        <row r="90">
          <cell r="E90">
            <v>4867627</v>
          </cell>
          <cell r="F90" t="str">
            <v>08.02.2018</v>
          </cell>
          <cell r="G90">
            <v>10051778</v>
          </cell>
          <cell r="H90" t="str">
            <v>PRO016</v>
          </cell>
        </row>
        <row r="91">
          <cell r="E91">
            <v>4867643</v>
          </cell>
          <cell r="F91" t="str">
            <v>06.02.2018</v>
          </cell>
          <cell r="G91">
            <v>10051386</v>
          </cell>
          <cell r="H91" t="str">
            <v>PRO006</v>
          </cell>
        </row>
        <row r="92">
          <cell r="E92">
            <v>4867647</v>
          </cell>
          <cell r="F92" t="str">
            <v>18.01.2018</v>
          </cell>
          <cell r="G92">
            <v>10051443</v>
          </cell>
          <cell r="H92" t="str">
            <v>PRO006</v>
          </cell>
        </row>
        <row r="93">
          <cell r="E93">
            <v>4867651</v>
          </cell>
          <cell r="F93" t="str">
            <v>20.01.2018</v>
          </cell>
          <cell r="G93">
            <v>10051769</v>
          </cell>
          <cell r="H93" t="str">
            <v>PRO006</v>
          </cell>
        </row>
        <row r="94">
          <cell r="E94">
            <v>4867652</v>
          </cell>
          <cell r="F94" t="str">
            <v>22.01.2018</v>
          </cell>
          <cell r="G94">
            <v>10049361</v>
          </cell>
          <cell r="H94" t="str">
            <v>PRO016</v>
          </cell>
        </row>
        <row r="95">
          <cell r="E95">
            <v>4867653</v>
          </cell>
          <cell r="F95" t="str">
            <v>22.01.2018</v>
          </cell>
          <cell r="G95">
            <v>10051769</v>
          </cell>
          <cell r="H95" t="str">
            <v>PRO016</v>
          </cell>
        </row>
        <row r="96">
          <cell r="E96">
            <v>4867661</v>
          </cell>
          <cell r="F96" t="str">
            <v>08.02.2018</v>
          </cell>
          <cell r="G96">
            <v>10051443</v>
          </cell>
          <cell r="H96" t="str">
            <v>PRO016</v>
          </cell>
        </row>
        <row r="97">
          <cell r="E97">
            <v>4867662</v>
          </cell>
          <cell r="F97" t="str">
            <v>20.01.2018</v>
          </cell>
          <cell r="G97">
            <v>10049361</v>
          </cell>
          <cell r="H97" t="str">
            <v>PRO006</v>
          </cell>
        </row>
        <row r="98">
          <cell r="E98">
            <v>4867664</v>
          </cell>
          <cell r="F98" t="str">
            <v>08.02.2018</v>
          </cell>
          <cell r="G98">
            <v>10051778</v>
          </cell>
          <cell r="H98" t="str">
            <v>PRO016</v>
          </cell>
        </row>
        <row r="99">
          <cell r="E99">
            <v>4867665</v>
          </cell>
          <cell r="F99" t="str">
            <v>06.02.2018</v>
          </cell>
          <cell r="G99">
            <v>10051386</v>
          </cell>
          <cell r="H99" t="str">
            <v>PRO006</v>
          </cell>
        </row>
        <row r="100">
          <cell r="E100">
            <v>4867670</v>
          </cell>
          <cell r="F100" t="str">
            <v>15.01.2018</v>
          </cell>
          <cell r="G100">
            <v>10051778</v>
          </cell>
          <cell r="H100" t="str">
            <v>PRO016</v>
          </cell>
        </row>
        <row r="101">
          <cell r="E101">
            <v>4867673</v>
          </cell>
          <cell r="F101" t="str">
            <v>22.01.2018</v>
          </cell>
          <cell r="G101">
            <v>10051778</v>
          </cell>
          <cell r="H101" t="str">
            <v>PRO016</v>
          </cell>
        </row>
        <row r="102">
          <cell r="E102">
            <v>4867674</v>
          </cell>
          <cell r="F102" t="str">
            <v>13.02.2018</v>
          </cell>
          <cell r="G102">
            <v>10051778</v>
          </cell>
          <cell r="H102" t="str">
            <v>PRO006</v>
          </cell>
        </row>
        <row r="103">
          <cell r="E103">
            <v>4868884</v>
          </cell>
          <cell r="F103" t="str">
            <v>22.01.2018</v>
          </cell>
          <cell r="G103">
            <v>10051386</v>
          </cell>
          <cell r="H103" t="str">
            <v>PRO016</v>
          </cell>
        </row>
        <row r="104">
          <cell r="E104">
            <v>4868897</v>
          </cell>
          <cell r="F104" t="str">
            <v>08.02.2018</v>
          </cell>
          <cell r="G104">
            <v>10051386</v>
          </cell>
          <cell r="H104" t="str">
            <v>PRO016</v>
          </cell>
        </row>
        <row r="105">
          <cell r="E105">
            <v>4868906</v>
          </cell>
          <cell r="F105" t="str">
            <v>22.01.2018</v>
          </cell>
          <cell r="G105">
            <v>10049372</v>
          </cell>
          <cell r="H105" t="str">
            <v>PRO016</v>
          </cell>
        </row>
        <row r="106">
          <cell r="E106">
            <v>4868915</v>
          </cell>
          <cell r="F106" t="str">
            <v>08.02.2018</v>
          </cell>
          <cell r="G106">
            <v>10051386</v>
          </cell>
          <cell r="H106" t="str">
            <v>PRO016</v>
          </cell>
        </row>
        <row r="107">
          <cell r="E107">
            <v>4868935</v>
          </cell>
          <cell r="F107" t="str">
            <v>26.01.2018</v>
          </cell>
          <cell r="G107">
            <v>10051443</v>
          </cell>
          <cell r="H107" t="str">
            <v>PRO006</v>
          </cell>
        </row>
        <row r="108">
          <cell r="E108">
            <v>4868951</v>
          </cell>
          <cell r="F108" t="str">
            <v>26.01.2018</v>
          </cell>
          <cell r="G108">
            <v>10049372</v>
          </cell>
          <cell r="H108" t="str">
            <v>PRO006</v>
          </cell>
        </row>
        <row r="109">
          <cell r="E109">
            <v>4868954</v>
          </cell>
          <cell r="F109" t="str">
            <v>08.02.2018</v>
          </cell>
          <cell r="G109">
            <v>10051769</v>
          </cell>
          <cell r="H109" t="str">
            <v>PRO016</v>
          </cell>
        </row>
        <row r="110">
          <cell r="E110">
            <v>4868956</v>
          </cell>
          <cell r="F110" t="str">
            <v>26.01.2018</v>
          </cell>
          <cell r="G110">
            <v>10051396</v>
          </cell>
          <cell r="H110" t="str">
            <v>PRO010</v>
          </cell>
        </row>
        <row r="111">
          <cell r="E111">
            <v>4868965</v>
          </cell>
          <cell r="F111" t="str">
            <v>26.01.2018</v>
          </cell>
          <cell r="G111">
            <v>10051778</v>
          </cell>
          <cell r="H111" t="str">
            <v>PRO006</v>
          </cell>
        </row>
        <row r="112">
          <cell r="E112">
            <v>4869736</v>
          </cell>
          <cell r="F112" t="str">
            <v>08.02.2018</v>
          </cell>
          <cell r="G112">
            <v>10051443</v>
          </cell>
          <cell r="H112" t="str">
            <v>PRO016</v>
          </cell>
        </row>
        <row r="113">
          <cell r="E113">
            <v>4869744</v>
          </cell>
          <cell r="F113" t="str">
            <v>08.02.2018</v>
          </cell>
          <cell r="G113">
            <v>10049350</v>
          </cell>
          <cell r="H113" t="str">
            <v>PRO016</v>
          </cell>
        </row>
        <row r="114">
          <cell r="E114">
            <v>4869745</v>
          </cell>
          <cell r="F114" t="str">
            <v>08.02.2018</v>
          </cell>
          <cell r="G114">
            <v>10051396</v>
          </cell>
          <cell r="H114" t="str">
            <v>PRO016</v>
          </cell>
        </row>
        <row r="115">
          <cell r="E115">
            <v>4869746</v>
          </cell>
          <cell r="F115" t="str">
            <v>26.01.2018</v>
          </cell>
          <cell r="G115">
            <v>10049372</v>
          </cell>
          <cell r="H115" t="str">
            <v>PRO006</v>
          </cell>
        </row>
        <row r="116">
          <cell r="E116">
            <v>4869768</v>
          </cell>
          <cell r="F116" t="str">
            <v>08.02.2018</v>
          </cell>
          <cell r="G116">
            <v>10051769</v>
          </cell>
          <cell r="H116" t="str">
            <v>PRO016</v>
          </cell>
        </row>
        <row r="117">
          <cell r="E117">
            <v>4869789</v>
          </cell>
          <cell r="F117" t="str">
            <v>08.02.2018</v>
          </cell>
          <cell r="G117">
            <v>10049350</v>
          </cell>
          <cell r="H117" t="str">
            <v>PRO016</v>
          </cell>
        </row>
        <row r="118">
          <cell r="E118">
            <v>4869790</v>
          </cell>
          <cell r="F118" t="str">
            <v>08.02.2018</v>
          </cell>
          <cell r="G118">
            <v>10049372</v>
          </cell>
          <cell r="H118" t="str">
            <v>PRO016</v>
          </cell>
        </row>
        <row r="119">
          <cell r="E119">
            <v>4869826</v>
          </cell>
          <cell r="F119" t="str">
            <v>08.02.2018</v>
          </cell>
          <cell r="G119">
            <v>10049350</v>
          </cell>
          <cell r="H119" t="str">
            <v>PRO016</v>
          </cell>
        </row>
        <row r="120">
          <cell r="E120">
            <v>4869861</v>
          </cell>
          <cell r="F120" t="str">
            <v>08.02.2018</v>
          </cell>
          <cell r="G120">
            <v>10051396</v>
          </cell>
          <cell r="H120" t="str">
            <v>PRO016</v>
          </cell>
        </row>
        <row r="121">
          <cell r="E121">
            <v>4869889</v>
          </cell>
          <cell r="F121" t="str">
            <v>26.01.2018</v>
          </cell>
          <cell r="G121">
            <v>10051396</v>
          </cell>
          <cell r="H121" t="str">
            <v>PRO006</v>
          </cell>
        </row>
        <row r="122">
          <cell r="E122">
            <v>4869901</v>
          </cell>
          <cell r="F122" t="str">
            <v>15.03.2018</v>
          </cell>
          <cell r="G122">
            <v>10051769</v>
          </cell>
          <cell r="H122" t="str">
            <v>PRO016</v>
          </cell>
        </row>
        <row r="123">
          <cell r="E123">
            <v>4869901</v>
          </cell>
          <cell r="F123" t="str">
            <v>15.03.2018</v>
          </cell>
          <cell r="G123">
            <v>10051769</v>
          </cell>
          <cell r="H123" t="str">
            <v>PRO013</v>
          </cell>
        </row>
        <row r="124">
          <cell r="E124">
            <v>4869923</v>
          </cell>
          <cell r="F124" t="str">
            <v>08.02.2018</v>
          </cell>
          <cell r="G124">
            <v>10049372</v>
          </cell>
          <cell r="H124" t="str">
            <v>PRO016</v>
          </cell>
        </row>
        <row r="125">
          <cell r="E125">
            <v>4869955</v>
          </cell>
          <cell r="F125" t="str">
            <v>08.02.2018</v>
          </cell>
          <cell r="G125">
            <v>10049350</v>
          </cell>
          <cell r="H125" t="str">
            <v>PRO016</v>
          </cell>
        </row>
        <row r="126">
          <cell r="E126">
            <v>4869956</v>
          </cell>
          <cell r="F126" t="str">
            <v>08.02.2018</v>
          </cell>
          <cell r="G126">
            <v>10051396</v>
          </cell>
          <cell r="H126" t="str">
            <v>PRO016</v>
          </cell>
        </row>
        <row r="127">
          <cell r="E127">
            <v>4869964</v>
          </cell>
          <cell r="F127" t="str">
            <v>30.01.2018</v>
          </cell>
          <cell r="G127">
            <v>10049372</v>
          </cell>
          <cell r="H127" t="str">
            <v>PRO006</v>
          </cell>
        </row>
        <row r="128">
          <cell r="E128">
            <v>4869968</v>
          </cell>
          <cell r="F128" t="str">
            <v>22.01.2018</v>
          </cell>
          <cell r="G128">
            <v>10051778</v>
          </cell>
          <cell r="H128" t="str">
            <v>PRO016</v>
          </cell>
        </row>
        <row r="129">
          <cell r="E129">
            <v>4871013</v>
          </cell>
          <cell r="F129" t="str">
            <v>08.02.2018</v>
          </cell>
          <cell r="G129">
            <v>10049350</v>
          </cell>
          <cell r="H129" t="str">
            <v>PRO016</v>
          </cell>
        </row>
        <row r="130">
          <cell r="E130">
            <v>4871014</v>
          </cell>
          <cell r="F130" t="str">
            <v>08.02.2018</v>
          </cell>
          <cell r="G130">
            <v>10051386</v>
          </cell>
          <cell r="H130" t="str">
            <v>PRO016</v>
          </cell>
        </row>
        <row r="131">
          <cell r="E131">
            <v>4871019</v>
          </cell>
          <cell r="F131" t="str">
            <v>08.02.2018</v>
          </cell>
          <cell r="G131">
            <v>10051763</v>
          </cell>
          <cell r="H131" t="str">
            <v>PRO016</v>
          </cell>
        </row>
        <row r="132">
          <cell r="E132">
            <v>4871037</v>
          </cell>
          <cell r="F132" t="str">
            <v>08.02.2018</v>
          </cell>
          <cell r="G132">
            <v>10049372</v>
          </cell>
          <cell r="H132" t="str">
            <v>PRO016</v>
          </cell>
        </row>
        <row r="133">
          <cell r="E133">
            <v>4871049</v>
          </cell>
          <cell r="F133" t="str">
            <v>08.02.2018</v>
          </cell>
          <cell r="G133">
            <v>10049372</v>
          </cell>
          <cell r="H133" t="str">
            <v>PRO016</v>
          </cell>
        </row>
        <row r="134">
          <cell r="E134">
            <v>4871080</v>
          </cell>
          <cell r="F134" t="str">
            <v>08.02.2018</v>
          </cell>
          <cell r="G134">
            <v>10051778</v>
          </cell>
          <cell r="H134" t="str">
            <v>PRO016</v>
          </cell>
        </row>
        <row r="135">
          <cell r="E135">
            <v>4871805</v>
          </cell>
          <cell r="F135" t="str">
            <v>09.04.2018</v>
          </cell>
          <cell r="G135">
            <v>10051396</v>
          </cell>
          <cell r="H135" t="str">
            <v>PRO016</v>
          </cell>
        </row>
        <row r="136">
          <cell r="E136">
            <v>4871805</v>
          </cell>
          <cell r="F136" t="str">
            <v>09.04.2018</v>
          </cell>
          <cell r="G136">
            <v>10051396</v>
          </cell>
          <cell r="H136" t="str">
            <v>PRO014</v>
          </cell>
        </row>
        <row r="137">
          <cell r="E137">
            <v>4871805</v>
          </cell>
          <cell r="F137" t="str">
            <v>09.04.2018</v>
          </cell>
          <cell r="G137">
            <v>10051396</v>
          </cell>
          <cell r="H137" t="str">
            <v>PRO011</v>
          </cell>
        </row>
        <row r="138">
          <cell r="E138">
            <v>4871805</v>
          </cell>
          <cell r="F138" t="str">
            <v>09.04.2018</v>
          </cell>
          <cell r="G138">
            <v>10051396</v>
          </cell>
          <cell r="H138" t="str">
            <v>PRO010</v>
          </cell>
        </row>
        <row r="139">
          <cell r="E139">
            <v>4871806</v>
          </cell>
          <cell r="F139" t="str">
            <v>18.02.2018</v>
          </cell>
          <cell r="G139">
            <v>10049361</v>
          </cell>
          <cell r="H139" t="str">
            <v>PRO006</v>
          </cell>
        </row>
        <row r="140">
          <cell r="E140">
            <v>4871902</v>
          </cell>
          <cell r="F140" t="str">
            <v>30.01.2018</v>
          </cell>
          <cell r="G140">
            <v>10051769</v>
          </cell>
          <cell r="H140" t="str">
            <v>PRO006</v>
          </cell>
        </row>
        <row r="141">
          <cell r="E141">
            <v>4871903</v>
          </cell>
          <cell r="F141" t="str">
            <v>30.01.2018</v>
          </cell>
          <cell r="G141">
            <v>10051769</v>
          </cell>
          <cell r="H141" t="str">
            <v>PRO006</v>
          </cell>
        </row>
        <row r="142">
          <cell r="E142">
            <v>4871930</v>
          </cell>
          <cell r="F142" t="str">
            <v>06.02.2018</v>
          </cell>
          <cell r="G142">
            <v>10049361</v>
          </cell>
          <cell r="H142" t="str">
            <v>PRO006</v>
          </cell>
        </row>
        <row r="143">
          <cell r="E143">
            <v>4871944</v>
          </cell>
          <cell r="F143" t="str">
            <v>22.02.2018</v>
          </cell>
          <cell r="G143">
            <v>10049372</v>
          </cell>
          <cell r="H143" t="str">
            <v>PRO006</v>
          </cell>
        </row>
        <row r="144">
          <cell r="E144">
            <v>4871947</v>
          </cell>
          <cell r="F144" t="str">
            <v>08.02.2018</v>
          </cell>
          <cell r="G144">
            <v>10051778</v>
          </cell>
          <cell r="H144" t="str">
            <v>PRO016</v>
          </cell>
        </row>
        <row r="145">
          <cell r="E145">
            <v>4871953</v>
          </cell>
          <cell r="F145" t="str">
            <v>08.02.2018</v>
          </cell>
          <cell r="G145">
            <v>10051778</v>
          </cell>
          <cell r="H145" t="str">
            <v>PRO016</v>
          </cell>
        </row>
        <row r="146">
          <cell r="E146">
            <v>4872750</v>
          </cell>
          <cell r="F146" t="str">
            <v>08.02.2018</v>
          </cell>
          <cell r="G146">
            <v>10051386</v>
          </cell>
          <cell r="H146" t="str">
            <v>PRO016</v>
          </cell>
        </row>
        <row r="147">
          <cell r="E147">
            <v>4872750</v>
          </cell>
          <cell r="F147" t="str">
            <v>08.02.2018</v>
          </cell>
          <cell r="G147">
            <v>10051386</v>
          </cell>
          <cell r="H147" t="str">
            <v>PRO016</v>
          </cell>
        </row>
        <row r="148">
          <cell r="E148">
            <v>4872757</v>
          </cell>
          <cell r="F148" t="str">
            <v>22.02.2018</v>
          </cell>
          <cell r="G148">
            <v>10051778</v>
          </cell>
          <cell r="H148" t="str">
            <v>PRO006</v>
          </cell>
        </row>
        <row r="149">
          <cell r="E149">
            <v>4872762</v>
          </cell>
          <cell r="F149" t="str">
            <v>19.02.2018</v>
          </cell>
          <cell r="G149">
            <v>10051386</v>
          </cell>
          <cell r="H149" t="str">
            <v>PRO016</v>
          </cell>
        </row>
        <row r="150">
          <cell r="E150">
            <v>4872765</v>
          </cell>
          <cell r="F150" t="str">
            <v>08.02.2018</v>
          </cell>
          <cell r="G150">
            <v>10049372</v>
          </cell>
          <cell r="H150" t="str">
            <v>PRO016</v>
          </cell>
        </row>
        <row r="151">
          <cell r="E151">
            <v>4872767</v>
          </cell>
          <cell r="F151" t="str">
            <v>06.02.2018</v>
          </cell>
          <cell r="G151">
            <v>10051778</v>
          </cell>
          <cell r="H151" t="str">
            <v>PRO006</v>
          </cell>
        </row>
        <row r="152">
          <cell r="E152">
            <v>4872769</v>
          </cell>
          <cell r="F152" t="str">
            <v>19.02.2018</v>
          </cell>
          <cell r="G152">
            <v>10051386</v>
          </cell>
          <cell r="H152" t="str">
            <v>PRO016</v>
          </cell>
        </row>
        <row r="153">
          <cell r="E153">
            <v>4872774</v>
          </cell>
          <cell r="F153" t="str">
            <v>06.02.2018</v>
          </cell>
          <cell r="G153">
            <v>10051443</v>
          </cell>
          <cell r="H153" t="str">
            <v>PRO006</v>
          </cell>
        </row>
        <row r="154">
          <cell r="E154">
            <v>4872774</v>
          </cell>
          <cell r="F154" t="str">
            <v>06.02.2018</v>
          </cell>
          <cell r="G154">
            <v>10051443</v>
          </cell>
          <cell r="H154" t="str">
            <v>PRO006</v>
          </cell>
        </row>
        <row r="155">
          <cell r="E155">
            <v>4872776</v>
          </cell>
          <cell r="F155" t="str">
            <v>06.02.2018</v>
          </cell>
          <cell r="G155">
            <v>10051763</v>
          </cell>
          <cell r="H155" t="str">
            <v>PRO006</v>
          </cell>
        </row>
        <row r="156">
          <cell r="E156">
            <v>4872782</v>
          </cell>
          <cell r="F156" t="str">
            <v>10.02.2018</v>
          </cell>
          <cell r="G156">
            <v>10051763</v>
          </cell>
          <cell r="H156" t="str">
            <v>PRO006</v>
          </cell>
        </row>
        <row r="157">
          <cell r="E157">
            <v>4872790</v>
          </cell>
          <cell r="F157" t="str">
            <v>19.02.2018</v>
          </cell>
          <cell r="G157">
            <v>10051778</v>
          </cell>
          <cell r="H157" t="str">
            <v>PRO016</v>
          </cell>
        </row>
        <row r="158">
          <cell r="E158">
            <v>4872791</v>
          </cell>
          <cell r="F158" t="str">
            <v>10.02.2018</v>
          </cell>
          <cell r="G158">
            <v>10051778</v>
          </cell>
          <cell r="H158" t="str">
            <v>PRO006</v>
          </cell>
        </row>
        <row r="159">
          <cell r="E159">
            <v>4872792</v>
          </cell>
          <cell r="F159" t="str">
            <v>10.02.2018</v>
          </cell>
          <cell r="G159">
            <v>10051778</v>
          </cell>
          <cell r="H159" t="str">
            <v>PRO006</v>
          </cell>
        </row>
        <row r="160">
          <cell r="E160">
            <v>4873215</v>
          </cell>
          <cell r="F160" t="str">
            <v>19.02.2018</v>
          </cell>
          <cell r="G160">
            <v>10051443</v>
          </cell>
          <cell r="H160" t="str">
            <v>PRO013</v>
          </cell>
        </row>
        <row r="161">
          <cell r="E161">
            <v>4873216</v>
          </cell>
          <cell r="F161" t="str">
            <v>10.02.2018</v>
          </cell>
          <cell r="G161">
            <v>10049372</v>
          </cell>
          <cell r="H161" t="str">
            <v>PRO006</v>
          </cell>
        </row>
        <row r="162">
          <cell r="E162">
            <v>4873349</v>
          </cell>
          <cell r="F162" t="str">
            <v>19.02.2018</v>
          </cell>
          <cell r="G162">
            <v>10051769</v>
          </cell>
          <cell r="H162" t="str">
            <v>PRO016</v>
          </cell>
        </row>
        <row r="163">
          <cell r="E163">
            <v>4873363</v>
          </cell>
          <cell r="F163" t="str">
            <v>19.02.2018</v>
          </cell>
          <cell r="G163">
            <v>10049372</v>
          </cell>
          <cell r="H163" t="str">
            <v>PRO013</v>
          </cell>
        </row>
        <row r="164">
          <cell r="E164">
            <v>4873366</v>
          </cell>
          <cell r="F164" t="str">
            <v>10.02.2018</v>
          </cell>
          <cell r="G164">
            <v>10051443</v>
          </cell>
          <cell r="H164" t="str">
            <v>PRO006</v>
          </cell>
        </row>
        <row r="165">
          <cell r="E165">
            <v>4873374</v>
          </cell>
          <cell r="F165" t="str">
            <v>19.02.2018</v>
          </cell>
          <cell r="G165">
            <v>10049350</v>
          </cell>
          <cell r="H165" t="str">
            <v>PRO016</v>
          </cell>
        </row>
        <row r="166">
          <cell r="E166">
            <v>4873383</v>
          </cell>
          <cell r="F166" t="str">
            <v>19.02.2018</v>
          </cell>
          <cell r="G166">
            <v>10051396</v>
          </cell>
          <cell r="H166" t="str">
            <v>PRO013</v>
          </cell>
        </row>
        <row r="167">
          <cell r="E167">
            <v>4873385</v>
          </cell>
          <cell r="F167" t="str">
            <v>06.02.2018</v>
          </cell>
          <cell r="G167">
            <v>10051778</v>
          </cell>
          <cell r="H167" t="str">
            <v>PRO006</v>
          </cell>
        </row>
        <row r="168">
          <cell r="E168">
            <v>4873387</v>
          </cell>
          <cell r="F168" t="str">
            <v>19.02.2018</v>
          </cell>
          <cell r="G168">
            <v>10049350</v>
          </cell>
          <cell r="H168" t="str">
            <v>PRO016</v>
          </cell>
        </row>
        <row r="169">
          <cell r="E169">
            <v>4873388</v>
          </cell>
          <cell r="F169" t="str">
            <v>10.02.2018</v>
          </cell>
          <cell r="G169">
            <v>10051763</v>
          </cell>
          <cell r="H169" t="str">
            <v>PRO006</v>
          </cell>
        </row>
        <row r="170">
          <cell r="E170">
            <v>4873389</v>
          </cell>
          <cell r="F170" t="str">
            <v>10.02.2018</v>
          </cell>
          <cell r="G170">
            <v>10051778</v>
          </cell>
          <cell r="H170" t="str">
            <v>PRO006</v>
          </cell>
        </row>
        <row r="171">
          <cell r="E171">
            <v>4873390</v>
          </cell>
          <cell r="F171" t="str">
            <v>10.02.2018</v>
          </cell>
          <cell r="G171">
            <v>10049372</v>
          </cell>
          <cell r="H171" t="str">
            <v>PRO006</v>
          </cell>
        </row>
        <row r="172">
          <cell r="E172">
            <v>4873403</v>
          </cell>
          <cell r="F172" t="str">
            <v>19.02.2018</v>
          </cell>
          <cell r="G172">
            <v>10049372</v>
          </cell>
          <cell r="H172" t="str">
            <v>PRO013</v>
          </cell>
        </row>
        <row r="173">
          <cell r="E173">
            <v>4873410</v>
          </cell>
          <cell r="F173" t="str">
            <v>01.04.2018</v>
          </cell>
          <cell r="G173">
            <v>10051769</v>
          </cell>
          <cell r="H173" t="str">
            <v>PRO016</v>
          </cell>
        </row>
        <row r="174">
          <cell r="E174">
            <v>4873410</v>
          </cell>
          <cell r="F174" t="str">
            <v>01.04.2018</v>
          </cell>
          <cell r="G174">
            <v>10051769</v>
          </cell>
          <cell r="H174" t="str">
            <v>PRO013</v>
          </cell>
        </row>
        <row r="175">
          <cell r="E175">
            <v>4873429</v>
          </cell>
          <cell r="F175" t="str">
            <v>08.02.2018</v>
          </cell>
          <cell r="G175">
            <v>10051778</v>
          </cell>
          <cell r="H175" t="str">
            <v>PRO016</v>
          </cell>
        </row>
        <row r="176">
          <cell r="E176">
            <v>4875088</v>
          </cell>
          <cell r="F176" t="str">
            <v>19.02.2018</v>
          </cell>
          <cell r="G176">
            <v>10049350</v>
          </cell>
          <cell r="H176" t="str">
            <v>PRO016</v>
          </cell>
        </row>
        <row r="177">
          <cell r="E177">
            <v>4875089</v>
          </cell>
          <cell r="F177" t="str">
            <v>19.02.2018</v>
          </cell>
          <cell r="G177">
            <v>10051386</v>
          </cell>
          <cell r="H177" t="str">
            <v>PRO016</v>
          </cell>
        </row>
        <row r="178">
          <cell r="E178">
            <v>4875090</v>
          </cell>
          <cell r="F178" t="str">
            <v>19.02.2018</v>
          </cell>
          <cell r="G178">
            <v>10051763</v>
          </cell>
          <cell r="H178" t="str">
            <v>PRO016</v>
          </cell>
        </row>
        <row r="179">
          <cell r="E179">
            <v>4875091</v>
          </cell>
          <cell r="F179" t="str">
            <v>01.04.2018</v>
          </cell>
          <cell r="G179">
            <v>10049372</v>
          </cell>
          <cell r="H179" t="str">
            <v>PRO016</v>
          </cell>
        </row>
        <row r="180">
          <cell r="E180">
            <v>4875091</v>
          </cell>
          <cell r="F180" t="str">
            <v>01.04.2018</v>
          </cell>
          <cell r="G180">
            <v>10049372</v>
          </cell>
          <cell r="H180" t="str">
            <v>PRO013</v>
          </cell>
        </row>
        <row r="181">
          <cell r="E181">
            <v>4875095</v>
          </cell>
          <cell r="F181" t="str">
            <v>19.02.2018</v>
          </cell>
          <cell r="G181">
            <v>10049372</v>
          </cell>
          <cell r="H181" t="str">
            <v>PRO016</v>
          </cell>
        </row>
        <row r="182">
          <cell r="E182">
            <v>4875099</v>
          </cell>
          <cell r="F182" t="str">
            <v>19.02.2018</v>
          </cell>
          <cell r="G182">
            <v>10049372</v>
          </cell>
          <cell r="H182" t="str">
            <v>PRO016</v>
          </cell>
        </row>
        <row r="183">
          <cell r="E183">
            <v>4875166</v>
          </cell>
          <cell r="F183" t="str">
            <v>19.02.2018</v>
          </cell>
          <cell r="G183">
            <v>10051778</v>
          </cell>
          <cell r="H183" t="str">
            <v>PRO016</v>
          </cell>
        </row>
        <row r="184">
          <cell r="E184">
            <v>4875168</v>
          </cell>
          <cell r="F184" t="str">
            <v>06.03.2018</v>
          </cell>
          <cell r="G184">
            <v>10049372</v>
          </cell>
          <cell r="H184" t="str">
            <v>PRO006</v>
          </cell>
        </row>
        <row r="185">
          <cell r="E185">
            <v>4875181</v>
          </cell>
          <cell r="F185" t="str">
            <v>06.03.2018</v>
          </cell>
          <cell r="G185">
            <v>10051778</v>
          </cell>
          <cell r="H185" t="str">
            <v>PRO019</v>
          </cell>
        </row>
        <row r="186">
          <cell r="E186">
            <v>4875181</v>
          </cell>
          <cell r="F186" t="str">
            <v>06.03.2018</v>
          </cell>
          <cell r="G186">
            <v>10051778</v>
          </cell>
          <cell r="H186" t="str">
            <v>PRO016</v>
          </cell>
        </row>
        <row r="187">
          <cell r="E187">
            <v>4875598</v>
          </cell>
          <cell r="F187" t="str">
            <v>01.04.2018</v>
          </cell>
          <cell r="G187">
            <v>10051396</v>
          </cell>
          <cell r="H187" t="str">
            <v>PRO019</v>
          </cell>
        </row>
        <row r="188">
          <cell r="E188">
            <v>4875598</v>
          </cell>
          <cell r="F188" t="str">
            <v>01.04.2018</v>
          </cell>
          <cell r="G188">
            <v>10051396</v>
          </cell>
          <cell r="H188" t="str">
            <v>PRO016</v>
          </cell>
        </row>
        <row r="189">
          <cell r="E189">
            <v>4875599</v>
          </cell>
          <cell r="F189" t="str">
            <v>06.03.2018</v>
          </cell>
          <cell r="G189">
            <v>10051778</v>
          </cell>
          <cell r="H189" t="str">
            <v>PRO006</v>
          </cell>
        </row>
        <row r="190">
          <cell r="E190">
            <v>4875769</v>
          </cell>
          <cell r="F190" t="str">
            <v>18.02.2018</v>
          </cell>
          <cell r="G190">
            <v>10051769</v>
          </cell>
          <cell r="H190" t="str">
            <v>PRO006</v>
          </cell>
        </row>
        <row r="191">
          <cell r="E191">
            <v>4875770</v>
          </cell>
          <cell r="F191" t="str">
            <v>19.02.2018</v>
          </cell>
          <cell r="G191">
            <v>10051778</v>
          </cell>
          <cell r="H191" t="str">
            <v>PRO016</v>
          </cell>
        </row>
        <row r="192">
          <cell r="E192">
            <v>4875770</v>
          </cell>
          <cell r="F192" t="str">
            <v>06.03.2018</v>
          </cell>
          <cell r="G192">
            <v>10051778</v>
          </cell>
          <cell r="H192" t="str">
            <v>PRO016</v>
          </cell>
        </row>
        <row r="193">
          <cell r="E193">
            <v>4875795</v>
          </cell>
          <cell r="F193" t="str">
            <v>01.04.2018</v>
          </cell>
          <cell r="G193">
            <v>10051443</v>
          </cell>
          <cell r="H193" t="str">
            <v>PRO016</v>
          </cell>
        </row>
        <row r="194">
          <cell r="E194">
            <v>4875828</v>
          </cell>
          <cell r="F194" t="str">
            <v>22.02.2018</v>
          </cell>
          <cell r="G194">
            <v>10051769</v>
          </cell>
          <cell r="H194" t="str">
            <v>PRO006</v>
          </cell>
        </row>
        <row r="195">
          <cell r="E195">
            <v>4875828</v>
          </cell>
          <cell r="F195" t="str">
            <v>22.02.2018</v>
          </cell>
          <cell r="G195">
            <v>10051769</v>
          </cell>
          <cell r="H195" t="str">
            <v>PRO006</v>
          </cell>
        </row>
        <row r="196">
          <cell r="E196">
            <v>4875830</v>
          </cell>
          <cell r="F196" t="str">
            <v>19.02.2018</v>
          </cell>
          <cell r="G196">
            <v>10049361</v>
          </cell>
          <cell r="H196" t="str">
            <v>PRO016</v>
          </cell>
        </row>
        <row r="197">
          <cell r="E197">
            <v>4875830</v>
          </cell>
          <cell r="F197" t="str">
            <v>06.03.2018</v>
          </cell>
          <cell r="G197">
            <v>10049361</v>
          </cell>
          <cell r="H197" t="str">
            <v>PRO016</v>
          </cell>
        </row>
        <row r="198">
          <cell r="E198">
            <v>4875837</v>
          </cell>
          <cell r="F198" t="str">
            <v>22.02.2018</v>
          </cell>
          <cell r="G198">
            <v>10049361</v>
          </cell>
          <cell r="H198" t="str">
            <v>PRO006</v>
          </cell>
        </row>
        <row r="199">
          <cell r="E199">
            <v>4875843</v>
          </cell>
          <cell r="F199" t="str">
            <v>19.02.2018</v>
          </cell>
          <cell r="G199">
            <v>10051778</v>
          </cell>
          <cell r="H199" t="str">
            <v>PRO016</v>
          </cell>
        </row>
        <row r="200">
          <cell r="E200">
            <v>4875846</v>
          </cell>
          <cell r="F200" t="str">
            <v>19.02.2018</v>
          </cell>
          <cell r="G200">
            <v>10051778</v>
          </cell>
          <cell r="H200" t="str">
            <v>PRO016</v>
          </cell>
        </row>
        <row r="201">
          <cell r="E201">
            <v>4876821</v>
          </cell>
          <cell r="F201" t="str">
            <v>19.02.2018</v>
          </cell>
          <cell r="G201">
            <v>10051386</v>
          </cell>
          <cell r="H201" t="str">
            <v>PRO016</v>
          </cell>
        </row>
        <row r="202">
          <cell r="E202">
            <v>4876834</v>
          </cell>
          <cell r="F202" t="str">
            <v>06.03.2018</v>
          </cell>
          <cell r="G202">
            <v>10051396</v>
          </cell>
          <cell r="H202" t="str">
            <v>PRO016</v>
          </cell>
        </row>
        <row r="203">
          <cell r="E203">
            <v>4876835</v>
          </cell>
          <cell r="F203" t="str">
            <v>22.02.2018</v>
          </cell>
          <cell r="G203">
            <v>10049361</v>
          </cell>
          <cell r="H203" t="str">
            <v>PRO006</v>
          </cell>
        </row>
        <row r="204">
          <cell r="E204">
            <v>4876845</v>
          </cell>
          <cell r="F204" t="str">
            <v>06.03.2018</v>
          </cell>
          <cell r="G204">
            <v>10049361</v>
          </cell>
          <cell r="H204" t="str">
            <v>PRO016</v>
          </cell>
        </row>
        <row r="205">
          <cell r="E205">
            <v>4876846</v>
          </cell>
          <cell r="F205" t="str">
            <v>06.03.2018</v>
          </cell>
          <cell r="G205">
            <v>10049361</v>
          </cell>
          <cell r="H205" t="str">
            <v>PRO016</v>
          </cell>
        </row>
        <row r="206">
          <cell r="E206">
            <v>4876849</v>
          </cell>
          <cell r="F206" t="str">
            <v>06.03.2018</v>
          </cell>
          <cell r="G206">
            <v>10051386</v>
          </cell>
          <cell r="H206" t="str">
            <v>PRO016</v>
          </cell>
        </row>
        <row r="207">
          <cell r="E207">
            <v>4876850</v>
          </cell>
          <cell r="F207" t="str">
            <v>06.03.2018</v>
          </cell>
          <cell r="G207">
            <v>10051386</v>
          </cell>
          <cell r="H207" t="str">
            <v>PRO016</v>
          </cell>
        </row>
        <row r="208">
          <cell r="E208">
            <v>4876851</v>
          </cell>
          <cell r="F208" t="str">
            <v>06.03.2018</v>
          </cell>
          <cell r="G208">
            <v>10051386</v>
          </cell>
          <cell r="H208" t="str">
            <v>PRO016</v>
          </cell>
        </row>
        <row r="209">
          <cell r="E209">
            <v>4876855</v>
          </cell>
          <cell r="F209" t="str">
            <v>19.02.2018</v>
          </cell>
          <cell r="G209">
            <v>10049372</v>
          </cell>
          <cell r="H209" t="str">
            <v>PRO016</v>
          </cell>
        </row>
        <row r="210">
          <cell r="E210">
            <v>4876863</v>
          </cell>
          <cell r="F210" t="str">
            <v>06.03.2018</v>
          </cell>
          <cell r="G210">
            <v>10049361</v>
          </cell>
          <cell r="H210" t="str">
            <v>PRO016</v>
          </cell>
        </row>
        <row r="211">
          <cell r="E211">
            <v>4876864</v>
          </cell>
          <cell r="F211" t="str">
            <v>06.03.2018</v>
          </cell>
          <cell r="G211">
            <v>10051386</v>
          </cell>
          <cell r="H211" t="str">
            <v>PRO016</v>
          </cell>
        </row>
        <row r="212">
          <cell r="E212">
            <v>4876873</v>
          </cell>
          <cell r="F212" t="str">
            <v>22.02.2018</v>
          </cell>
          <cell r="G212">
            <v>10049350</v>
          </cell>
          <cell r="H212" t="str">
            <v>PRO006</v>
          </cell>
        </row>
        <row r="213">
          <cell r="E213">
            <v>4876888</v>
          </cell>
          <cell r="F213" t="str">
            <v>22.02.2018</v>
          </cell>
          <cell r="G213">
            <v>10051443</v>
          </cell>
          <cell r="H213" t="str">
            <v>PRO006</v>
          </cell>
        </row>
        <row r="214">
          <cell r="E214">
            <v>4876893</v>
          </cell>
          <cell r="F214" t="str">
            <v>06.03.2018</v>
          </cell>
          <cell r="G214">
            <v>10049361</v>
          </cell>
          <cell r="H214" t="str">
            <v>PRO016</v>
          </cell>
        </row>
        <row r="215">
          <cell r="E215">
            <v>4876896</v>
          </cell>
          <cell r="F215" t="str">
            <v>06.03.2018</v>
          </cell>
          <cell r="G215">
            <v>10051386</v>
          </cell>
          <cell r="H215" t="str">
            <v>PRO016</v>
          </cell>
        </row>
        <row r="216">
          <cell r="E216">
            <v>4876897</v>
          </cell>
          <cell r="F216" t="str">
            <v>22.02.2018</v>
          </cell>
          <cell r="G216">
            <v>10051778</v>
          </cell>
          <cell r="H216" t="str">
            <v>PRO006</v>
          </cell>
        </row>
        <row r="217">
          <cell r="E217">
            <v>4876909</v>
          </cell>
          <cell r="F217" t="str">
            <v>22.02.2018</v>
          </cell>
          <cell r="G217">
            <v>10049372</v>
          </cell>
          <cell r="H217" t="str">
            <v>PRO006</v>
          </cell>
        </row>
        <row r="218">
          <cell r="E218">
            <v>4876910</v>
          </cell>
          <cell r="F218" t="str">
            <v>22.02.2018</v>
          </cell>
          <cell r="G218">
            <v>10049372</v>
          </cell>
          <cell r="H218" t="str">
            <v>PRO002</v>
          </cell>
        </row>
        <row r="219">
          <cell r="E219">
            <v>4876929</v>
          </cell>
          <cell r="F219" t="str">
            <v>22.02.2018</v>
          </cell>
          <cell r="G219">
            <v>10051778</v>
          </cell>
          <cell r="H219" t="str">
            <v>PRO006</v>
          </cell>
        </row>
        <row r="220">
          <cell r="E220">
            <v>4877669</v>
          </cell>
          <cell r="F220" t="str">
            <v>06.03.2018</v>
          </cell>
          <cell r="G220">
            <v>10051443</v>
          </cell>
          <cell r="H220" t="str">
            <v>PRO013</v>
          </cell>
        </row>
        <row r="221">
          <cell r="E221">
            <v>4877673</v>
          </cell>
          <cell r="F221" t="str">
            <v>22.02.2018</v>
          </cell>
          <cell r="G221">
            <v>10049372</v>
          </cell>
          <cell r="H221" t="str">
            <v>PRO006</v>
          </cell>
        </row>
        <row r="222">
          <cell r="E222">
            <v>4877673</v>
          </cell>
          <cell r="F222" t="str">
            <v>24.02.2018</v>
          </cell>
          <cell r="G222">
            <v>10049372</v>
          </cell>
          <cell r="H222" t="str">
            <v>PRO006</v>
          </cell>
        </row>
        <row r="223">
          <cell r="E223">
            <v>4877681</v>
          </cell>
          <cell r="F223" t="str">
            <v>06.03.2018</v>
          </cell>
          <cell r="G223">
            <v>10051769</v>
          </cell>
          <cell r="H223" t="str">
            <v>PRO016</v>
          </cell>
        </row>
        <row r="224">
          <cell r="E224">
            <v>4877697</v>
          </cell>
          <cell r="F224" t="str">
            <v>06.03.2018</v>
          </cell>
          <cell r="G224">
            <v>10049372</v>
          </cell>
          <cell r="H224" t="str">
            <v>PRO013</v>
          </cell>
        </row>
        <row r="225">
          <cell r="E225">
            <v>4877703</v>
          </cell>
          <cell r="F225" t="str">
            <v>24.02.2018</v>
          </cell>
          <cell r="G225">
            <v>10051443</v>
          </cell>
          <cell r="H225" t="str">
            <v>PRO006</v>
          </cell>
        </row>
        <row r="226">
          <cell r="E226">
            <v>4877716</v>
          </cell>
          <cell r="F226" t="str">
            <v>06.03.2018</v>
          </cell>
          <cell r="G226">
            <v>10049350</v>
          </cell>
          <cell r="H226" t="str">
            <v>PRO016</v>
          </cell>
        </row>
        <row r="227">
          <cell r="E227">
            <v>4877738</v>
          </cell>
          <cell r="F227" t="str">
            <v>01.04.2018</v>
          </cell>
          <cell r="G227">
            <v>10051386</v>
          </cell>
          <cell r="H227" t="str">
            <v>PRO019</v>
          </cell>
        </row>
        <row r="228">
          <cell r="E228">
            <v>4877738</v>
          </cell>
          <cell r="F228" t="str">
            <v>01.04.2018</v>
          </cell>
          <cell r="G228">
            <v>10051386</v>
          </cell>
          <cell r="H228" t="str">
            <v>PRO014</v>
          </cell>
        </row>
        <row r="229">
          <cell r="E229">
            <v>4877739</v>
          </cell>
          <cell r="F229" t="str">
            <v>06.03.2018</v>
          </cell>
          <cell r="G229">
            <v>10051396</v>
          </cell>
          <cell r="H229" t="str">
            <v>PRO013</v>
          </cell>
        </row>
        <row r="230">
          <cell r="E230">
            <v>4877761</v>
          </cell>
          <cell r="F230" t="str">
            <v>27.02.2018</v>
          </cell>
          <cell r="G230">
            <v>10051396</v>
          </cell>
          <cell r="H230" t="str">
            <v>PRO006</v>
          </cell>
        </row>
        <row r="231">
          <cell r="E231">
            <v>4877792</v>
          </cell>
          <cell r="F231" t="str">
            <v>06.03.2018</v>
          </cell>
          <cell r="G231">
            <v>10049372</v>
          </cell>
          <cell r="H231" t="str">
            <v>PRO013</v>
          </cell>
        </row>
        <row r="232">
          <cell r="E232">
            <v>4877808</v>
          </cell>
          <cell r="F232" t="str">
            <v>01.04.2018</v>
          </cell>
          <cell r="G232">
            <v>10051396</v>
          </cell>
          <cell r="H232" t="str">
            <v>PRO016</v>
          </cell>
        </row>
        <row r="233">
          <cell r="E233">
            <v>4877809</v>
          </cell>
          <cell r="F233" t="str">
            <v>24.02.2018</v>
          </cell>
          <cell r="G233">
            <v>10051396</v>
          </cell>
          <cell r="H233" t="str">
            <v>PRO006</v>
          </cell>
        </row>
        <row r="234">
          <cell r="E234">
            <v>4877810</v>
          </cell>
          <cell r="F234" t="str">
            <v>01.04.2018</v>
          </cell>
          <cell r="G234">
            <v>10049372</v>
          </cell>
          <cell r="H234" t="str">
            <v>PRO016</v>
          </cell>
        </row>
        <row r="235">
          <cell r="E235">
            <v>4877810</v>
          </cell>
          <cell r="F235" t="str">
            <v>01.04.2018</v>
          </cell>
          <cell r="G235">
            <v>10049372</v>
          </cell>
          <cell r="H235" t="str">
            <v>PRO015</v>
          </cell>
        </row>
        <row r="236">
          <cell r="E236">
            <v>4877810</v>
          </cell>
          <cell r="F236" t="str">
            <v>01.04.2018</v>
          </cell>
          <cell r="G236">
            <v>10049372</v>
          </cell>
          <cell r="H236" t="str">
            <v>PRO013</v>
          </cell>
        </row>
        <row r="237">
          <cell r="E237">
            <v>4877819</v>
          </cell>
          <cell r="F237" t="str">
            <v>19.02.2018</v>
          </cell>
          <cell r="G237">
            <v>10051778</v>
          </cell>
          <cell r="H237" t="str">
            <v>PRO016</v>
          </cell>
        </row>
        <row r="238">
          <cell r="E238">
            <v>4878976</v>
          </cell>
          <cell r="F238" t="str">
            <v>06.03.2018</v>
          </cell>
          <cell r="G238">
            <v>10049350</v>
          </cell>
          <cell r="H238" t="str">
            <v>PRO016</v>
          </cell>
        </row>
        <row r="239">
          <cell r="E239">
            <v>4878977</v>
          </cell>
          <cell r="F239" t="str">
            <v>24.02.2018</v>
          </cell>
          <cell r="G239">
            <v>10049350</v>
          </cell>
          <cell r="H239" t="str">
            <v>PRO006</v>
          </cell>
        </row>
        <row r="240">
          <cell r="E240">
            <v>4878979</v>
          </cell>
          <cell r="F240" t="str">
            <v>06.03.2018</v>
          </cell>
          <cell r="G240">
            <v>10051386</v>
          </cell>
          <cell r="H240" t="str">
            <v>PRO016</v>
          </cell>
        </row>
        <row r="241">
          <cell r="E241">
            <v>4878981</v>
          </cell>
          <cell r="F241" t="str">
            <v>06.03.2018</v>
          </cell>
          <cell r="G241">
            <v>10051763</v>
          </cell>
          <cell r="H241" t="str">
            <v>PRO016</v>
          </cell>
        </row>
        <row r="242">
          <cell r="E242">
            <v>4879000</v>
          </cell>
          <cell r="F242" t="str">
            <v>06.03.2018</v>
          </cell>
          <cell r="G242">
            <v>10049372</v>
          </cell>
          <cell r="H242" t="str">
            <v>PRO001</v>
          </cell>
        </row>
        <row r="243">
          <cell r="E243">
            <v>4879011</v>
          </cell>
          <cell r="F243" t="str">
            <v>06.03.2018</v>
          </cell>
          <cell r="G243">
            <v>10049372</v>
          </cell>
          <cell r="H243" t="str">
            <v>PRO016</v>
          </cell>
        </row>
        <row r="244">
          <cell r="E244">
            <v>4879051</v>
          </cell>
          <cell r="F244" t="str">
            <v>06.03.2018</v>
          </cell>
          <cell r="G244">
            <v>10051778</v>
          </cell>
          <cell r="H244" t="str">
            <v>PRO016</v>
          </cell>
        </row>
        <row r="245">
          <cell r="E245">
            <v>4879056</v>
          </cell>
          <cell r="F245" t="str">
            <v>01.03.2018</v>
          </cell>
          <cell r="G245">
            <v>10049372</v>
          </cell>
          <cell r="H245" t="str">
            <v>PRO006</v>
          </cell>
        </row>
        <row r="246">
          <cell r="E246">
            <v>4879884</v>
          </cell>
          <cell r="F246" t="str">
            <v>06.03.2018</v>
          </cell>
          <cell r="G246">
            <v>10051778</v>
          </cell>
          <cell r="H246" t="str">
            <v>PRO016</v>
          </cell>
        </row>
        <row r="247">
          <cell r="E247">
            <v>4879889</v>
          </cell>
          <cell r="F247" t="str">
            <v>06.03.2018</v>
          </cell>
          <cell r="G247">
            <v>10051778</v>
          </cell>
          <cell r="H247" t="str">
            <v>PRO016</v>
          </cell>
        </row>
        <row r="248">
          <cell r="E248">
            <v>4880872</v>
          </cell>
          <cell r="F248" t="str">
            <v>10.03.2018</v>
          </cell>
          <cell r="G248">
            <v>10049350</v>
          </cell>
          <cell r="H248" t="str">
            <v>PRO006</v>
          </cell>
        </row>
        <row r="249">
          <cell r="E249">
            <v>4880873</v>
          </cell>
          <cell r="F249" t="str">
            <v>06.03.2018</v>
          </cell>
          <cell r="G249">
            <v>10051386</v>
          </cell>
          <cell r="H249" t="str">
            <v>PRO016</v>
          </cell>
        </row>
        <row r="250">
          <cell r="E250">
            <v>4880892</v>
          </cell>
          <cell r="F250" t="str">
            <v>10.03.2018</v>
          </cell>
          <cell r="G250">
            <v>10049350</v>
          </cell>
          <cell r="H250" t="str">
            <v>PRO006</v>
          </cell>
        </row>
        <row r="251">
          <cell r="E251">
            <v>4880920</v>
          </cell>
          <cell r="F251" t="str">
            <v>15.03.2018</v>
          </cell>
          <cell r="G251">
            <v>10051386</v>
          </cell>
          <cell r="H251" t="str">
            <v>PRO013</v>
          </cell>
        </row>
        <row r="252">
          <cell r="E252">
            <v>4880924</v>
          </cell>
          <cell r="F252" t="str">
            <v>06.03.2018</v>
          </cell>
          <cell r="G252">
            <v>10049372</v>
          </cell>
          <cell r="H252" t="str">
            <v>PRO016</v>
          </cell>
        </row>
        <row r="253">
          <cell r="E253">
            <v>4880945</v>
          </cell>
          <cell r="F253" t="str">
            <v>15.03.2018</v>
          </cell>
          <cell r="G253">
            <v>10051386</v>
          </cell>
          <cell r="H253" t="str">
            <v>PRO016</v>
          </cell>
        </row>
        <row r="254">
          <cell r="E254">
            <v>4880972</v>
          </cell>
          <cell r="F254" t="str">
            <v>06.03.2018</v>
          </cell>
          <cell r="G254">
            <v>10051443</v>
          </cell>
          <cell r="H254" t="str">
            <v>PRO006</v>
          </cell>
        </row>
        <row r="255">
          <cell r="E255">
            <v>4881017</v>
          </cell>
          <cell r="F255" t="str">
            <v>25.03.2018</v>
          </cell>
          <cell r="G255">
            <v>10049372</v>
          </cell>
          <cell r="H255" t="str">
            <v>PRO006</v>
          </cell>
        </row>
        <row r="256">
          <cell r="E256">
            <v>4881571</v>
          </cell>
          <cell r="F256" t="str">
            <v>15.03.2018</v>
          </cell>
          <cell r="G256">
            <v>10051443</v>
          </cell>
          <cell r="H256" t="str">
            <v>PRO013</v>
          </cell>
        </row>
        <row r="257">
          <cell r="E257">
            <v>4881573</v>
          </cell>
          <cell r="F257" t="str">
            <v>15.03.2018</v>
          </cell>
          <cell r="G257">
            <v>10049350</v>
          </cell>
          <cell r="H257" t="str">
            <v>PRO016</v>
          </cell>
        </row>
        <row r="258">
          <cell r="E258">
            <v>4881574</v>
          </cell>
          <cell r="F258" t="str">
            <v>15.03.2018</v>
          </cell>
          <cell r="G258">
            <v>10051396</v>
          </cell>
          <cell r="H258" t="str">
            <v>PRO016</v>
          </cell>
        </row>
        <row r="259">
          <cell r="E259">
            <v>4881575</v>
          </cell>
          <cell r="F259" t="str">
            <v>10.03.2018</v>
          </cell>
          <cell r="G259">
            <v>10049372</v>
          </cell>
          <cell r="H259" t="str">
            <v>PRO006</v>
          </cell>
        </row>
        <row r="260">
          <cell r="E260">
            <v>4881576</v>
          </cell>
          <cell r="F260" t="str">
            <v>10.03.2018</v>
          </cell>
          <cell r="G260">
            <v>10049372</v>
          </cell>
          <cell r="H260" t="str">
            <v>PRO006</v>
          </cell>
        </row>
        <row r="261">
          <cell r="E261">
            <v>4881577</v>
          </cell>
          <cell r="F261" t="str">
            <v>10.03.2018</v>
          </cell>
          <cell r="G261">
            <v>10049372</v>
          </cell>
          <cell r="H261" t="str">
            <v>PRO006</v>
          </cell>
        </row>
        <row r="262">
          <cell r="E262">
            <v>4881747</v>
          </cell>
          <cell r="F262" t="str">
            <v>15.03.2018</v>
          </cell>
          <cell r="G262">
            <v>10051769</v>
          </cell>
          <cell r="H262" t="str">
            <v>PRO016</v>
          </cell>
        </row>
        <row r="263">
          <cell r="E263">
            <v>4881748</v>
          </cell>
          <cell r="F263" t="str">
            <v>15.03.2018</v>
          </cell>
          <cell r="G263">
            <v>10049350</v>
          </cell>
          <cell r="H263" t="str">
            <v>PRO016</v>
          </cell>
        </row>
        <row r="264">
          <cell r="E264">
            <v>4881749</v>
          </cell>
          <cell r="F264" t="str">
            <v>01.04.2018</v>
          </cell>
          <cell r="G264">
            <v>10051396</v>
          </cell>
          <cell r="H264" t="str">
            <v>PRO016</v>
          </cell>
        </row>
        <row r="265">
          <cell r="E265">
            <v>4881750</v>
          </cell>
          <cell r="F265" t="str">
            <v>15.03.2018</v>
          </cell>
          <cell r="G265">
            <v>10049372</v>
          </cell>
          <cell r="H265" t="str">
            <v>PRO013</v>
          </cell>
        </row>
        <row r="266">
          <cell r="E266">
            <v>4881766</v>
          </cell>
          <cell r="F266" t="str">
            <v>17.03.2018</v>
          </cell>
          <cell r="G266">
            <v>10051443</v>
          </cell>
          <cell r="H266" t="str">
            <v>PRO006</v>
          </cell>
        </row>
        <row r="267">
          <cell r="E267">
            <v>4881771</v>
          </cell>
          <cell r="F267" t="str">
            <v>09.04.2018</v>
          </cell>
          <cell r="G267">
            <v>10049361</v>
          </cell>
          <cell r="H267" t="str">
            <v>PRO016</v>
          </cell>
        </row>
        <row r="268">
          <cell r="E268">
            <v>4881773</v>
          </cell>
          <cell r="F268" t="str">
            <v>01.04.2018</v>
          </cell>
          <cell r="G268">
            <v>10049350</v>
          </cell>
          <cell r="H268" t="str">
            <v>PRO016</v>
          </cell>
        </row>
        <row r="269">
          <cell r="E269">
            <v>4881776</v>
          </cell>
          <cell r="F269" t="str">
            <v>15.03.2018</v>
          </cell>
          <cell r="G269">
            <v>10049372</v>
          </cell>
          <cell r="H269" t="str">
            <v>PRO016</v>
          </cell>
        </row>
        <row r="270">
          <cell r="E270">
            <v>4881776</v>
          </cell>
          <cell r="F270" t="str">
            <v>15.03.2018</v>
          </cell>
          <cell r="G270">
            <v>10049372</v>
          </cell>
          <cell r="H270" t="str">
            <v>PRO014</v>
          </cell>
        </row>
        <row r="271">
          <cell r="E271">
            <v>4881783</v>
          </cell>
          <cell r="F271" t="str">
            <v>15.03.2018</v>
          </cell>
          <cell r="G271">
            <v>10051396</v>
          </cell>
          <cell r="H271" t="str">
            <v>PRO013</v>
          </cell>
        </row>
        <row r="272">
          <cell r="E272">
            <v>4881787</v>
          </cell>
          <cell r="F272" t="str">
            <v>15.03.2018</v>
          </cell>
          <cell r="G272">
            <v>10049372</v>
          </cell>
          <cell r="H272" t="str">
            <v>PRO013</v>
          </cell>
        </row>
        <row r="273">
          <cell r="E273">
            <v>4881788</v>
          </cell>
          <cell r="F273" t="str">
            <v>17.03.2018</v>
          </cell>
          <cell r="G273">
            <v>10051763</v>
          </cell>
          <cell r="H273" t="str">
            <v>PRO006</v>
          </cell>
        </row>
        <row r="274">
          <cell r="E274">
            <v>4881789</v>
          </cell>
          <cell r="F274" t="str">
            <v>17.03.2018</v>
          </cell>
          <cell r="G274">
            <v>10049372</v>
          </cell>
          <cell r="H274" t="str">
            <v>PRO006</v>
          </cell>
        </row>
        <row r="275">
          <cell r="E275">
            <v>4881790</v>
          </cell>
          <cell r="F275" t="str">
            <v>17.03.2018</v>
          </cell>
          <cell r="G275">
            <v>10049372</v>
          </cell>
          <cell r="H275" t="str">
            <v>PRO006</v>
          </cell>
        </row>
        <row r="276">
          <cell r="E276">
            <v>4881813</v>
          </cell>
          <cell r="F276" t="str">
            <v>15.03.2018</v>
          </cell>
          <cell r="G276">
            <v>10051763</v>
          </cell>
          <cell r="H276" t="str">
            <v>PRO013</v>
          </cell>
        </row>
        <row r="277">
          <cell r="E277">
            <v>4881814</v>
          </cell>
          <cell r="F277" t="str">
            <v>15.03.2018</v>
          </cell>
          <cell r="G277">
            <v>10051778</v>
          </cell>
          <cell r="H277" t="str">
            <v>PRO016</v>
          </cell>
        </row>
        <row r="278">
          <cell r="E278">
            <v>4881820</v>
          </cell>
          <cell r="F278" t="str">
            <v>15.03.2018</v>
          </cell>
          <cell r="G278">
            <v>10049372</v>
          </cell>
          <cell r="H278" t="str">
            <v>PRO013</v>
          </cell>
        </row>
        <row r="279">
          <cell r="E279">
            <v>4881831</v>
          </cell>
          <cell r="F279" t="str">
            <v>15.03.2018</v>
          </cell>
          <cell r="G279">
            <v>10051769</v>
          </cell>
          <cell r="H279" t="str">
            <v>PRO016</v>
          </cell>
        </row>
        <row r="280">
          <cell r="E280">
            <v>4881841</v>
          </cell>
          <cell r="F280" t="str">
            <v>15.03.2018</v>
          </cell>
          <cell r="G280">
            <v>10049350</v>
          </cell>
          <cell r="H280" t="str">
            <v>PRO016</v>
          </cell>
        </row>
        <row r="281">
          <cell r="E281">
            <v>4881842</v>
          </cell>
          <cell r="F281" t="str">
            <v>15.03.2018</v>
          </cell>
          <cell r="G281">
            <v>10051396</v>
          </cell>
          <cell r="H281" t="str">
            <v>PRO016</v>
          </cell>
        </row>
        <row r="282">
          <cell r="E282">
            <v>4881843</v>
          </cell>
          <cell r="F282" t="str">
            <v>15.03.2018</v>
          </cell>
          <cell r="G282">
            <v>10051443</v>
          </cell>
          <cell r="H282" t="str">
            <v>PRO016</v>
          </cell>
        </row>
        <row r="283">
          <cell r="E283">
            <v>4881845</v>
          </cell>
          <cell r="F283" t="str">
            <v>15.03.2018</v>
          </cell>
          <cell r="G283">
            <v>10051778</v>
          </cell>
          <cell r="H283" t="str">
            <v>PRO016</v>
          </cell>
        </row>
        <row r="284">
          <cell r="E284">
            <v>4881846</v>
          </cell>
          <cell r="F284" t="str">
            <v>09.04.2018</v>
          </cell>
          <cell r="G284">
            <v>10051396</v>
          </cell>
          <cell r="H284" t="str">
            <v>PRO016</v>
          </cell>
        </row>
        <row r="285">
          <cell r="E285">
            <v>4881846</v>
          </cell>
          <cell r="F285" t="str">
            <v>09.04.2018</v>
          </cell>
          <cell r="G285">
            <v>10051396</v>
          </cell>
          <cell r="H285" t="str">
            <v>PRO011</v>
          </cell>
        </row>
        <row r="286">
          <cell r="E286">
            <v>4881846</v>
          </cell>
          <cell r="F286" t="str">
            <v>09.04.2018</v>
          </cell>
          <cell r="G286">
            <v>10051396</v>
          </cell>
          <cell r="H286" t="str">
            <v>PRO010</v>
          </cell>
        </row>
        <row r="287">
          <cell r="E287">
            <v>4881856</v>
          </cell>
          <cell r="F287" t="str">
            <v>10.03.2018</v>
          </cell>
          <cell r="G287">
            <v>10051778</v>
          </cell>
          <cell r="H287" t="str">
            <v>PRO006</v>
          </cell>
        </row>
        <row r="288">
          <cell r="E288">
            <v>4881857</v>
          </cell>
          <cell r="F288" t="str">
            <v>06.03.2018</v>
          </cell>
          <cell r="G288">
            <v>10051778</v>
          </cell>
          <cell r="H288" t="str">
            <v>PRO016</v>
          </cell>
        </row>
        <row r="289">
          <cell r="E289">
            <v>4881864</v>
          </cell>
          <cell r="F289" t="str">
            <v>25.03.2018</v>
          </cell>
          <cell r="G289">
            <v>10051778</v>
          </cell>
          <cell r="H289" t="str">
            <v>PRO008</v>
          </cell>
        </row>
        <row r="290">
          <cell r="E290">
            <v>4881865</v>
          </cell>
          <cell r="F290" t="str">
            <v>10.03.2018</v>
          </cell>
          <cell r="G290">
            <v>10051778</v>
          </cell>
          <cell r="H290" t="str">
            <v>PRO006</v>
          </cell>
        </row>
        <row r="291">
          <cell r="E291">
            <v>4882604</v>
          </cell>
          <cell r="F291" t="str">
            <v>01.04.2018</v>
          </cell>
          <cell r="G291">
            <v>10049350</v>
          </cell>
          <cell r="H291" t="str">
            <v>PRO016</v>
          </cell>
        </row>
        <row r="292">
          <cell r="E292">
            <v>4882607</v>
          </cell>
          <cell r="F292" t="str">
            <v>15.03.2018</v>
          </cell>
          <cell r="G292">
            <v>10051386</v>
          </cell>
          <cell r="H292" t="str">
            <v>PRO016</v>
          </cell>
        </row>
        <row r="293">
          <cell r="E293">
            <v>4882610</v>
          </cell>
          <cell r="F293" t="str">
            <v>01.04.2018</v>
          </cell>
          <cell r="G293">
            <v>10051763</v>
          </cell>
          <cell r="H293" t="str">
            <v>PRO016</v>
          </cell>
        </row>
        <row r="294">
          <cell r="E294">
            <v>4882620</v>
          </cell>
          <cell r="F294" t="str">
            <v>15.03.2018</v>
          </cell>
          <cell r="G294">
            <v>10049372</v>
          </cell>
          <cell r="H294" t="str">
            <v>PRO016</v>
          </cell>
        </row>
        <row r="295">
          <cell r="E295">
            <v>4882623</v>
          </cell>
          <cell r="F295" t="str">
            <v>01.04.2018</v>
          </cell>
          <cell r="G295">
            <v>10049372</v>
          </cell>
          <cell r="H295" t="str">
            <v>PRO016</v>
          </cell>
        </row>
        <row r="296">
          <cell r="E296">
            <v>4882624</v>
          </cell>
          <cell r="F296" t="str">
            <v>01.04.2018</v>
          </cell>
          <cell r="G296">
            <v>10049350</v>
          </cell>
          <cell r="H296" t="str">
            <v>PRO016</v>
          </cell>
        </row>
        <row r="297">
          <cell r="E297">
            <v>4882625</v>
          </cell>
          <cell r="F297" t="str">
            <v>03.04.2018</v>
          </cell>
          <cell r="G297">
            <v>10049361</v>
          </cell>
          <cell r="H297" t="str">
            <v>PRO006</v>
          </cell>
        </row>
        <row r="298">
          <cell r="E298">
            <v>4883209</v>
          </cell>
          <cell r="F298" t="str">
            <v>25.03.2018</v>
          </cell>
          <cell r="G298">
            <v>10049361</v>
          </cell>
          <cell r="H298" t="str">
            <v>PRO006</v>
          </cell>
        </row>
        <row r="299">
          <cell r="E299">
            <v>4882635</v>
          </cell>
          <cell r="F299" t="str">
            <v>01.04.2018</v>
          </cell>
          <cell r="G299">
            <v>10051778</v>
          </cell>
          <cell r="H299" t="str">
            <v>PRO016</v>
          </cell>
        </row>
        <row r="300">
          <cell r="E300">
            <v>4883304</v>
          </cell>
          <cell r="F300" t="str">
            <v>17.03.2018</v>
          </cell>
          <cell r="G300">
            <v>10051396</v>
          </cell>
          <cell r="H300" t="str">
            <v>PRO006</v>
          </cell>
        </row>
        <row r="301">
          <cell r="E301">
            <v>4883319</v>
          </cell>
          <cell r="F301" t="str">
            <v>06.04.2018</v>
          </cell>
          <cell r="G301">
            <v>10049372</v>
          </cell>
          <cell r="H301" t="str">
            <v>PRO014</v>
          </cell>
        </row>
        <row r="302">
          <cell r="E302">
            <v>4883319</v>
          </cell>
          <cell r="F302" t="str">
            <v>06.04.2018</v>
          </cell>
          <cell r="G302">
            <v>10049372</v>
          </cell>
          <cell r="H302" t="str">
            <v>PRO006</v>
          </cell>
        </row>
        <row r="303">
          <cell r="E303">
            <v>4883325</v>
          </cell>
          <cell r="F303" t="str">
            <v>17.03.2018</v>
          </cell>
          <cell r="G303">
            <v>10051769</v>
          </cell>
          <cell r="H303" t="str">
            <v>PRO006</v>
          </cell>
        </row>
        <row r="304">
          <cell r="E304">
            <v>4883326</v>
          </cell>
          <cell r="F304" t="str">
            <v>17.03.2018</v>
          </cell>
          <cell r="G304">
            <v>10051386</v>
          </cell>
          <cell r="H304" t="str">
            <v>PRO006</v>
          </cell>
        </row>
        <row r="305">
          <cell r="E305">
            <v>4883327</v>
          </cell>
          <cell r="F305" t="str">
            <v>25.03.2018</v>
          </cell>
          <cell r="G305">
            <v>10051396</v>
          </cell>
          <cell r="H305" t="str">
            <v>PRO006</v>
          </cell>
        </row>
        <row r="306">
          <cell r="E306">
            <v>4883337</v>
          </cell>
          <cell r="F306" t="str">
            <v>25.03.2018</v>
          </cell>
          <cell r="G306">
            <v>10051386</v>
          </cell>
          <cell r="H306" t="str">
            <v>PRO006</v>
          </cell>
        </row>
        <row r="307">
          <cell r="E307">
            <v>4883338</v>
          </cell>
          <cell r="F307" t="str">
            <v>17.03.2018</v>
          </cell>
          <cell r="G307">
            <v>10049350</v>
          </cell>
          <cell r="H307" t="str">
            <v>PRO006</v>
          </cell>
        </row>
        <row r="308">
          <cell r="E308">
            <v>4883339</v>
          </cell>
          <cell r="F308" t="str">
            <v>25.03.2018</v>
          </cell>
          <cell r="G308">
            <v>10049372</v>
          </cell>
          <cell r="H308" t="str">
            <v>PRO006</v>
          </cell>
        </row>
        <row r="309">
          <cell r="E309">
            <v>4883347</v>
          </cell>
          <cell r="F309" t="str">
            <v>15.03.2018</v>
          </cell>
          <cell r="G309">
            <v>10051778</v>
          </cell>
          <cell r="H309" t="str">
            <v>PRO016</v>
          </cell>
        </row>
        <row r="310">
          <cell r="E310">
            <v>4883352</v>
          </cell>
          <cell r="F310" t="str">
            <v>01.04.2018</v>
          </cell>
          <cell r="G310">
            <v>10051778</v>
          </cell>
          <cell r="H310" t="str">
            <v>PRO016</v>
          </cell>
        </row>
        <row r="311">
          <cell r="E311">
            <v>4884226</v>
          </cell>
          <cell r="F311" t="str">
            <v>01.04.2018</v>
          </cell>
          <cell r="G311">
            <v>10051386</v>
          </cell>
          <cell r="H311" t="str">
            <v>PRO016</v>
          </cell>
        </row>
        <row r="312">
          <cell r="E312">
            <v>4884229</v>
          </cell>
          <cell r="F312" t="str">
            <v>01.04.2018</v>
          </cell>
          <cell r="G312">
            <v>10051778</v>
          </cell>
          <cell r="H312" t="str">
            <v>PRO016</v>
          </cell>
        </row>
        <row r="313">
          <cell r="E313">
            <v>4884237</v>
          </cell>
          <cell r="F313" t="str">
            <v>01.04.2018</v>
          </cell>
          <cell r="G313">
            <v>10051386</v>
          </cell>
          <cell r="H313" t="str">
            <v>PRO016</v>
          </cell>
        </row>
        <row r="314">
          <cell r="E314">
            <v>4884239</v>
          </cell>
          <cell r="F314" t="str">
            <v>01.04.2018</v>
          </cell>
          <cell r="G314">
            <v>10049372</v>
          </cell>
          <cell r="H314" t="str">
            <v>PRO016</v>
          </cell>
        </row>
        <row r="315">
          <cell r="E315">
            <v>4884264</v>
          </cell>
          <cell r="F315" t="str">
            <v>01.04.2018</v>
          </cell>
          <cell r="G315">
            <v>10051386</v>
          </cell>
          <cell r="H315" t="str">
            <v>PRO016</v>
          </cell>
        </row>
        <row r="316">
          <cell r="E316">
            <v>4884270</v>
          </cell>
          <cell r="F316" t="str">
            <v>25.03.2018</v>
          </cell>
          <cell r="G316">
            <v>10051443</v>
          </cell>
          <cell r="H316" t="str">
            <v>PRO006</v>
          </cell>
        </row>
        <row r="317">
          <cell r="E317">
            <v>4884270</v>
          </cell>
          <cell r="F317" t="str">
            <v>25.03.2018</v>
          </cell>
          <cell r="G317">
            <v>10051443</v>
          </cell>
          <cell r="H317" t="str">
            <v>PRO006</v>
          </cell>
        </row>
        <row r="318">
          <cell r="E318">
            <v>4884278</v>
          </cell>
          <cell r="F318" t="str">
            <v>17.03.2018</v>
          </cell>
          <cell r="G318">
            <v>10051443</v>
          </cell>
          <cell r="H318" t="str">
            <v>PRO006</v>
          </cell>
        </row>
        <row r="319">
          <cell r="E319">
            <v>4884282</v>
          </cell>
          <cell r="F319" t="str">
            <v>25.03.2018</v>
          </cell>
          <cell r="G319">
            <v>10051769</v>
          </cell>
          <cell r="H319" t="str">
            <v>PRO006</v>
          </cell>
        </row>
        <row r="320">
          <cell r="E320">
            <v>4884283</v>
          </cell>
          <cell r="F320" t="str">
            <v>01.04.2018</v>
          </cell>
          <cell r="G320">
            <v>10049361</v>
          </cell>
          <cell r="H320" t="str">
            <v>PRO016</v>
          </cell>
        </row>
        <row r="321">
          <cell r="E321">
            <v>4884287</v>
          </cell>
          <cell r="F321" t="str">
            <v>25.03.2018</v>
          </cell>
          <cell r="G321">
            <v>10049361</v>
          </cell>
          <cell r="H321" t="str">
            <v>PRO006</v>
          </cell>
        </row>
        <row r="322">
          <cell r="E322">
            <v>4884292</v>
          </cell>
          <cell r="F322" t="str">
            <v>01.04.2018</v>
          </cell>
          <cell r="G322">
            <v>10051778</v>
          </cell>
          <cell r="H322" t="str">
            <v>PRO016</v>
          </cell>
        </row>
        <row r="323">
          <cell r="E323">
            <v>4884854</v>
          </cell>
          <cell r="F323" t="str">
            <v>01.04.2018</v>
          </cell>
          <cell r="G323">
            <v>10051443</v>
          </cell>
          <cell r="H323" t="str">
            <v>PRO013</v>
          </cell>
        </row>
        <row r="324">
          <cell r="E324">
            <v>4884856</v>
          </cell>
          <cell r="F324" t="str">
            <v>25.03.2018</v>
          </cell>
          <cell r="G324">
            <v>10049372</v>
          </cell>
          <cell r="H324" t="str">
            <v>PRO006</v>
          </cell>
        </row>
        <row r="325">
          <cell r="E325">
            <v>4884904</v>
          </cell>
          <cell r="F325" t="str">
            <v>01.04.2018</v>
          </cell>
          <cell r="G325">
            <v>10049372</v>
          </cell>
          <cell r="H325" t="str">
            <v>PRO013</v>
          </cell>
        </row>
        <row r="326">
          <cell r="E326">
            <v>4884912</v>
          </cell>
          <cell r="F326" t="str">
            <v>09.04.2018</v>
          </cell>
          <cell r="G326">
            <v>10049350</v>
          </cell>
          <cell r="H326" t="str">
            <v>PRO016</v>
          </cell>
        </row>
        <row r="327">
          <cell r="E327">
            <v>4884918</v>
          </cell>
          <cell r="F327" t="str">
            <v>01.04.2018</v>
          </cell>
          <cell r="G327">
            <v>10051396</v>
          </cell>
          <cell r="H327" t="str">
            <v>PRO013</v>
          </cell>
        </row>
        <row r="328">
          <cell r="E328">
            <v>4884925</v>
          </cell>
          <cell r="F328" t="str">
            <v>01.04.2018</v>
          </cell>
          <cell r="G328">
            <v>10049372</v>
          </cell>
          <cell r="H328" t="str">
            <v>PRO013</v>
          </cell>
        </row>
        <row r="329">
          <cell r="E329">
            <v>4884926</v>
          </cell>
          <cell r="F329" t="str">
            <v>25.03.2018</v>
          </cell>
          <cell r="G329">
            <v>10049372</v>
          </cell>
          <cell r="H329" t="str">
            <v>PRO006</v>
          </cell>
        </row>
        <row r="330">
          <cell r="E330">
            <v>4884930</v>
          </cell>
          <cell r="F330" t="str">
            <v>03.04.2018</v>
          </cell>
          <cell r="G330">
            <v>10051396</v>
          </cell>
          <cell r="H330" t="str">
            <v>PRO014</v>
          </cell>
        </row>
        <row r="331">
          <cell r="E331">
            <v>4884942</v>
          </cell>
          <cell r="F331" t="str">
            <v>03.04.2018</v>
          </cell>
          <cell r="G331">
            <v>10049372</v>
          </cell>
          <cell r="H331" t="str">
            <v>PRO006</v>
          </cell>
        </row>
        <row r="332">
          <cell r="E332">
            <v>4884946</v>
          </cell>
          <cell r="F332" t="str">
            <v>01.04.2018</v>
          </cell>
          <cell r="G332">
            <v>10051778</v>
          </cell>
          <cell r="H332" t="str">
            <v>PRO016</v>
          </cell>
        </row>
        <row r="333">
          <cell r="E333">
            <v>4884952</v>
          </cell>
          <cell r="F333" t="str">
            <v>25.03.2018</v>
          </cell>
          <cell r="G333">
            <v>10051778</v>
          </cell>
          <cell r="H333" t="str">
            <v>PRO006</v>
          </cell>
        </row>
        <row r="334">
          <cell r="E334">
            <v>4885796</v>
          </cell>
          <cell r="F334" t="str">
            <v>09.04.2018</v>
          </cell>
          <cell r="G334">
            <v>10049350</v>
          </cell>
          <cell r="H334" t="str">
            <v>PRO016</v>
          </cell>
        </row>
        <row r="335">
          <cell r="E335">
            <v>4885797</v>
          </cell>
          <cell r="F335" t="str">
            <v>01.04.2018</v>
          </cell>
          <cell r="G335">
            <v>10051386</v>
          </cell>
          <cell r="H335" t="str">
            <v>PRO016</v>
          </cell>
        </row>
        <row r="336">
          <cell r="E336">
            <v>4885883</v>
          </cell>
          <cell r="F336" t="str">
            <v>09.04.2018</v>
          </cell>
          <cell r="G336">
            <v>10051763</v>
          </cell>
          <cell r="H336" t="str">
            <v>PRO016</v>
          </cell>
        </row>
        <row r="337">
          <cell r="E337">
            <v>4885905</v>
          </cell>
          <cell r="F337" t="str">
            <v>01.04.2018</v>
          </cell>
          <cell r="G337">
            <v>10049372</v>
          </cell>
          <cell r="H337" t="str">
            <v>PRO016</v>
          </cell>
        </row>
        <row r="338">
          <cell r="E338">
            <v>4885912</v>
          </cell>
          <cell r="F338" t="str">
            <v>09.04.2018</v>
          </cell>
          <cell r="G338">
            <v>10049372</v>
          </cell>
          <cell r="H338" t="str">
            <v>PRO016</v>
          </cell>
        </row>
        <row r="339">
          <cell r="E339">
            <v>4885914</v>
          </cell>
          <cell r="F339" t="str">
            <v>03.04.2018</v>
          </cell>
          <cell r="G339">
            <v>10049361</v>
          </cell>
          <cell r="H339" t="str">
            <v>PRO006</v>
          </cell>
        </row>
        <row r="340">
          <cell r="E340">
            <v>4885914</v>
          </cell>
          <cell r="F340" t="str">
            <v>03.04.2018</v>
          </cell>
          <cell r="G340">
            <v>10049361</v>
          </cell>
          <cell r="H340" t="str">
            <v>PRO006</v>
          </cell>
        </row>
        <row r="341">
          <cell r="E341">
            <v>4885915</v>
          </cell>
          <cell r="F341" t="str">
            <v>03.04.2018</v>
          </cell>
          <cell r="G341">
            <v>10051396</v>
          </cell>
          <cell r="H341" t="str">
            <v>PRO006</v>
          </cell>
        </row>
        <row r="342">
          <cell r="E342">
            <v>4885930</v>
          </cell>
          <cell r="F342" t="str">
            <v>09.04.2018</v>
          </cell>
          <cell r="G342">
            <v>10051778</v>
          </cell>
          <cell r="H342" t="str">
            <v>PRO016</v>
          </cell>
        </row>
        <row r="343">
          <cell r="E343">
            <v>4885941</v>
          </cell>
          <cell r="F343" t="str">
            <v>16.05.2018</v>
          </cell>
          <cell r="G343">
            <v>10049350</v>
          </cell>
          <cell r="H343" t="str">
            <v>PRO019</v>
          </cell>
        </row>
        <row r="344">
          <cell r="E344">
            <v>4885941</v>
          </cell>
          <cell r="F344" t="str">
            <v>16.05.2018</v>
          </cell>
          <cell r="G344">
            <v>10049350</v>
          </cell>
          <cell r="H344" t="str">
            <v>PRO016</v>
          </cell>
        </row>
        <row r="345">
          <cell r="E345">
            <v>4885941</v>
          </cell>
          <cell r="F345" t="str">
            <v>16.05.2018</v>
          </cell>
          <cell r="G345">
            <v>10049350</v>
          </cell>
          <cell r="H345" t="str">
            <v>PRO009</v>
          </cell>
        </row>
        <row r="346">
          <cell r="E346">
            <v>4886680</v>
          </cell>
          <cell r="F346" t="str">
            <v>03.04.2018</v>
          </cell>
          <cell r="G346">
            <v>10049372</v>
          </cell>
          <cell r="H346" t="str">
            <v>PRO006</v>
          </cell>
        </row>
        <row r="347">
          <cell r="E347">
            <v>4886680</v>
          </cell>
          <cell r="F347" t="str">
            <v>03.04.2018</v>
          </cell>
          <cell r="G347">
            <v>10049372</v>
          </cell>
          <cell r="H347" t="str">
            <v>PRO006</v>
          </cell>
        </row>
        <row r="348">
          <cell r="E348">
            <v>4886683</v>
          </cell>
          <cell r="F348" t="str">
            <v>01.04.2018</v>
          </cell>
          <cell r="G348">
            <v>10051778</v>
          </cell>
          <cell r="H348" t="str">
            <v>PRO016</v>
          </cell>
        </row>
        <row r="349">
          <cell r="E349">
            <v>4886693</v>
          </cell>
          <cell r="F349" t="str">
            <v>09.04.2018</v>
          </cell>
          <cell r="G349">
            <v>10051778</v>
          </cell>
          <cell r="H349" t="str">
            <v>PRO016</v>
          </cell>
        </row>
        <row r="350">
          <cell r="E350">
            <v>4887687</v>
          </cell>
          <cell r="F350" t="str">
            <v>20.04.2018</v>
          </cell>
          <cell r="G350">
            <v>10049361</v>
          </cell>
          <cell r="H350" t="str">
            <v>PRO006</v>
          </cell>
        </row>
        <row r="351">
          <cell r="E351">
            <v>4887689</v>
          </cell>
          <cell r="F351" t="str">
            <v>09.04.2018</v>
          </cell>
          <cell r="G351">
            <v>10051386</v>
          </cell>
          <cell r="H351" t="str">
            <v>PRO016</v>
          </cell>
        </row>
        <row r="352">
          <cell r="E352">
            <v>4887696</v>
          </cell>
          <cell r="F352" t="str">
            <v>03.04.2018</v>
          </cell>
          <cell r="G352">
            <v>10051769</v>
          </cell>
          <cell r="H352" t="str">
            <v>PRO006</v>
          </cell>
        </row>
        <row r="353">
          <cell r="E353">
            <v>4887697</v>
          </cell>
          <cell r="F353" t="str">
            <v>06.04.2018</v>
          </cell>
          <cell r="G353">
            <v>10051769</v>
          </cell>
          <cell r="H353" t="str">
            <v>PRO006</v>
          </cell>
        </row>
        <row r="354">
          <cell r="E354">
            <v>4887698</v>
          </cell>
          <cell r="F354" t="str">
            <v>09.04.2018</v>
          </cell>
          <cell r="G354">
            <v>10051769</v>
          </cell>
          <cell r="H354" t="str">
            <v>PRO016</v>
          </cell>
        </row>
        <row r="355">
          <cell r="E355">
            <v>4887700</v>
          </cell>
          <cell r="F355" t="str">
            <v>09.04.2018</v>
          </cell>
          <cell r="G355">
            <v>10051396</v>
          </cell>
          <cell r="H355" t="str">
            <v>PRO016</v>
          </cell>
        </row>
        <row r="356">
          <cell r="E356">
            <v>4887706</v>
          </cell>
          <cell r="F356" t="str">
            <v>09.04.2018</v>
          </cell>
          <cell r="G356">
            <v>10049361</v>
          </cell>
          <cell r="H356" t="str">
            <v>PRO016</v>
          </cell>
        </row>
        <row r="357">
          <cell r="E357">
            <v>4887707</v>
          </cell>
          <cell r="F357" t="str">
            <v>09.04.2018</v>
          </cell>
          <cell r="G357">
            <v>10049361</v>
          </cell>
          <cell r="H357" t="str">
            <v>PRO019</v>
          </cell>
        </row>
        <row r="358">
          <cell r="E358">
            <v>4887707</v>
          </cell>
          <cell r="F358" t="str">
            <v>09.04.2018</v>
          </cell>
          <cell r="G358">
            <v>10049361</v>
          </cell>
          <cell r="H358" t="str">
            <v>PRO016</v>
          </cell>
        </row>
        <row r="359">
          <cell r="E359">
            <v>4887707</v>
          </cell>
          <cell r="F359" t="str">
            <v>09.04.2018</v>
          </cell>
          <cell r="G359">
            <v>10049361</v>
          </cell>
          <cell r="H359" t="str">
            <v>PRO013</v>
          </cell>
        </row>
        <row r="360">
          <cell r="E360">
            <v>4887709</v>
          </cell>
          <cell r="F360" t="str">
            <v>09.04.2018</v>
          </cell>
          <cell r="G360">
            <v>10051386</v>
          </cell>
          <cell r="H360" t="str">
            <v>PRO016</v>
          </cell>
        </row>
        <row r="361">
          <cell r="E361">
            <v>4887710</v>
          </cell>
          <cell r="F361" t="str">
            <v>09.04.2018</v>
          </cell>
          <cell r="G361">
            <v>10051386</v>
          </cell>
          <cell r="H361" t="str">
            <v>PRO016</v>
          </cell>
        </row>
        <row r="362">
          <cell r="E362">
            <v>4887711</v>
          </cell>
          <cell r="F362" t="str">
            <v>09.04.2018</v>
          </cell>
          <cell r="G362">
            <v>10051386</v>
          </cell>
          <cell r="H362" t="str">
            <v>PRO016</v>
          </cell>
        </row>
        <row r="363">
          <cell r="E363">
            <v>4887713</v>
          </cell>
          <cell r="F363" t="str">
            <v>09.04.2018</v>
          </cell>
          <cell r="G363">
            <v>10049372</v>
          </cell>
          <cell r="H363" t="str">
            <v>PRO016</v>
          </cell>
        </row>
        <row r="364">
          <cell r="E364">
            <v>4887720</v>
          </cell>
          <cell r="F364" t="str">
            <v>09.04.2018</v>
          </cell>
          <cell r="G364">
            <v>10049361</v>
          </cell>
          <cell r="H364" t="str">
            <v>PRO016</v>
          </cell>
        </row>
        <row r="365">
          <cell r="E365">
            <v>4887721</v>
          </cell>
          <cell r="F365" t="str">
            <v>09.04.2018</v>
          </cell>
          <cell r="G365">
            <v>10051386</v>
          </cell>
          <cell r="H365" t="str">
            <v>PRO016</v>
          </cell>
        </row>
        <row r="366">
          <cell r="E366">
            <v>4887729</v>
          </cell>
          <cell r="F366" t="str">
            <v>06.04.2018</v>
          </cell>
          <cell r="G366">
            <v>10051443</v>
          </cell>
          <cell r="H366" t="str">
            <v>PRO006</v>
          </cell>
        </row>
        <row r="367">
          <cell r="E367">
            <v>4887731</v>
          </cell>
          <cell r="F367" t="str">
            <v>09.04.2018</v>
          </cell>
          <cell r="G367">
            <v>10049361</v>
          </cell>
          <cell r="H367" t="str">
            <v>PRO016</v>
          </cell>
        </row>
        <row r="368">
          <cell r="E368">
            <v>4887736</v>
          </cell>
          <cell r="F368" t="str">
            <v>09.04.2018</v>
          </cell>
          <cell r="G368">
            <v>10051386</v>
          </cell>
          <cell r="H368" t="str">
            <v>PRO016</v>
          </cell>
        </row>
        <row r="369">
          <cell r="E369">
            <v>4887752</v>
          </cell>
          <cell r="F369" t="str">
            <v>09.04.2018</v>
          </cell>
          <cell r="G369">
            <v>10051769</v>
          </cell>
          <cell r="H369" t="str">
            <v>PRO016</v>
          </cell>
        </row>
        <row r="370">
          <cell r="E370">
            <v>4888637</v>
          </cell>
          <cell r="F370" t="str">
            <v>09.04.2018</v>
          </cell>
          <cell r="G370">
            <v>10051443</v>
          </cell>
          <cell r="H370" t="str">
            <v>PRO013</v>
          </cell>
        </row>
        <row r="371">
          <cell r="E371">
            <v>4888682</v>
          </cell>
          <cell r="F371" t="str">
            <v>20.04.2018</v>
          </cell>
          <cell r="G371">
            <v>10049350</v>
          </cell>
          <cell r="H371" t="str">
            <v>PRO016</v>
          </cell>
        </row>
        <row r="372">
          <cell r="E372">
            <v>4888683</v>
          </cell>
          <cell r="F372" t="str">
            <v>20.04.2018</v>
          </cell>
          <cell r="G372">
            <v>10051396</v>
          </cell>
          <cell r="H372" t="str">
            <v>PRO016</v>
          </cell>
        </row>
        <row r="373">
          <cell r="E373">
            <v>4888684</v>
          </cell>
          <cell r="F373" t="str">
            <v>06.04.2018</v>
          </cell>
          <cell r="G373">
            <v>10049372</v>
          </cell>
          <cell r="H373" t="str">
            <v>PRO006</v>
          </cell>
        </row>
        <row r="374">
          <cell r="E374">
            <v>4888703</v>
          </cell>
          <cell r="F374" t="str">
            <v>20.04.2018</v>
          </cell>
          <cell r="G374">
            <v>10051778</v>
          </cell>
          <cell r="H374" t="str">
            <v>PRO006</v>
          </cell>
        </row>
        <row r="375">
          <cell r="E375">
            <v>4888704</v>
          </cell>
          <cell r="F375" t="str">
            <v>09.04.2018</v>
          </cell>
          <cell r="G375">
            <v>10051769</v>
          </cell>
          <cell r="H375" t="str">
            <v>PRO013</v>
          </cell>
        </row>
        <row r="376">
          <cell r="E376">
            <v>4888709</v>
          </cell>
          <cell r="F376" t="str">
            <v>20.04.2018</v>
          </cell>
          <cell r="G376">
            <v>10049350</v>
          </cell>
          <cell r="H376" t="str">
            <v>PRO016</v>
          </cell>
        </row>
        <row r="377">
          <cell r="E377">
            <v>4888710</v>
          </cell>
          <cell r="F377" t="str">
            <v>09.04.2018</v>
          </cell>
          <cell r="G377">
            <v>10049372</v>
          </cell>
          <cell r="H377" t="str">
            <v>PRO013</v>
          </cell>
        </row>
        <row r="378">
          <cell r="E378">
            <v>4888735</v>
          </cell>
          <cell r="F378" t="str">
            <v>09.04.2018</v>
          </cell>
          <cell r="G378">
            <v>10049350</v>
          </cell>
          <cell r="H378" t="str">
            <v>PRO016</v>
          </cell>
        </row>
        <row r="379">
          <cell r="E379">
            <v>4888738</v>
          </cell>
          <cell r="F379" t="str">
            <v>20.04.2018</v>
          </cell>
          <cell r="G379">
            <v>10049372</v>
          </cell>
          <cell r="H379" t="str">
            <v>PRO016</v>
          </cell>
        </row>
        <row r="380">
          <cell r="E380">
            <v>4888738</v>
          </cell>
          <cell r="F380" t="str">
            <v>20.04.2018</v>
          </cell>
          <cell r="G380">
            <v>10049372</v>
          </cell>
          <cell r="H380" t="str">
            <v>PRO010</v>
          </cell>
        </row>
        <row r="381">
          <cell r="E381">
            <v>4888749</v>
          </cell>
          <cell r="F381" t="str">
            <v>06.04.2018</v>
          </cell>
          <cell r="G381">
            <v>10051778</v>
          </cell>
          <cell r="H381" t="str">
            <v>PRO006</v>
          </cell>
        </row>
        <row r="382">
          <cell r="E382">
            <v>4888758</v>
          </cell>
          <cell r="F382" t="str">
            <v>09.04.2018</v>
          </cell>
          <cell r="G382">
            <v>10051396</v>
          </cell>
          <cell r="H382" t="str">
            <v>PRO013</v>
          </cell>
        </row>
        <row r="383">
          <cell r="E383">
            <v>4888765</v>
          </cell>
          <cell r="F383" t="str">
            <v>20.04.2018</v>
          </cell>
          <cell r="G383">
            <v>10049372</v>
          </cell>
          <cell r="H383" t="str">
            <v>PRO013</v>
          </cell>
        </row>
        <row r="384">
          <cell r="E384">
            <v>4888785</v>
          </cell>
          <cell r="F384" t="str">
            <v>13.05.2018</v>
          </cell>
          <cell r="G384">
            <v>10051443</v>
          </cell>
          <cell r="H384" t="str">
            <v>PRO016</v>
          </cell>
        </row>
        <row r="385">
          <cell r="E385">
            <v>4888786</v>
          </cell>
          <cell r="F385" t="str">
            <v>06.04.2018</v>
          </cell>
          <cell r="G385">
            <v>10051763</v>
          </cell>
          <cell r="H385" t="str">
            <v>PRO006</v>
          </cell>
        </row>
        <row r="386">
          <cell r="E386">
            <v>4888787</v>
          </cell>
          <cell r="F386" t="str">
            <v>20.04.2018</v>
          </cell>
          <cell r="G386">
            <v>10051763</v>
          </cell>
          <cell r="H386" t="str">
            <v>PRO013</v>
          </cell>
        </row>
        <row r="387">
          <cell r="E387">
            <v>4888788</v>
          </cell>
          <cell r="F387" t="str">
            <v>20.04.2018</v>
          </cell>
          <cell r="G387">
            <v>10051778</v>
          </cell>
          <cell r="H387" t="str">
            <v>PRO016</v>
          </cell>
        </row>
        <row r="388">
          <cell r="E388">
            <v>4888795</v>
          </cell>
          <cell r="F388" t="str">
            <v>09.04.2018</v>
          </cell>
          <cell r="G388">
            <v>10049372</v>
          </cell>
          <cell r="H388" t="str">
            <v>PRO013</v>
          </cell>
        </row>
        <row r="389">
          <cell r="E389">
            <v>4888797</v>
          </cell>
          <cell r="F389" t="str">
            <v>20.04.2018</v>
          </cell>
          <cell r="G389">
            <v>10051769</v>
          </cell>
          <cell r="H389" t="str">
            <v>PRO016</v>
          </cell>
        </row>
        <row r="390">
          <cell r="E390">
            <v>4888818</v>
          </cell>
          <cell r="F390" t="str">
            <v>20.04.2018</v>
          </cell>
          <cell r="G390">
            <v>10049350</v>
          </cell>
          <cell r="H390" t="str">
            <v>PRO016</v>
          </cell>
        </row>
        <row r="391">
          <cell r="E391">
            <v>4888819</v>
          </cell>
          <cell r="F391" t="str">
            <v>20.04.2018</v>
          </cell>
          <cell r="G391">
            <v>10051396</v>
          </cell>
          <cell r="H391" t="str">
            <v>PRO016</v>
          </cell>
        </row>
        <row r="392">
          <cell r="E392">
            <v>4888820</v>
          </cell>
          <cell r="F392" t="str">
            <v>20.04.2018</v>
          </cell>
          <cell r="G392">
            <v>10051443</v>
          </cell>
          <cell r="H392" t="str">
            <v>PRO013</v>
          </cell>
        </row>
        <row r="393">
          <cell r="E393">
            <v>4888821</v>
          </cell>
          <cell r="F393" t="str">
            <v>20.04.2018</v>
          </cell>
          <cell r="G393">
            <v>10051763</v>
          </cell>
          <cell r="H393" t="str">
            <v>PRO006</v>
          </cell>
        </row>
        <row r="394">
          <cell r="E394">
            <v>4888823</v>
          </cell>
          <cell r="F394" t="str">
            <v>20.04.2018</v>
          </cell>
          <cell r="G394">
            <v>10051778</v>
          </cell>
          <cell r="H394" t="str">
            <v>PRO016</v>
          </cell>
        </row>
        <row r="395">
          <cell r="E395">
            <v>4888825</v>
          </cell>
          <cell r="F395" t="str">
            <v>28.04.2018</v>
          </cell>
          <cell r="G395">
            <v>10049372</v>
          </cell>
          <cell r="H395" t="str">
            <v>PRO006</v>
          </cell>
        </row>
        <row r="396">
          <cell r="E396">
            <v>4888840</v>
          </cell>
          <cell r="F396" t="str">
            <v>20.04.2018</v>
          </cell>
          <cell r="G396">
            <v>10051778</v>
          </cell>
          <cell r="H396" t="str">
            <v>PRO006</v>
          </cell>
        </row>
        <row r="397">
          <cell r="E397">
            <v>4888841</v>
          </cell>
          <cell r="F397" t="str">
            <v>09.04.2018</v>
          </cell>
          <cell r="G397">
            <v>10051778</v>
          </cell>
          <cell r="H397" t="str">
            <v>PRO016</v>
          </cell>
        </row>
        <row r="398">
          <cell r="E398">
            <v>4888843</v>
          </cell>
          <cell r="F398" t="str">
            <v>20.04.2018</v>
          </cell>
          <cell r="G398">
            <v>10051778</v>
          </cell>
          <cell r="H398" t="str">
            <v>PRO006</v>
          </cell>
        </row>
        <row r="399">
          <cell r="E399">
            <v>4891929</v>
          </cell>
          <cell r="F399" t="str">
            <v>20.04.2018</v>
          </cell>
          <cell r="G399">
            <v>10049350</v>
          </cell>
          <cell r="H399" t="str">
            <v>PRO016</v>
          </cell>
        </row>
        <row r="400">
          <cell r="E400">
            <v>4891930</v>
          </cell>
          <cell r="F400" t="str">
            <v>09.04.2018</v>
          </cell>
          <cell r="G400">
            <v>10051386</v>
          </cell>
          <cell r="H400" t="str">
            <v>PRO016</v>
          </cell>
        </row>
        <row r="401">
          <cell r="E401">
            <v>4891931</v>
          </cell>
          <cell r="F401" t="str">
            <v>20.04.2018</v>
          </cell>
          <cell r="G401">
            <v>10051763</v>
          </cell>
          <cell r="H401" t="str">
            <v>PRO019</v>
          </cell>
        </row>
        <row r="402">
          <cell r="E402">
            <v>4891933</v>
          </cell>
          <cell r="F402" t="str">
            <v>20.04.2018</v>
          </cell>
          <cell r="G402">
            <v>10051386</v>
          </cell>
          <cell r="H402" t="str">
            <v>PRO002</v>
          </cell>
        </row>
        <row r="403">
          <cell r="E403">
            <v>4891934</v>
          </cell>
          <cell r="F403" t="str">
            <v>20.04.2018</v>
          </cell>
          <cell r="G403">
            <v>10051443</v>
          </cell>
          <cell r="H403" t="str">
            <v>PRO006</v>
          </cell>
        </row>
        <row r="404">
          <cell r="E404">
            <v>4894060</v>
          </cell>
          <cell r="F404" t="str">
            <v>09.04.2018</v>
          </cell>
          <cell r="G404">
            <v>10049372</v>
          </cell>
          <cell r="H404" t="str">
            <v>PRO016</v>
          </cell>
        </row>
        <row r="405">
          <cell r="E405">
            <v>4894063</v>
          </cell>
          <cell r="F405" t="str">
            <v>20.04.2018</v>
          </cell>
          <cell r="G405">
            <v>10049372</v>
          </cell>
          <cell r="H405" t="str">
            <v>PRO016</v>
          </cell>
        </row>
        <row r="406">
          <cell r="E406">
            <v>4894064</v>
          </cell>
          <cell r="F406" t="str">
            <v>20.04.2018</v>
          </cell>
          <cell r="G406">
            <v>10051778</v>
          </cell>
          <cell r="H406" t="str">
            <v>PRO006</v>
          </cell>
        </row>
        <row r="407">
          <cell r="E407">
            <v>4894065</v>
          </cell>
          <cell r="F407" t="str">
            <v>20.04.2018</v>
          </cell>
          <cell r="G407">
            <v>10049350</v>
          </cell>
          <cell r="H407" t="str">
            <v>PRO016</v>
          </cell>
        </row>
        <row r="408">
          <cell r="E408">
            <v>4894066</v>
          </cell>
          <cell r="F408" t="str">
            <v>20.04.2018</v>
          </cell>
          <cell r="G408">
            <v>10051763</v>
          </cell>
          <cell r="H408" t="str">
            <v>PRO006</v>
          </cell>
        </row>
        <row r="409">
          <cell r="E409">
            <v>4894067</v>
          </cell>
          <cell r="F409" t="str">
            <v>20.04.2018</v>
          </cell>
          <cell r="G409">
            <v>10051778</v>
          </cell>
          <cell r="H409" t="str">
            <v>PRO006</v>
          </cell>
        </row>
        <row r="410">
          <cell r="E410">
            <v>4894068</v>
          </cell>
          <cell r="F410" t="str">
            <v>20.04.2018</v>
          </cell>
          <cell r="G410">
            <v>10051396</v>
          </cell>
          <cell r="H410" t="str">
            <v>PRO006</v>
          </cell>
        </row>
        <row r="411">
          <cell r="E411">
            <v>4894069</v>
          </cell>
          <cell r="F411" t="str">
            <v>20.04.2018</v>
          </cell>
          <cell r="G411">
            <v>10049372</v>
          </cell>
          <cell r="H411" t="str">
            <v>PRO006</v>
          </cell>
        </row>
        <row r="412">
          <cell r="E412">
            <v>4894072</v>
          </cell>
          <cell r="F412" t="str">
            <v>06.06.2018</v>
          </cell>
          <cell r="G412">
            <v>10051769</v>
          </cell>
          <cell r="H412" t="str">
            <v>PRO016</v>
          </cell>
        </row>
        <row r="413">
          <cell r="E413">
            <v>4894072</v>
          </cell>
          <cell r="F413" t="str">
            <v>06.06.2018</v>
          </cell>
          <cell r="G413">
            <v>10051769</v>
          </cell>
          <cell r="H413" t="str">
            <v>PRO013</v>
          </cell>
        </row>
        <row r="414">
          <cell r="E414">
            <v>4894077</v>
          </cell>
          <cell r="F414" t="str">
            <v>20.04.2018</v>
          </cell>
          <cell r="G414">
            <v>10051778</v>
          </cell>
          <cell r="H414" t="str">
            <v>PRO016</v>
          </cell>
        </row>
        <row r="415">
          <cell r="E415">
            <v>4894080</v>
          </cell>
          <cell r="F415" t="str">
            <v>28.04.2018</v>
          </cell>
          <cell r="G415">
            <v>10049372</v>
          </cell>
          <cell r="H415" t="str">
            <v>PRO006</v>
          </cell>
        </row>
        <row r="416">
          <cell r="E416">
            <v>4894081</v>
          </cell>
          <cell r="F416" t="str">
            <v>28.04.2018</v>
          </cell>
          <cell r="G416">
            <v>10051396</v>
          </cell>
          <cell r="H416" t="str">
            <v>PRO006</v>
          </cell>
        </row>
        <row r="417">
          <cell r="E417">
            <v>4894592</v>
          </cell>
          <cell r="F417" t="str">
            <v>16.05.2018</v>
          </cell>
          <cell r="G417">
            <v>10051763</v>
          </cell>
          <cell r="H417" t="str">
            <v>PRO016</v>
          </cell>
        </row>
        <row r="418">
          <cell r="E418">
            <v>4894592</v>
          </cell>
          <cell r="F418" t="str">
            <v>16.05.2018</v>
          </cell>
          <cell r="G418">
            <v>10051763</v>
          </cell>
          <cell r="H418" t="str">
            <v>PRO011</v>
          </cell>
        </row>
        <row r="419">
          <cell r="E419">
            <v>4894634</v>
          </cell>
          <cell r="F419" t="str">
            <v>16.05.2018</v>
          </cell>
          <cell r="G419">
            <v>10049350</v>
          </cell>
          <cell r="H419" t="str">
            <v>PRO019</v>
          </cell>
        </row>
        <row r="420">
          <cell r="E420">
            <v>4894634</v>
          </cell>
          <cell r="F420" t="str">
            <v>16.05.2018</v>
          </cell>
          <cell r="G420">
            <v>10049350</v>
          </cell>
          <cell r="H420" t="str">
            <v>PRO016</v>
          </cell>
        </row>
        <row r="421">
          <cell r="E421">
            <v>4894679</v>
          </cell>
          <cell r="F421" t="str">
            <v>09.04.2018</v>
          </cell>
          <cell r="G421">
            <v>10051778</v>
          </cell>
          <cell r="H421" t="str">
            <v>PRO016</v>
          </cell>
        </row>
        <row r="422">
          <cell r="E422">
            <v>4894686</v>
          </cell>
          <cell r="F422" t="str">
            <v>20.04.2018</v>
          </cell>
          <cell r="G422">
            <v>10051778</v>
          </cell>
          <cell r="H422" t="str">
            <v>PRO019</v>
          </cell>
        </row>
        <row r="423">
          <cell r="E423">
            <v>4895897</v>
          </cell>
          <cell r="F423" t="str">
            <v>20.04.2018</v>
          </cell>
          <cell r="G423">
            <v>10051386</v>
          </cell>
          <cell r="H423" t="str">
            <v>PRO016</v>
          </cell>
        </row>
        <row r="424">
          <cell r="E424">
            <v>4895927</v>
          </cell>
          <cell r="F424" t="str">
            <v>05.05.2018</v>
          </cell>
          <cell r="G424">
            <v>10051763</v>
          </cell>
          <cell r="H424" t="str">
            <v>PRO006</v>
          </cell>
        </row>
        <row r="425">
          <cell r="E425">
            <v>4895928</v>
          </cell>
          <cell r="F425" t="str">
            <v>20.04.2018</v>
          </cell>
          <cell r="G425">
            <v>10051769</v>
          </cell>
          <cell r="H425" t="str">
            <v>PRO006</v>
          </cell>
        </row>
        <row r="426">
          <cell r="E426">
            <v>4895929</v>
          </cell>
          <cell r="F426" t="str">
            <v>13.05.2018</v>
          </cell>
          <cell r="G426">
            <v>10051778</v>
          </cell>
          <cell r="H426" t="str">
            <v>PRO016</v>
          </cell>
        </row>
        <row r="427">
          <cell r="E427">
            <v>4895932</v>
          </cell>
          <cell r="F427" t="str">
            <v>13.05.2018</v>
          </cell>
          <cell r="G427">
            <v>10051386</v>
          </cell>
          <cell r="H427" t="str">
            <v>PRO016</v>
          </cell>
        </row>
        <row r="428">
          <cell r="E428">
            <v>4895937</v>
          </cell>
          <cell r="F428" t="str">
            <v>20.04.2018</v>
          </cell>
          <cell r="G428">
            <v>10049372</v>
          </cell>
          <cell r="H428" t="str">
            <v>PRO016</v>
          </cell>
        </row>
        <row r="429">
          <cell r="E429">
            <v>4895949</v>
          </cell>
          <cell r="F429" t="str">
            <v>13.05.2018</v>
          </cell>
          <cell r="G429">
            <v>10051386</v>
          </cell>
          <cell r="H429" t="str">
            <v>PRO016</v>
          </cell>
        </row>
        <row r="430">
          <cell r="E430">
            <v>4895961</v>
          </cell>
          <cell r="F430" t="str">
            <v>20.04.2018</v>
          </cell>
          <cell r="G430">
            <v>10051443</v>
          </cell>
          <cell r="H430" t="str">
            <v>PRO006</v>
          </cell>
        </row>
        <row r="431">
          <cell r="E431">
            <v>4895972</v>
          </cell>
          <cell r="F431" t="str">
            <v>13.05.2018</v>
          </cell>
          <cell r="G431">
            <v>10049361</v>
          </cell>
          <cell r="H431" t="str">
            <v>PRO016</v>
          </cell>
        </row>
        <row r="432">
          <cell r="E432">
            <v>4896518</v>
          </cell>
          <cell r="F432" t="str">
            <v>13.05.2018</v>
          </cell>
          <cell r="G432">
            <v>10051443</v>
          </cell>
          <cell r="H432" t="str">
            <v>PRO016</v>
          </cell>
        </row>
        <row r="433">
          <cell r="E433">
            <v>4896660</v>
          </cell>
          <cell r="F433" t="str">
            <v>20.04.2018</v>
          </cell>
          <cell r="G433">
            <v>10049372</v>
          </cell>
          <cell r="H433" t="str">
            <v>PRO006</v>
          </cell>
        </row>
        <row r="434">
          <cell r="E434">
            <v>4896663</v>
          </cell>
          <cell r="F434" t="str">
            <v>13.05.2018</v>
          </cell>
          <cell r="G434">
            <v>10051769</v>
          </cell>
          <cell r="H434" t="str">
            <v>PRO016</v>
          </cell>
        </row>
        <row r="435">
          <cell r="E435">
            <v>4896667</v>
          </cell>
          <cell r="F435" t="str">
            <v>13.05.2018</v>
          </cell>
          <cell r="G435">
            <v>10049372</v>
          </cell>
          <cell r="H435" t="str">
            <v>PRO016</v>
          </cell>
        </row>
        <row r="436">
          <cell r="E436">
            <v>4896668</v>
          </cell>
          <cell r="F436" t="str">
            <v>20.05.2018</v>
          </cell>
          <cell r="G436">
            <v>10051443</v>
          </cell>
          <cell r="H436" t="str">
            <v>PRO016</v>
          </cell>
        </row>
        <row r="437">
          <cell r="E437">
            <v>4896668</v>
          </cell>
          <cell r="F437" t="str">
            <v>20.05.2018</v>
          </cell>
          <cell r="G437">
            <v>10051443</v>
          </cell>
          <cell r="H437" t="str">
            <v>PRO011</v>
          </cell>
        </row>
        <row r="438">
          <cell r="E438">
            <v>4896669</v>
          </cell>
          <cell r="F438" t="str">
            <v>28.04.2018</v>
          </cell>
          <cell r="G438">
            <v>10049361</v>
          </cell>
          <cell r="H438" t="str">
            <v>PRO006</v>
          </cell>
        </row>
        <row r="439">
          <cell r="E439">
            <v>4896673</v>
          </cell>
          <cell r="F439" t="str">
            <v>09.05.2018</v>
          </cell>
          <cell r="G439">
            <v>10049361</v>
          </cell>
          <cell r="H439" t="str">
            <v>PRO006</v>
          </cell>
        </row>
        <row r="440">
          <cell r="E440">
            <v>4896677</v>
          </cell>
          <cell r="F440" t="str">
            <v>13.05.2018</v>
          </cell>
          <cell r="G440">
            <v>10049350</v>
          </cell>
          <cell r="H440" t="str">
            <v>PRO016</v>
          </cell>
        </row>
        <row r="441">
          <cell r="E441">
            <v>4896685</v>
          </cell>
          <cell r="F441" t="str">
            <v>13.05.2018</v>
          </cell>
          <cell r="G441">
            <v>10051396</v>
          </cell>
          <cell r="H441" t="str">
            <v>PRO016</v>
          </cell>
        </row>
        <row r="442">
          <cell r="E442">
            <v>4896686</v>
          </cell>
          <cell r="F442" t="str">
            <v>28.04.2018</v>
          </cell>
          <cell r="G442">
            <v>10049350</v>
          </cell>
          <cell r="H442" t="str">
            <v>PRO006</v>
          </cell>
        </row>
        <row r="443">
          <cell r="E443">
            <v>4896693</v>
          </cell>
          <cell r="F443" t="str">
            <v>28.04.2018</v>
          </cell>
          <cell r="G443">
            <v>10051778</v>
          </cell>
          <cell r="H443" t="str">
            <v>PRO006</v>
          </cell>
        </row>
        <row r="444">
          <cell r="E444">
            <v>4896696</v>
          </cell>
          <cell r="F444" t="str">
            <v>13.05.2018</v>
          </cell>
          <cell r="G444">
            <v>10049372</v>
          </cell>
          <cell r="H444" t="str">
            <v>PRO016</v>
          </cell>
        </row>
        <row r="445">
          <cell r="E445">
            <v>4896697</v>
          </cell>
          <cell r="F445" t="str">
            <v>28.04.2018</v>
          </cell>
          <cell r="G445">
            <v>10049372</v>
          </cell>
          <cell r="H445" t="str">
            <v>PRO006</v>
          </cell>
        </row>
        <row r="446">
          <cell r="E446">
            <v>4896698</v>
          </cell>
          <cell r="F446" t="str">
            <v>20.04.2018</v>
          </cell>
          <cell r="G446">
            <v>10051769</v>
          </cell>
          <cell r="H446" t="str">
            <v>PRO006</v>
          </cell>
        </row>
        <row r="447">
          <cell r="E447">
            <v>4896701</v>
          </cell>
          <cell r="F447" t="str">
            <v>20.04.2018</v>
          </cell>
          <cell r="G447">
            <v>10049361</v>
          </cell>
          <cell r="H447" t="str">
            <v>PRO006</v>
          </cell>
        </row>
        <row r="448">
          <cell r="E448">
            <v>4896709</v>
          </cell>
          <cell r="F448" t="str">
            <v>20.04.2018</v>
          </cell>
          <cell r="G448">
            <v>10051778</v>
          </cell>
          <cell r="H448" t="str">
            <v>PRO016</v>
          </cell>
        </row>
        <row r="449">
          <cell r="E449">
            <v>4896710</v>
          </cell>
          <cell r="F449" t="str">
            <v>19.05.2018</v>
          </cell>
          <cell r="G449">
            <v>10051778</v>
          </cell>
          <cell r="H449" t="str">
            <v>PRO006</v>
          </cell>
        </row>
        <row r="450">
          <cell r="E450">
            <v>4896711</v>
          </cell>
          <cell r="F450" t="str">
            <v>28.04.2018</v>
          </cell>
          <cell r="G450">
            <v>10051778</v>
          </cell>
          <cell r="H450" t="str">
            <v>PRO002</v>
          </cell>
        </row>
        <row r="451">
          <cell r="E451">
            <v>4897354</v>
          </cell>
          <cell r="F451" t="str">
            <v>13.05.2018</v>
          </cell>
          <cell r="G451">
            <v>10049350</v>
          </cell>
          <cell r="H451" t="str">
            <v>PRO016</v>
          </cell>
        </row>
        <row r="452">
          <cell r="E452">
            <v>4897355</v>
          </cell>
          <cell r="F452" t="str">
            <v>13.05.2018</v>
          </cell>
          <cell r="G452">
            <v>10051386</v>
          </cell>
          <cell r="H452" t="str">
            <v>PRO016</v>
          </cell>
        </row>
        <row r="453">
          <cell r="E453">
            <v>4897358</v>
          </cell>
          <cell r="F453" t="str">
            <v>13.05.2018</v>
          </cell>
          <cell r="G453">
            <v>10051763</v>
          </cell>
          <cell r="H453" t="str">
            <v>PRO016</v>
          </cell>
        </row>
        <row r="454">
          <cell r="E454">
            <v>4897504</v>
          </cell>
          <cell r="F454" t="str">
            <v>28.04.2018</v>
          </cell>
          <cell r="G454">
            <v>10051443</v>
          </cell>
          <cell r="H454" t="str">
            <v>PRO006</v>
          </cell>
        </row>
        <row r="455">
          <cell r="E455">
            <v>4897508</v>
          </cell>
          <cell r="F455" t="str">
            <v>13.05.2018</v>
          </cell>
          <cell r="G455">
            <v>10049372</v>
          </cell>
          <cell r="H455" t="str">
            <v>PRO016</v>
          </cell>
        </row>
        <row r="456">
          <cell r="E456">
            <v>4897509</v>
          </cell>
          <cell r="F456" t="str">
            <v>16.05.2018</v>
          </cell>
          <cell r="G456">
            <v>10049350</v>
          </cell>
          <cell r="H456" t="str">
            <v>PRO019</v>
          </cell>
        </row>
        <row r="457">
          <cell r="E457">
            <v>4897509</v>
          </cell>
          <cell r="F457" t="str">
            <v>16.05.2018</v>
          </cell>
          <cell r="G457">
            <v>10049350</v>
          </cell>
          <cell r="H457" t="str">
            <v>PRO016</v>
          </cell>
        </row>
        <row r="458">
          <cell r="E458">
            <v>4897509</v>
          </cell>
          <cell r="F458" t="str">
            <v>16.05.2018</v>
          </cell>
          <cell r="G458">
            <v>10049350</v>
          </cell>
          <cell r="H458" t="str">
            <v>PRO009</v>
          </cell>
        </row>
        <row r="459">
          <cell r="E459">
            <v>4897510</v>
          </cell>
          <cell r="F459" t="str">
            <v>13.05.2018</v>
          </cell>
          <cell r="G459">
            <v>10049372</v>
          </cell>
          <cell r="H459" t="str">
            <v>PRO016</v>
          </cell>
        </row>
        <row r="460">
          <cell r="E460">
            <v>4897511</v>
          </cell>
          <cell r="F460" t="str">
            <v>28.04.2018</v>
          </cell>
          <cell r="G460">
            <v>10051396</v>
          </cell>
          <cell r="H460" t="str">
            <v>PRO006</v>
          </cell>
        </row>
        <row r="461">
          <cell r="E461">
            <v>4897518</v>
          </cell>
          <cell r="F461" t="str">
            <v>13.05.2018</v>
          </cell>
          <cell r="G461">
            <v>10051778</v>
          </cell>
          <cell r="H461" t="str">
            <v>PRO016</v>
          </cell>
        </row>
        <row r="462">
          <cell r="E462">
            <v>4897519</v>
          </cell>
          <cell r="F462" t="str">
            <v>28.04.2018</v>
          </cell>
          <cell r="G462">
            <v>10051396</v>
          </cell>
          <cell r="H462" t="str">
            <v>PRO014</v>
          </cell>
        </row>
        <row r="463">
          <cell r="E463">
            <v>4898067</v>
          </cell>
          <cell r="F463" t="str">
            <v>28.04.2018</v>
          </cell>
          <cell r="G463">
            <v>10049350</v>
          </cell>
          <cell r="H463" t="str">
            <v>PRO006</v>
          </cell>
        </row>
        <row r="464">
          <cell r="E464">
            <v>4898170</v>
          </cell>
          <cell r="F464" t="str">
            <v>01.05.2018</v>
          </cell>
          <cell r="G464">
            <v>10049372</v>
          </cell>
          <cell r="H464" t="str">
            <v>PRO006</v>
          </cell>
        </row>
        <row r="465">
          <cell r="E465">
            <v>4898174</v>
          </cell>
          <cell r="F465" t="str">
            <v>13.05.2018</v>
          </cell>
          <cell r="G465">
            <v>10051778</v>
          </cell>
          <cell r="H465" t="str">
            <v>PRO016</v>
          </cell>
        </row>
        <row r="466">
          <cell r="E466">
            <v>4898184</v>
          </cell>
          <cell r="F466" t="str">
            <v>13.05.2018</v>
          </cell>
          <cell r="G466">
            <v>10051778</v>
          </cell>
          <cell r="H466" t="str">
            <v>PRO016</v>
          </cell>
        </row>
        <row r="467">
          <cell r="E467">
            <v>4899100</v>
          </cell>
          <cell r="F467" t="str">
            <v>13.05.2018</v>
          </cell>
          <cell r="G467">
            <v>10051386</v>
          </cell>
          <cell r="H467" t="str">
            <v>PRO016</v>
          </cell>
        </row>
        <row r="468">
          <cell r="E468">
            <v>4899112</v>
          </cell>
          <cell r="F468" t="str">
            <v>06.06.2018</v>
          </cell>
          <cell r="G468">
            <v>10051778</v>
          </cell>
          <cell r="H468" t="str">
            <v>PRO019</v>
          </cell>
        </row>
        <row r="469">
          <cell r="E469">
            <v>4899112</v>
          </cell>
          <cell r="F469" t="str">
            <v>06.06.2018</v>
          </cell>
          <cell r="G469">
            <v>10051778</v>
          </cell>
          <cell r="H469" t="str">
            <v>PRO016</v>
          </cell>
        </row>
        <row r="470">
          <cell r="E470">
            <v>4899112</v>
          </cell>
          <cell r="F470" t="str">
            <v>06.06.2018</v>
          </cell>
          <cell r="G470">
            <v>10051778</v>
          </cell>
          <cell r="H470" t="str">
            <v>PRO015</v>
          </cell>
        </row>
        <row r="471">
          <cell r="E471">
            <v>4899112</v>
          </cell>
          <cell r="F471" t="str">
            <v>06.06.2018</v>
          </cell>
          <cell r="G471">
            <v>10051778</v>
          </cell>
          <cell r="H471" t="str">
            <v>PRO009</v>
          </cell>
        </row>
        <row r="472">
          <cell r="E472">
            <v>4899113</v>
          </cell>
          <cell r="F472" t="str">
            <v>13.05.2018</v>
          </cell>
          <cell r="G472">
            <v>10051386</v>
          </cell>
          <cell r="H472" t="str">
            <v>PRO016</v>
          </cell>
        </row>
        <row r="473">
          <cell r="E473">
            <v>4899115</v>
          </cell>
          <cell r="F473" t="str">
            <v>13.05.2018</v>
          </cell>
          <cell r="G473">
            <v>10049372</v>
          </cell>
          <cell r="H473" t="str">
            <v>PRO016</v>
          </cell>
        </row>
        <row r="474">
          <cell r="E474">
            <v>4899121</v>
          </cell>
          <cell r="F474" t="str">
            <v>06.06.2018</v>
          </cell>
          <cell r="G474">
            <v>10049361</v>
          </cell>
          <cell r="H474" t="str">
            <v>PRO019</v>
          </cell>
        </row>
        <row r="475">
          <cell r="E475">
            <v>4899121</v>
          </cell>
          <cell r="F475" t="str">
            <v>06.06.2018</v>
          </cell>
          <cell r="G475">
            <v>10049361</v>
          </cell>
          <cell r="H475" t="str">
            <v>PRO016</v>
          </cell>
        </row>
        <row r="476">
          <cell r="E476">
            <v>4899121</v>
          </cell>
          <cell r="F476" t="str">
            <v>06.06.2018</v>
          </cell>
          <cell r="G476">
            <v>10049361</v>
          </cell>
          <cell r="H476" t="str">
            <v>PRO009</v>
          </cell>
        </row>
        <row r="477">
          <cell r="E477">
            <v>4899122</v>
          </cell>
          <cell r="F477" t="str">
            <v>13.05.2018</v>
          </cell>
          <cell r="G477">
            <v>10051386</v>
          </cell>
          <cell r="H477" t="str">
            <v>PRO016</v>
          </cell>
        </row>
        <row r="478">
          <cell r="E478">
            <v>4899127</v>
          </cell>
          <cell r="F478" t="str">
            <v>05.05.2018</v>
          </cell>
          <cell r="G478">
            <v>10051443</v>
          </cell>
          <cell r="H478" t="str">
            <v>PRO006</v>
          </cell>
        </row>
        <row r="479">
          <cell r="E479">
            <v>4899143</v>
          </cell>
          <cell r="F479" t="str">
            <v>13.05.2018</v>
          </cell>
          <cell r="G479">
            <v>10051778</v>
          </cell>
          <cell r="H479" t="str">
            <v>PRO016</v>
          </cell>
        </row>
        <row r="480">
          <cell r="E480">
            <v>4899792</v>
          </cell>
          <cell r="F480" t="str">
            <v>13.05.2018</v>
          </cell>
          <cell r="G480">
            <v>10051443</v>
          </cell>
          <cell r="H480" t="str">
            <v>PRO016</v>
          </cell>
        </row>
        <row r="481">
          <cell r="E481">
            <v>4899796</v>
          </cell>
          <cell r="F481" t="str">
            <v>05.05.2018</v>
          </cell>
          <cell r="G481">
            <v>10049372</v>
          </cell>
          <cell r="H481" t="str">
            <v>PRO006</v>
          </cell>
        </row>
        <row r="482">
          <cell r="E482">
            <v>4899814</v>
          </cell>
          <cell r="F482" t="str">
            <v>13.05.2018</v>
          </cell>
          <cell r="G482">
            <v>10051769</v>
          </cell>
          <cell r="H482" t="str">
            <v>PRO016</v>
          </cell>
        </row>
        <row r="483">
          <cell r="E483">
            <v>4899815</v>
          </cell>
          <cell r="F483" t="str">
            <v>13.05.2018</v>
          </cell>
          <cell r="G483">
            <v>10051769</v>
          </cell>
          <cell r="H483" t="str">
            <v>PRO016</v>
          </cell>
        </row>
        <row r="484">
          <cell r="E484">
            <v>4899820</v>
          </cell>
          <cell r="F484" t="str">
            <v>13.05.2018</v>
          </cell>
          <cell r="G484">
            <v>10051396</v>
          </cell>
          <cell r="H484" t="str">
            <v>PRO016</v>
          </cell>
        </row>
        <row r="485">
          <cell r="E485">
            <v>4899821</v>
          </cell>
          <cell r="F485" t="str">
            <v>13.05.2018</v>
          </cell>
          <cell r="G485">
            <v>10049372</v>
          </cell>
          <cell r="H485" t="str">
            <v>PRO016</v>
          </cell>
        </row>
        <row r="486">
          <cell r="E486">
            <v>4899840</v>
          </cell>
          <cell r="F486" t="str">
            <v>13.05.2018</v>
          </cell>
          <cell r="G486">
            <v>10049361</v>
          </cell>
          <cell r="H486" t="str">
            <v>PRO016</v>
          </cell>
        </row>
        <row r="487">
          <cell r="E487">
            <v>4899841</v>
          </cell>
          <cell r="F487" t="str">
            <v>13.05.2018</v>
          </cell>
          <cell r="G487">
            <v>10049361</v>
          </cell>
          <cell r="H487" t="str">
            <v>PRO019</v>
          </cell>
        </row>
        <row r="488">
          <cell r="E488">
            <v>4899841</v>
          </cell>
          <cell r="F488" t="str">
            <v>13.05.2018</v>
          </cell>
          <cell r="G488">
            <v>10049361</v>
          </cell>
          <cell r="H488" t="str">
            <v>PRO016</v>
          </cell>
        </row>
        <row r="489">
          <cell r="E489">
            <v>4899841</v>
          </cell>
          <cell r="F489" t="str">
            <v>13.05.2018</v>
          </cell>
          <cell r="G489">
            <v>10049361</v>
          </cell>
          <cell r="H489" t="str">
            <v>PRO015</v>
          </cell>
        </row>
        <row r="490">
          <cell r="E490">
            <v>4899849</v>
          </cell>
          <cell r="F490" t="str">
            <v>13.05.2018</v>
          </cell>
          <cell r="G490">
            <v>10051386</v>
          </cell>
          <cell r="H490" t="str">
            <v>PRO016</v>
          </cell>
        </row>
        <row r="491">
          <cell r="E491">
            <v>4899850</v>
          </cell>
          <cell r="F491" t="str">
            <v>13.05.2018</v>
          </cell>
          <cell r="G491">
            <v>10051386</v>
          </cell>
          <cell r="H491" t="str">
            <v>PRO016</v>
          </cell>
        </row>
        <row r="492">
          <cell r="E492">
            <v>4899851</v>
          </cell>
          <cell r="F492" t="str">
            <v>16.05.2018</v>
          </cell>
          <cell r="G492">
            <v>10049350</v>
          </cell>
          <cell r="H492" t="str">
            <v>PRO016</v>
          </cell>
        </row>
        <row r="493">
          <cell r="E493">
            <v>4899873</v>
          </cell>
          <cell r="F493" t="str">
            <v>13.05.2018</v>
          </cell>
          <cell r="G493">
            <v>10049361</v>
          </cell>
          <cell r="H493" t="str">
            <v>PRO016</v>
          </cell>
        </row>
        <row r="494">
          <cell r="E494">
            <v>4899874</v>
          </cell>
          <cell r="F494" t="str">
            <v>13.05.2018</v>
          </cell>
          <cell r="G494">
            <v>10051396</v>
          </cell>
          <cell r="H494" t="str">
            <v>PRO016</v>
          </cell>
        </row>
        <row r="495">
          <cell r="E495">
            <v>4899904</v>
          </cell>
          <cell r="F495" t="str">
            <v>13.05.2018</v>
          </cell>
          <cell r="G495">
            <v>10049361</v>
          </cell>
          <cell r="H495" t="str">
            <v>PRO016</v>
          </cell>
        </row>
        <row r="496">
          <cell r="E496">
            <v>4899909</v>
          </cell>
          <cell r="F496" t="str">
            <v>13.05.2018</v>
          </cell>
          <cell r="G496">
            <v>10051386</v>
          </cell>
          <cell r="H496" t="str">
            <v>PRO016</v>
          </cell>
        </row>
        <row r="497">
          <cell r="E497">
            <v>4899924</v>
          </cell>
          <cell r="F497" t="str">
            <v>05.05.2018</v>
          </cell>
          <cell r="G497">
            <v>10049361</v>
          </cell>
          <cell r="H497" t="str">
            <v>PRO006</v>
          </cell>
        </row>
        <row r="498">
          <cell r="E498">
            <v>4899925</v>
          </cell>
          <cell r="F498" t="str">
            <v>13.05.2018</v>
          </cell>
          <cell r="G498">
            <v>10049372</v>
          </cell>
          <cell r="H498" t="str">
            <v>PRO016</v>
          </cell>
        </row>
        <row r="499">
          <cell r="E499">
            <v>4899934</v>
          </cell>
          <cell r="F499" t="str">
            <v>13.05.2018</v>
          </cell>
          <cell r="G499">
            <v>10051769</v>
          </cell>
          <cell r="H499" t="str">
            <v>PRO016</v>
          </cell>
        </row>
        <row r="500">
          <cell r="E500">
            <v>4899952</v>
          </cell>
          <cell r="F500" t="str">
            <v>13.05.2018</v>
          </cell>
          <cell r="G500">
            <v>10051778</v>
          </cell>
          <cell r="H500" t="str">
            <v>PRO016</v>
          </cell>
        </row>
        <row r="501">
          <cell r="E501">
            <v>4900438</v>
          </cell>
          <cell r="F501" t="str">
            <v>16.05.2018</v>
          </cell>
          <cell r="G501">
            <v>10049350</v>
          </cell>
          <cell r="H501" t="str">
            <v>PRO016</v>
          </cell>
        </row>
        <row r="502">
          <cell r="E502">
            <v>4900700</v>
          </cell>
          <cell r="F502" t="str">
            <v>13.05.2018</v>
          </cell>
          <cell r="G502">
            <v>10051386</v>
          </cell>
          <cell r="H502" t="str">
            <v>PRO016</v>
          </cell>
        </row>
        <row r="503">
          <cell r="E503">
            <v>4900720</v>
          </cell>
          <cell r="F503" t="str">
            <v>13.05.2018</v>
          </cell>
          <cell r="G503">
            <v>10049372</v>
          </cell>
          <cell r="H503" t="str">
            <v>PRO016</v>
          </cell>
        </row>
        <row r="504">
          <cell r="E504">
            <v>4900724</v>
          </cell>
          <cell r="F504" t="str">
            <v>16.05.2018</v>
          </cell>
          <cell r="G504">
            <v>10049372</v>
          </cell>
          <cell r="H504" t="str">
            <v>PRO016</v>
          </cell>
        </row>
        <row r="505">
          <cell r="E505">
            <v>4900734</v>
          </cell>
          <cell r="F505" t="str">
            <v>16.05.2018</v>
          </cell>
          <cell r="G505">
            <v>10051778</v>
          </cell>
          <cell r="H505" t="str">
            <v>PRO016</v>
          </cell>
        </row>
        <row r="506">
          <cell r="E506">
            <v>4901527</v>
          </cell>
          <cell r="F506" t="str">
            <v>09.05.2018</v>
          </cell>
          <cell r="G506">
            <v>10049372</v>
          </cell>
          <cell r="H506" t="str">
            <v>PRO006</v>
          </cell>
        </row>
        <row r="507">
          <cell r="E507">
            <v>4901528</v>
          </cell>
          <cell r="F507" t="str">
            <v>09.05.2018</v>
          </cell>
          <cell r="G507">
            <v>10049372</v>
          </cell>
          <cell r="H507" t="str">
            <v>PRO006</v>
          </cell>
        </row>
        <row r="508">
          <cell r="E508">
            <v>4901583</v>
          </cell>
          <cell r="F508" t="str">
            <v>16.05.2018</v>
          </cell>
          <cell r="G508">
            <v>10049350</v>
          </cell>
          <cell r="H508" t="str">
            <v>PRO016</v>
          </cell>
        </row>
        <row r="509">
          <cell r="E509">
            <v>4901584</v>
          </cell>
          <cell r="F509" t="str">
            <v>12.05.2018</v>
          </cell>
          <cell r="G509">
            <v>10051763</v>
          </cell>
          <cell r="H509" t="str">
            <v>PRO006</v>
          </cell>
        </row>
        <row r="510">
          <cell r="E510">
            <v>4901585</v>
          </cell>
          <cell r="F510" t="str">
            <v>12.05.2018</v>
          </cell>
          <cell r="G510">
            <v>10049372</v>
          </cell>
          <cell r="H510" t="str">
            <v>PRO006</v>
          </cell>
        </row>
        <row r="511">
          <cell r="E511">
            <v>4901602</v>
          </cell>
          <cell r="F511" t="str">
            <v>26.06.2018</v>
          </cell>
          <cell r="G511">
            <v>10049372</v>
          </cell>
          <cell r="H511" t="str">
            <v>PRO016</v>
          </cell>
        </row>
        <row r="512">
          <cell r="E512">
            <v>4901615</v>
          </cell>
          <cell r="F512" t="str">
            <v>13.05.2018</v>
          </cell>
          <cell r="G512">
            <v>10051778</v>
          </cell>
          <cell r="H512" t="str">
            <v>PRO016</v>
          </cell>
        </row>
        <row r="513">
          <cell r="E513">
            <v>4901619</v>
          </cell>
          <cell r="F513" t="str">
            <v>16.05.2018</v>
          </cell>
          <cell r="G513">
            <v>10051778</v>
          </cell>
          <cell r="H513" t="str">
            <v>PRO016</v>
          </cell>
        </row>
        <row r="514">
          <cell r="E514">
            <v>4901620</v>
          </cell>
          <cell r="F514" t="str">
            <v>26.05.2018</v>
          </cell>
          <cell r="G514">
            <v>10051778</v>
          </cell>
          <cell r="H514" t="str">
            <v>PRO000</v>
          </cell>
        </row>
        <row r="515">
          <cell r="E515">
            <v>4902363</v>
          </cell>
          <cell r="F515" t="str">
            <v>13.05.2018</v>
          </cell>
          <cell r="G515">
            <v>10051396</v>
          </cell>
          <cell r="H515" t="str">
            <v>PRO016</v>
          </cell>
        </row>
        <row r="516">
          <cell r="E516">
            <v>4902426</v>
          </cell>
          <cell r="F516" t="str">
            <v>19.05.2018</v>
          </cell>
          <cell r="G516">
            <v>10049361</v>
          </cell>
          <cell r="H516" t="str">
            <v>PRO006</v>
          </cell>
        </row>
        <row r="517">
          <cell r="E517">
            <v>4902430</v>
          </cell>
          <cell r="F517" t="str">
            <v>16.05.2018</v>
          </cell>
          <cell r="G517">
            <v>10051386</v>
          </cell>
          <cell r="H517" t="str">
            <v>PRO016</v>
          </cell>
        </row>
        <row r="518">
          <cell r="E518">
            <v>4902437</v>
          </cell>
          <cell r="F518" t="str">
            <v>20.05.2018</v>
          </cell>
          <cell r="G518">
            <v>10051386</v>
          </cell>
          <cell r="H518" t="str">
            <v>PRO016</v>
          </cell>
        </row>
        <row r="519">
          <cell r="E519">
            <v>4902440</v>
          </cell>
          <cell r="F519" t="str">
            <v>16.05.2018</v>
          </cell>
          <cell r="G519">
            <v>10049372</v>
          </cell>
          <cell r="H519" t="str">
            <v>PRO016</v>
          </cell>
        </row>
        <row r="520">
          <cell r="E520">
            <v>4902445</v>
          </cell>
          <cell r="F520" t="str">
            <v>20.05.2018</v>
          </cell>
          <cell r="G520">
            <v>10051386</v>
          </cell>
          <cell r="H520" t="str">
            <v>PRO016</v>
          </cell>
        </row>
        <row r="521">
          <cell r="E521">
            <v>4902447</v>
          </cell>
          <cell r="F521" t="str">
            <v>02.06.2018</v>
          </cell>
          <cell r="G521">
            <v>10049361</v>
          </cell>
          <cell r="H521" t="str">
            <v>PRO006</v>
          </cell>
        </row>
        <row r="522">
          <cell r="E522">
            <v>4902451</v>
          </cell>
          <cell r="F522" t="str">
            <v>19.05.2018</v>
          </cell>
          <cell r="G522">
            <v>10051443</v>
          </cell>
          <cell r="H522" t="str">
            <v>PRO006</v>
          </cell>
        </row>
        <row r="523">
          <cell r="E523">
            <v>4902454</v>
          </cell>
          <cell r="F523" t="str">
            <v>19.05.2018</v>
          </cell>
          <cell r="G523">
            <v>10051769</v>
          </cell>
          <cell r="H523" t="str">
            <v>PRO006</v>
          </cell>
        </row>
        <row r="524">
          <cell r="E524">
            <v>4902458</v>
          </cell>
          <cell r="F524" t="str">
            <v>01.06.2018</v>
          </cell>
          <cell r="G524">
            <v>10049361</v>
          </cell>
          <cell r="H524" t="str">
            <v>PRO006</v>
          </cell>
        </row>
        <row r="525">
          <cell r="E525">
            <v>4902459</v>
          </cell>
          <cell r="F525" t="str">
            <v>19.05.2018</v>
          </cell>
          <cell r="G525">
            <v>10051396</v>
          </cell>
          <cell r="H525" t="str">
            <v>PRO006</v>
          </cell>
        </row>
        <row r="526">
          <cell r="E526">
            <v>4902466</v>
          </cell>
          <cell r="F526" t="str">
            <v>19.05.2018</v>
          </cell>
          <cell r="G526">
            <v>10051386</v>
          </cell>
          <cell r="H526" t="str">
            <v>PRO006</v>
          </cell>
        </row>
        <row r="527">
          <cell r="E527">
            <v>4902467</v>
          </cell>
          <cell r="F527" t="str">
            <v>26.06.2018</v>
          </cell>
          <cell r="G527">
            <v>10051778</v>
          </cell>
          <cell r="H527" t="str">
            <v>PRO016</v>
          </cell>
        </row>
        <row r="528">
          <cell r="E528">
            <v>4902468</v>
          </cell>
          <cell r="F528" t="str">
            <v>19.05.2018</v>
          </cell>
          <cell r="G528">
            <v>10049350</v>
          </cell>
          <cell r="H528" t="str">
            <v>PRO006</v>
          </cell>
        </row>
        <row r="529">
          <cell r="E529">
            <v>4902958</v>
          </cell>
          <cell r="F529" t="str">
            <v>20.05.2018</v>
          </cell>
          <cell r="G529">
            <v>10051443</v>
          </cell>
          <cell r="H529" t="str">
            <v>PRO016</v>
          </cell>
        </row>
        <row r="530">
          <cell r="E530">
            <v>4903060</v>
          </cell>
          <cell r="F530" t="str">
            <v>06.06.2018</v>
          </cell>
          <cell r="G530">
            <v>10051396</v>
          </cell>
          <cell r="H530" t="str">
            <v>PRO016</v>
          </cell>
        </row>
        <row r="531">
          <cell r="E531">
            <v>4903061</v>
          </cell>
          <cell r="F531" t="str">
            <v>19.05.2018</v>
          </cell>
          <cell r="G531">
            <v>10049372</v>
          </cell>
          <cell r="H531" t="str">
            <v>PRO006</v>
          </cell>
        </row>
        <row r="532">
          <cell r="E532">
            <v>4903066</v>
          </cell>
          <cell r="F532" t="str">
            <v>20.05.2018</v>
          </cell>
          <cell r="G532">
            <v>10051778</v>
          </cell>
          <cell r="H532" t="str">
            <v>PRO016</v>
          </cell>
        </row>
        <row r="533">
          <cell r="E533">
            <v>4903070</v>
          </cell>
          <cell r="F533" t="str">
            <v>06.06.2018</v>
          </cell>
          <cell r="G533">
            <v>10049350</v>
          </cell>
          <cell r="H533" t="str">
            <v>PRO016</v>
          </cell>
        </row>
        <row r="534">
          <cell r="E534">
            <v>4903071</v>
          </cell>
          <cell r="F534" t="str">
            <v>20.05.2018</v>
          </cell>
          <cell r="G534">
            <v>10049372</v>
          </cell>
          <cell r="H534" t="str">
            <v>PRO016</v>
          </cell>
        </row>
        <row r="535">
          <cell r="E535">
            <v>4903076</v>
          </cell>
          <cell r="F535" t="str">
            <v>19.05.2018</v>
          </cell>
          <cell r="G535">
            <v>10051396</v>
          </cell>
          <cell r="H535" t="str">
            <v>PRO006</v>
          </cell>
        </row>
        <row r="536">
          <cell r="E536">
            <v>4903077</v>
          </cell>
          <cell r="F536" t="str">
            <v>26.05.2018</v>
          </cell>
          <cell r="G536">
            <v>10051443</v>
          </cell>
          <cell r="H536" t="str">
            <v>PRO006</v>
          </cell>
        </row>
        <row r="537">
          <cell r="E537">
            <v>4903082</v>
          </cell>
          <cell r="F537" t="str">
            <v>06.06.2018</v>
          </cell>
          <cell r="G537">
            <v>10049350</v>
          </cell>
          <cell r="H537" t="str">
            <v>PRO016</v>
          </cell>
        </row>
        <row r="538">
          <cell r="E538">
            <v>4903085</v>
          </cell>
          <cell r="F538" t="str">
            <v>06.06.2018</v>
          </cell>
          <cell r="G538">
            <v>10049372</v>
          </cell>
          <cell r="H538" t="str">
            <v>PRO016</v>
          </cell>
        </row>
        <row r="539">
          <cell r="E539">
            <v>4903085</v>
          </cell>
          <cell r="F539" t="str">
            <v>06.06.2018</v>
          </cell>
          <cell r="G539">
            <v>10049372</v>
          </cell>
          <cell r="H539" t="str">
            <v>PRO015</v>
          </cell>
        </row>
        <row r="540">
          <cell r="E540">
            <v>4903092</v>
          </cell>
          <cell r="F540" t="str">
            <v>20.05.2018</v>
          </cell>
          <cell r="G540">
            <v>10051396</v>
          </cell>
          <cell r="H540" t="str">
            <v>PRO016</v>
          </cell>
        </row>
        <row r="541">
          <cell r="E541">
            <v>4903096</v>
          </cell>
          <cell r="F541" t="str">
            <v>06.06.2018</v>
          </cell>
          <cell r="G541">
            <v>10049372</v>
          </cell>
          <cell r="H541" t="str">
            <v>PRO016</v>
          </cell>
        </row>
        <row r="542">
          <cell r="E542">
            <v>4903102</v>
          </cell>
          <cell r="F542" t="str">
            <v>06.06.2018</v>
          </cell>
          <cell r="G542">
            <v>10051763</v>
          </cell>
          <cell r="H542" t="str">
            <v>PRO013</v>
          </cell>
        </row>
        <row r="543">
          <cell r="E543">
            <v>4903103</v>
          </cell>
          <cell r="F543" t="str">
            <v>06.06.2018</v>
          </cell>
          <cell r="G543">
            <v>10051778</v>
          </cell>
          <cell r="H543" t="str">
            <v>PRO016</v>
          </cell>
        </row>
        <row r="544">
          <cell r="E544">
            <v>4903108</v>
          </cell>
          <cell r="F544" t="str">
            <v>19.05.2018</v>
          </cell>
          <cell r="G544">
            <v>10051386</v>
          </cell>
          <cell r="H544" t="str">
            <v>PRO006</v>
          </cell>
        </row>
        <row r="545">
          <cell r="E545">
            <v>4903109</v>
          </cell>
          <cell r="F545" t="str">
            <v>19.05.2018</v>
          </cell>
          <cell r="G545">
            <v>10051443</v>
          </cell>
          <cell r="H545" t="str">
            <v>PRO006</v>
          </cell>
        </row>
        <row r="546">
          <cell r="E546">
            <v>4903110</v>
          </cell>
          <cell r="F546" t="str">
            <v>20.05.2018</v>
          </cell>
          <cell r="G546">
            <v>10049372</v>
          </cell>
          <cell r="H546" t="str">
            <v>PRO016</v>
          </cell>
        </row>
        <row r="547">
          <cell r="E547">
            <v>4903111</v>
          </cell>
          <cell r="F547" t="str">
            <v>26.05.2018</v>
          </cell>
          <cell r="G547">
            <v>10051769</v>
          </cell>
          <cell r="H547" t="str">
            <v>PRO006</v>
          </cell>
        </row>
        <row r="548">
          <cell r="E548">
            <v>4903112</v>
          </cell>
          <cell r="F548" t="str">
            <v>06.06.2018</v>
          </cell>
          <cell r="G548">
            <v>10051769</v>
          </cell>
          <cell r="H548" t="str">
            <v>PRO016</v>
          </cell>
        </row>
        <row r="549">
          <cell r="E549">
            <v>4903114</v>
          </cell>
          <cell r="F549" t="str">
            <v>20.05.2018</v>
          </cell>
          <cell r="G549">
            <v>10049361</v>
          </cell>
          <cell r="H549" t="str">
            <v>PRO016</v>
          </cell>
        </row>
        <row r="550">
          <cell r="E550">
            <v>4903121</v>
          </cell>
          <cell r="F550" t="str">
            <v>06.06.2018</v>
          </cell>
          <cell r="G550">
            <v>10049350</v>
          </cell>
          <cell r="H550" t="str">
            <v>PRO016</v>
          </cell>
        </row>
        <row r="551">
          <cell r="E551">
            <v>4903122</v>
          </cell>
          <cell r="F551" t="str">
            <v>06.06.2018</v>
          </cell>
          <cell r="G551">
            <v>10051396</v>
          </cell>
          <cell r="H551" t="str">
            <v>PRO016</v>
          </cell>
        </row>
        <row r="552">
          <cell r="E552">
            <v>4903123</v>
          </cell>
          <cell r="F552" t="str">
            <v>06.06.2018</v>
          </cell>
          <cell r="G552">
            <v>10051443</v>
          </cell>
          <cell r="H552" t="str">
            <v>PRO016</v>
          </cell>
        </row>
        <row r="553">
          <cell r="E553">
            <v>4903124</v>
          </cell>
          <cell r="F553" t="str">
            <v>26.05.2018</v>
          </cell>
          <cell r="G553">
            <v>10049361</v>
          </cell>
          <cell r="H553" t="str">
            <v>PRO006</v>
          </cell>
        </row>
        <row r="554">
          <cell r="E554">
            <v>4903125</v>
          </cell>
          <cell r="F554" t="str">
            <v>06.06.2018</v>
          </cell>
          <cell r="G554">
            <v>10051778</v>
          </cell>
          <cell r="H554" t="str">
            <v>PRO016</v>
          </cell>
        </row>
        <row r="555">
          <cell r="E555">
            <v>4903131</v>
          </cell>
          <cell r="F555" t="str">
            <v>26.05.2018</v>
          </cell>
          <cell r="G555">
            <v>10051778</v>
          </cell>
          <cell r="H555" t="str">
            <v>PRO006</v>
          </cell>
        </row>
        <row r="556">
          <cell r="E556">
            <v>4903132</v>
          </cell>
          <cell r="F556" t="str">
            <v>16.05.2018</v>
          </cell>
          <cell r="G556">
            <v>10051778</v>
          </cell>
          <cell r="H556" t="str">
            <v>PRO016</v>
          </cell>
        </row>
        <row r="557">
          <cell r="E557">
            <v>4903133</v>
          </cell>
          <cell r="F557" t="str">
            <v>26.05.2018</v>
          </cell>
          <cell r="G557">
            <v>10051778</v>
          </cell>
          <cell r="H557" t="str">
            <v>PRO006</v>
          </cell>
        </row>
        <row r="558">
          <cell r="E558">
            <v>4903925</v>
          </cell>
          <cell r="F558" t="str">
            <v>06.06.2018</v>
          </cell>
          <cell r="G558">
            <v>10049350</v>
          </cell>
          <cell r="H558" t="str">
            <v>PRO016</v>
          </cell>
        </row>
        <row r="559">
          <cell r="E559">
            <v>4903926</v>
          </cell>
          <cell r="F559" t="str">
            <v>20.05.2018</v>
          </cell>
          <cell r="G559">
            <v>10051386</v>
          </cell>
          <cell r="H559" t="str">
            <v>PRO016</v>
          </cell>
        </row>
        <row r="560">
          <cell r="E560">
            <v>4903927</v>
          </cell>
          <cell r="F560" t="str">
            <v>06.06.2018</v>
          </cell>
          <cell r="G560">
            <v>10051763</v>
          </cell>
          <cell r="H560" t="str">
            <v>PRO016</v>
          </cell>
        </row>
        <row r="561">
          <cell r="E561">
            <v>4903928</v>
          </cell>
          <cell r="F561" t="str">
            <v>26.06.2018</v>
          </cell>
          <cell r="G561">
            <v>10051769</v>
          </cell>
          <cell r="H561" t="str">
            <v>PRO016</v>
          </cell>
        </row>
        <row r="562">
          <cell r="E562">
            <v>4903932</v>
          </cell>
          <cell r="F562" t="str">
            <v>20.05.2018</v>
          </cell>
          <cell r="G562">
            <v>10049372</v>
          </cell>
          <cell r="H562" t="str">
            <v>PRO016</v>
          </cell>
        </row>
        <row r="563">
          <cell r="E563">
            <v>4903935</v>
          </cell>
          <cell r="F563" t="str">
            <v>06.06.2018</v>
          </cell>
          <cell r="G563">
            <v>10049372</v>
          </cell>
          <cell r="H563" t="str">
            <v>PRO016</v>
          </cell>
        </row>
        <row r="564">
          <cell r="E564">
            <v>4903939</v>
          </cell>
          <cell r="F564" t="str">
            <v>26.05.2018</v>
          </cell>
          <cell r="G564">
            <v>10049372</v>
          </cell>
          <cell r="H564" t="str">
            <v>PRO006</v>
          </cell>
        </row>
        <row r="565">
          <cell r="E565">
            <v>4903960</v>
          </cell>
          <cell r="F565" t="str">
            <v>26.05.2018</v>
          </cell>
          <cell r="G565">
            <v>10049372</v>
          </cell>
          <cell r="H565" t="str">
            <v>PRO014</v>
          </cell>
        </row>
        <row r="566">
          <cell r="E566">
            <v>4903960</v>
          </cell>
          <cell r="F566" t="str">
            <v>26.05.2018</v>
          </cell>
          <cell r="G566">
            <v>10049372</v>
          </cell>
          <cell r="H566" t="str">
            <v>PRO010</v>
          </cell>
        </row>
        <row r="567">
          <cell r="E567">
            <v>4903962</v>
          </cell>
          <cell r="F567" t="str">
            <v>06.06.2018</v>
          </cell>
          <cell r="G567">
            <v>10051778</v>
          </cell>
          <cell r="H567" t="str">
            <v>PRO016</v>
          </cell>
        </row>
        <row r="568">
          <cell r="E568">
            <v>4903984</v>
          </cell>
          <cell r="F568" t="str">
            <v>26.05.2018</v>
          </cell>
          <cell r="G568">
            <v>10051778</v>
          </cell>
          <cell r="H568" t="str">
            <v>PRO006</v>
          </cell>
        </row>
        <row r="569">
          <cell r="E569">
            <v>4904683</v>
          </cell>
          <cell r="F569" t="str">
            <v>26.05.2018</v>
          </cell>
          <cell r="G569">
            <v>10051396</v>
          </cell>
          <cell r="H569" t="str">
            <v>PRO006</v>
          </cell>
        </row>
        <row r="570">
          <cell r="E570">
            <v>4904721</v>
          </cell>
          <cell r="F570" t="str">
            <v>26.05.2018</v>
          </cell>
          <cell r="G570">
            <v>10051396</v>
          </cell>
          <cell r="H570" t="str">
            <v>PRO014</v>
          </cell>
        </row>
        <row r="571">
          <cell r="E571">
            <v>4904721</v>
          </cell>
          <cell r="F571" t="str">
            <v>26.05.2018</v>
          </cell>
          <cell r="G571">
            <v>10051396</v>
          </cell>
          <cell r="H571" t="str">
            <v>PRO010</v>
          </cell>
        </row>
        <row r="572">
          <cell r="E572">
            <v>4904728</v>
          </cell>
          <cell r="F572" t="str">
            <v>20.05.2018</v>
          </cell>
          <cell r="G572">
            <v>10051778</v>
          </cell>
          <cell r="H572" t="str">
            <v>PRO016</v>
          </cell>
        </row>
        <row r="573">
          <cell r="E573">
            <v>4904734</v>
          </cell>
          <cell r="F573" t="str">
            <v>06.06.2018</v>
          </cell>
          <cell r="G573">
            <v>10051778</v>
          </cell>
          <cell r="H573" t="str">
            <v>PRO016</v>
          </cell>
        </row>
        <row r="574">
          <cell r="E574">
            <v>4904741</v>
          </cell>
          <cell r="F574" t="str">
            <v>06.06.2018</v>
          </cell>
          <cell r="G574">
            <v>10049361</v>
          </cell>
          <cell r="H574" t="str">
            <v>PRO016</v>
          </cell>
        </row>
        <row r="575">
          <cell r="E575">
            <v>4905617</v>
          </cell>
          <cell r="F575" t="str">
            <v>06.06.2018</v>
          </cell>
          <cell r="G575">
            <v>10051386</v>
          </cell>
          <cell r="H575" t="str">
            <v>PRO016</v>
          </cell>
        </row>
        <row r="576">
          <cell r="E576">
            <v>4905670</v>
          </cell>
          <cell r="F576" t="str">
            <v>06.06.2018</v>
          </cell>
          <cell r="G576">
            <v>10051386</v>
          </cell>
          <cell r="H576" t="str">
            <v>PRO013</v>
          </cell>
        </row>
        <row r="577">
          <cell r="E577">
            <v>4905672</v>
          </cell>
          <cell r="F577" t="str">
            <v>06.06.2018</v>
          </cell>
          <cell r="G577">
            <v>10049372</v>
          </cell>
          <cell r="H577" t="str">
            <v>PRO016</v>
          </cell>
        </row>
        <row r="578">
          <cell r="E578">
            <v>4905677</v>
          </cell>
          <cell r="F578" t="str">
            <v>06.06.2018</v>
          </cell>
          <cell r="G578">
            <v>10051386</v>
          </cell>
          <cell r="H578" t="str">
            <v>PRO013</v>
          </cell>
        </row>
        <row r="579">
          <cell r="E579">
            <v>4905705</v>
          </cell>
          <cell r="F579" t="str">
            <v>29.05.2018</v>
          </cell>
          <cell r="G579">
            <v>10051443</v>
          </cell>
          <cell r="H579" t="str">
            <v>PRO006</v>
          </cell>
        </row>
        <row r="580">
          <cell r="E580">
            <v>4905753</v>
          </cell>
          <cell r="F580" t="str">
            <v>29.05.2018</v>
          </cell>
          <cell r="G580">
            <v>10049372</v>
          </cell>
          <cell r="H580" t="str">
            <v>PRO006</v>
          </cell>
        </row>
        <row r="581">
          <cell r="E581">
            <v>4906512</v>
          </cell>
          <cell r="F581" t="str">
            <v>06.06.2018</v>
          </cell>
          <cell r="G581">
            <v>10051443</v>
          </cell>
          <cell r="H581" t="str">
            <v>PRO016</v>
          </cell>
        </row>
        <row r="582">
          <cell r="E582">
            <v>4906513</v>
          </cell>
          <cell r="F582" t="str">
            <v>23.06.2018</v>
          </cell>
          <cell r="G582">
            <v>10049361</v>
          </cell>
          <cell r="H582" t="str">
            <v>PRO006</v>
          </cell>
        </row>
        <row r="583">
          <cell r="E583">
            <v>4906514</v>
          </cell>
          <cell r="F583" t="str">
            <v>02.06.2018</v>
          </cell>
          <cell r="G583">
            <v>10049372</v>
          </cell>
          <cell r="H583" t="str">
            <v>PRO006</v>
          </cell>
        </row>
        <row r="584">
          <cell r="E584">
            <v>4906525</v>
          </cell>
          <cell r="F584" t="str">
            <v>01.06.2018</v>
          </cell>
          <cell r="G584">
            <v>10051769</v>
          </cell>
          <cell r="H584" t="str">
            <v>PRO006</v>
          </cell>
        </row>
        <row r="585">
          <cell r="E585">
            <v>4906526</v>
          </cell>
          <cell r="F585" t="str">
            <v>01.06.2018</v>
          </cell>
          <cell r="G585">
            <v>10051769</v>
          </cell>
          <cell r="H585" t="str">
            <v>PRO006</v>
          </cell>
        </row>
        <row r="586">
          <cell r="E586">
            <v>4906527</v>
          </cell>
          <cell r="F586" t="str">
            <v>26.06.2018</v>
          </cell>
          <cell r="G586">
            <v>10051769</v>
          </cell>
          <cell r="H586" t="str">
            <v>PRO016</v>
          </cell>
        </row>
        <row r="587">
          <cell r="E587">
            <v>4906528</v>
          </cell>
          <cell r="F587" t="str">
            <v>26.06.2018</v>
          </cell>
          <cell r="G587">
            <v>10051396</v>
          </cell>
          <cell r="H587" t="str">
            <v>PRO016</v>
          </cell>
        </row>
        <row r="588">
          <cell r="E588">
            <v>4906529</v>
          </cell>
          <cell r="F588" t="str">
            <v>06.06.2018</v>
          </cell>
          <cell r="G588">
            <v>10049372</v>
          </cell>
          <cell r="H588" t="str">
            <v>PRO013</v>
          </cell>
        </row>
        <row r="589">
          <cell r="E589">
            <v>4906534</v>
          </cell>
          <cell r="F589" t="str">
            <v>26.06.2018</v>
          </cell>
          <cell r="G589">
            <v>10049361</v>
          </cell>
          <cell r="H589" t="str">
            <v>PRO016</v>
          </cell>
        </row>
        <row r="590">
          <cell r="E590">
            <v>4906535</v>
          </cell>
          <cell r="F590" t="str">
            <v>26.06.2018</v>
          </cell>
          <cell r="G590">
            <v>10049361</v>
          </cell>
          <cell r="H590" t="str">
            <v>PRO016</v>
          </cell>
        </row>
        <row r="591">
          <cell r="E591">
            <v>4906538</v>
          </cell>
          <cell r="F591" t="str">
            <v>26.06.2018</v>
          </cell>
          <cell r="G591">
            <v>10051386</v>
          </cell>
          <cell r="H591" t="str">
            <v>PRO016</v>
          </cell>
        </row>
        <row r="592">
          <cell r="E592">
            <v>4906539</v>
          </cell>
          <cell r="F592" t="str">
            <v>26.06.2018</v>
          </cell>
          <cell r="G592">
            <v>10051386</v>
          </cell>
          <cell r="H592" t="str">
            <v>PRO016</v>
          </cell>
        </row>
        <row r="593">
          <cell r="E593">
            <v>4906540</v>
          </cell>
          <cell r="F593" t="str">
            <v>26.06.2018</v>
          </cell>
          <cell r="G593">
            <v>10049350</v>
          </cell>
          <cell r="H593" t="str">
            <v>PRO016</v>
          </cell>
        </row>
        <row r="594">
          <cell r="E594">
            <v>4906553</v>
          </cell>
          <cell r="F594" t="str">
            <v>26.06.2018</v>
          </cell>
          <cell r="G594">
            <v>10049361</v>
          </cell>
          <cell r="H594" t="str">
            <v>PRO016</v>
          </cell>
        </row>
        <row r="595">
          <cell r="E595">
            <v>4906554</v>
          </cell>
          <cell r="F595" t="str">
            <v>06.06.2018</v>
          </cell>
          <cell r="G595">
            <v>10051396</v>
          </cell>
          <cell r="H595" t="str">
            <v>PRO013</v>
          </cell>
        </row>
        <row r="596">
          <cell r="E596">
            <v>4906562</v>
          </cell>
          <cell r="F596" t="str">
            <v>26.06.2018</v>
          </cell>
          <cell r="G596">
            <v>10049361</v>
          </cell>
          <cell r="H596" t="str">
            <v>PRO016</v>
          </cell>
        </row>
        <row r="597">
          <cell r="E597">
            <v>4906563</v>
          </cell>
          <cell r="F597" t="str">
            <v>26.06.2018</v>
          </cell>
          <cell r="G597">
            <v>10051386</v>
          </cell>
          <cell r="H597" t="str">
            <v>PRO016</v>
          </cell>
        </row>
        <row r="598">
          <cell r="E598">
            <v>4906571</v>
          </cell>
          <cell r="F598" t="str">
            <v>06.06.2018</v>
          </cell>
          <cell r="G598">
            <v>10049372</v>
          </cell>
          <cell r="H598" t="str">
            <v>PRO013</v>
          </cell>
        </row>
        <row r="599">
          <cell r="E599">
            <v>4906572</v>
          </cell>
          <cell r="F599" t="str">
            <v>26.06.2018</v>
          </cell>
          <cell r="G599">
            <v>10051769</v>
          </cell>
          <cell r="H599" t="str">
            <v>PRO019</v>
          </cell>
        </row>
        <row r="600">
          <cell r="E600">
            <v>4906572</v>
          </cell>
          <cell r="F600" t="str">
            <v>26.06.2018</v>
          </cell>
          <cell r="G600">
            <v>10051769</v>
          </cell>
          <cell r="H600" t="str">
            <v>PRO016</v>
          </cell>
        </row>
        <row r="601">
          <cell r="E601">
            <v>4906582</v>
          </cell>
          <cell r="F601" t="str">
            <v>06.06.2018</v>
          </cell>
          <cell r="G601">
            <v>10051778</v>
          </cell>
          <cell r="H601" t="str">
            <v>PRO016</v>
          </cell>
        </row>
        <row r="602">
          <cell r="E602">
            <v>4907398</v>
          </cell>
          <cell r="F602" t="str">
            <v>26.06.2018</v>
          </cell>
          <cell r="G602">
            <v>10049350</v>
          </cell>
          <cell r="H602" t="str">
            <v>PRO016</v>
          </cell>
        </row>
        <row r="603">
          <cell r="E603">
            <v>4907399</v>
          </cell>
          <cell r="F603" t="str">
            <v>09.06.2018</v>
          </cell>
          <cell r="G603">
            <v>10049350</v>
          </cell>
          <cell r="H603" t="str">
            <v>PRO006</v>
          </cell>
        </row>
        <row r="604">
          <cell r="E604">
            <v>4907420</v>
          </cell>
          <cell r="F604" t="str">
            <v>06.06.2018</v>
          </cell>
          <cell r="G604">
            <v>10051386</v>
          </cell>
          <cell r="H604" t="str">
            <v>PRO016</v>
          </cell>
        </row>
        <row r="605">
          <cell r="E605">
            <v>4907436</v>
          </cell>
          <cell r="F605" t="str">
            <v>23.06.2018</v>
          </cell>
          <cell r="G605">
            <v>10051778</v>
          </cell>
          <cell r="H605" t="str">
            <v>PRO006</v>
          </cell>
        </row>
        <row r="606">
          <cell r="E606">
            <v>4907441</v>
          </cell>
          <cell r="F606" t="str">
            <v>09.06.2018</v>
          </cell>
          <cell r="G606">
            <v>10049350</v>
          </cell>
          <cell r="H606" t="str">
            <v>PRO006</v>
          </cell>
        </row>
        <row r="607">
          <cell r="E607">
            <v>4907466</v>
          </cell>
          <cell r="F607" t="str">
            <v>06.06.2018</v>
          </cell>
          <cell r="G607">
            <v>10049372</v>
          </cell>
          <cell r="H607" t="str">
            <v>PRO016</v>
          </cell>
        </row>
        <row r="608">
          <cell r="E608">
            <v>4907477</v>
          </cell>
          <cell r="F608" t="str">
            <v>09.06.2018</v>
          </cell>
          <cell r="G608">
            <v>10051778</v>
          </cell>
          <cell r="H608" t="str">
            <v>PRO006</v>
          </cell>
        </row>
        <row r="609">
          <cell r="E609">
            <v>4907486</v>
          </cell>
          <cell r="F609" t="str">
            <v>26.06.2018</v>
          </cell>
          <cell r="G609">
            <v>10049372</v>
          </cell>
          <cell r="H609" t="str">
            <v>PRO016</v>
          </cell>
        </row>
        <row r="610">
          <cell r="E610">
            <v>4907512</v>
          </cell>
          <cell r="F610" t="str">
            <v>09.06.2018</v>
          </cell>
          <cell r="G610">
            <v>10051763</v>
          </cell>
          <cell r="H610" t="str">
            <v>PRO006</v>
          </cell>
        </row>
        <row r="611">
          <cell r="E611">
            <v>4907522</v>
          </cell>
          <cell r="F611" t="str">
            <v>26.06.2018</v>
          </cell>
          <cell r="G611">
            <v>10051778</v>
          </cell>
          <cell r="H611" t="str">
            <v>PRO016</v>
          </cell>
        </row>
        <row r="612">
          <cell r="E612">
            <v>4908271</v>
          </cell>
          <cell r="F612" t="str">
            <v>26.06.2018</v>
          </cell>
          <cell r="G612">
            <v>10049350</v>
          </cell>
          <cell r="H612" t="str">
            <v>PRO016</v>
          </cell>
        </row>
        <row r="613">
          <cell r="E613">
            <v>4908272</v>
          </cell>
          <cell r="F613" t="str">
            <v>14.06.2018</v>
          </cell>
          <cell r="G613">
            <v>10051763</v>
          </cell>
          <cell r="H613" t="str">
            <v>PRO006</v>
          </cell>
        </row>
        <row r="614">
          <cell r="E614">
            <v>4908273</v>
          </cell>
          <cell r="F614" t="str">
            <v>09.06.2018</v>
          </cell>
          <cell r="G614">
            <v>10051778</v>
          </cell>
          <cell r="H614" t="str">
            <v>PRO006</v>
          </cell>
        </row>
        <row r="615">
          <cell r="E615">
            <v>4908274</v>
          </cell>
          <cell r="F615" t="str">
            <v>14.06.2018</v>
          </cell>
          <cell r="G615">
            <v>10049372</v>
          </cell>
          <cell r="H615" t="str">
            <v>PRO006</v>
          </cell>
        </row>
        <row r="616">
          <cell r="E616">
            <v>4908275</v>
          </cell>
          <cell r="F616" t="str">
            <v>14.06.2018</v>
          </cell>
          <cell r="G616">
            <v>10049372</v>
          </cell>
          <cell r="H616" t="str">
            <v>PRO006</v>
          </cell>
        </row>
        <row r="617">
          <cell r="E617">
            <v>4908304</v>
          </cell>
          <cell r="F617" t="str">
            <v>09.06.2018</v>
          </cell>
          <cell r="G617">
            <v>10051763</v>
          </cell>
          <cell r="H617" t="str">
            <v>PRO006</v>
          </cell>
        </row>
        <row r="618">
          <cell r="E618">
            <v>4908307</v>
          </cell>
          <cell r="F618" t="str">
            <v>29.06.2018</v>
          </cell>
          <cell r="G618">
            <v>10049372</v>
          </cell>
          <cell r="H618" t="str">
            <v>PRO014</v>
          </cell>
        </row>
        <row r="619">
          <cell r="E619">
            <v>4908307</v>
          </cell>
          <cell r="F619" t="str">
            <v>29.06.2018</v>
          </cell>
          <cell r="G619">
            <v>10049372</v>
          </cell>
          <cell r="H619" t="str">
            <v>PRO006</v>
          </cell>
        </row>
        <row r="620">
          <cell r="E620">
            <v>4908312</v>
          </cell>
          <cell r="F620" t="str">
            <v>06.06.2018</v>
          </cell>
          <cell r="G620">
            <v>10051778</v>
          </cell>
          <cell r="H620" t="str">
            <v>PRO016</v>
          </cell>
        </row>
        <row r="621">
          <cell r="E621">
            <v>4908318</v>
          </cell>
          <cell r="F621" t="str">
            <v>26.06.2018</v>
          </cell>
          <cell r="G621">
            <v>10051778</v>
          </cell>
          <cell r="H621" t="str">
            <v>PRO016</v>
          </cell>
        </row>
        <row r="622">
          <cell r="E622">
            <v>4909461</v>
          </cell>
          <cell r="F622" t="str">
            <v>26.06.2018</v>
          </cell>
          <cell r="G622">
            <v>10051386</v>
          </cell>
          <cell r="H622" t="str">
            <v>PRO016</v>
          </cell>
        </row>
        <row r="623">
          <cell r="E623">
            <v>4909470</v>
          </cell>
          <cell r="F623" t="str">
            <v>26.06.2018</v>
          </cell>
          <cell r="G623">
            <v>10051396</v>
          </cell>
          <cell r="H623" t="str">
            <v>PRO016</v>
          </cell>
        </row>
        <row r="624">
          <cell r="E624">
            <v>4909473</v>
          </cell>
          <cell r="F624" t="str">
            <v>26.06.2018</v>
          </cell>
          <cell r="G624">
            <v>10051386</v>
          </cell>
          <cell r="H624" t="str">
            <v>PRO016</v>
          </cell>
        </row>
        <row r="625">
          <cell r="E625">
            <v>4909475</v>
          </cell>
          <cell r="F625" t="str">
            <v>26.06.2018</v>
          </cell>
          <cell r="G625">
            <v>10049372</v>
          </cell>
          <cell r="H625" t="str">
            <v>PRO016</v>
          </cell>
        </row>
        <row r="626">
          <cell r="E626">
            <v>4909479</v>
          </cell>
          <cell r="F626" t="str">
            <v>26.06.2018</v>
          </cell>
          <cell r="G626">
            <v>10051386</v>
          </cell>
          <cell r="H626" t="str">
            <v>PRO016</v>
          </cell>
        </row>
        <row r="627">
          <cell r="E627">
            <v>4909484</v>
          </cell>
          <cell r="F627" t="str">
            <v>14.06.2018</v>
          </cell>
          <cell r="G627">
            <v>10051443</v>
          </cell>
          <cell r="H627" t="str">
            <v>PRO006</v>
          </cell>
        </row>
        <row r="628">
          <cell r="E628">
            <v>4909512</v>
          </cell>
          <cell r="F628" t="str">
            <v>26.06.2018</v>
          </cell>
          <cell r="G628">
            <v>10051778</v>
          </cell>
          <cell r="H628" t="str">
            <v>PRO016</v>
          </cell>
        </row>
        <row r="629">
          <cell r="E629">
            <v>4909514</v>
          </cell>
          <cell r="F629" t="str">
            <v>26.06.2018</v>
          </cell>
          <cell r="G629">
            <v>10049372</v>
          </cell>
          <cell r="H629" t="str">
            <v>PRO016</v>
          </cell>
        </row>
        <row r="630">
          <cell r="E630">
            <v>4909514</v>
          </cell>
          <cell r="F630" t="str">
            <v>26.06.2018</v>
          </cell>
          <cell r="G630">
            <v>10049372</v>
          </cell>
          <cell r="H630" t="str">
            <v>PRO015</v>
          </cell>
        </row>
        <row r="631">
          <cell r="E631">
            <v>4910079</v>
          </cell>
          <cell r="F631" t="str">
            <v>26.06.2018</v>
          </cell>
          <cell r="G631">
            <v>10051443</v>
          </cell>
          <cell r="H631" t="str">
            <v>PRO016</v>
          </cell>
        </row>
        <row r="632">
          <cell r="E632">
            <v>4910081</v>
          </cell>
          <cell r="F632" t="str">
            <v>23.06.2018</v>
          </cell>
          <cell r="G632">
            <v>10049372</v>
          </cell>
          <cell r="H632" t="str">
            <v>PRO006</v>
          </cell>
        </row>
        <row r="633">
          <cell r="E633">
            <v>4910089</v>
          </cell>
          <cell r="F633" t="str">
            <v>23.06.2018</v>
          </cell>
          <cell r="G633">
            <v>10051769</v>
          </cell>
          <cell r="H633" t="str">
            <v>PRO006</v>
          </cell>
        </row>
        <row r="634">
          <cell r="E634">
            <v>4910090</v>
          </cell>
          <cell r="F634" t="str">
            <v>26.06.2018</v>
          </cell>
          <cell r="G634">
            <v>10051778</v>
          </cell>
          <cell r="H634" t="str">
            <v>PRO016</v>
          </cell>
        </row>
        <row r="635">
          <cell r="E635">
            <v>4910092</v>
          </cell>
          <cell r="F635" t="str">
            <v>26.06.2018</v>
          </cell>
          <cell r="G635">
            <v>10049372</v>
          </cell>
          <cell r="H635" t="str">
            <v>PRO016</v>
          </cell>
        </row>
        <row r="636">
          <cell r="E636">
            <v>4910102</v>
          </cell>
          <cell r="F636" t="str">
            <v>26.06.2018</v>
          </cell>
          <cell r="G636">
            <v>10049350</v>
          </cell>
          <cell r="H636" t="str">
            <v>PRO016</v>
          </cell>
        </row>
        <row r="637">
          <cell r="E637">
            <v>4910114</v>
          </cell>
          <cell r="F637" t="str">
            <v>26.06.2018</v>
          </cell>
          <cell r="G637">
            <v>10051396</v>
          </cell>
          <cell r="H637" t="str">
            <v>PRO016</v>
          </cell>
        </row>
        <row r="638">
          <cell r="E638">
            <v>4910129</v>
          </cell>
          <cell r="F638" t="str">
            <v>26.06.2018</v>
          </cell>
          <cell r="G638">
            <v>10049372</v>
          </cell>
          <cell r="H638" t="str">
            <v>PRO016</v>
          </cell>
        </row>
        <row r="639">
          <cell r="E639">
            <v>4910133</v>
          </cell>
          <cell r="F639" t="str">
            <v>26.06.2018</v>
          </cell>
          <cell r="G639">
            <v>10049361</v>
          </cell>
          <cell r="H639" t="str">
            <v>PRO016</v>
          </cell>
        </row>
        <row r="640">
          <cell r="E640">
            <v>4910141</v>
          </cell>
          <cell r="F640" t="str">
            <v>23.06.2018</v>
          </cell>
          <cell r="G640">
            <v>10049372</v>
          </cell>
          <cell r="H640" t="str">
            <v>PRO006</v>
          </cell>
        </row>
        <row r="641">
          <cell r="E641">
            <v>4910159</v>
          </cell>
          <cell r="F641" t="str">
            <v>26.06.2018</v>
          </cell>
          <cell r="G641">
            <v>10051778</v>
          </cell>
          <cell r="H641" t="str">
            <v>PRO016</v>
          </cell>
        </row>
        <row r="642">
          <cell r="E642">
            <v>4911211</v>
          </cell>
          <cell r="F642" t="str">
            <v>26.06.2018</v>
          </cell>
          <cell r="G642">
            <v>10049350</v>
          </cell>
          <cell r="H642" t="str">
            <v>PRO016</v>
          </cell>
        </row>
        <row r="643">
          <cell r="E643">
            <v>4911212</v>
          </cell>
          <cell r="F643" t="str">
            <v>26.06.2018</v>
          </cell>
          <cell r="G643">
            <v>10051386</v>
          </cell>
          <cell r="H643" t="str">
            <v>PRO016</v>
          </cell>
        </row>
        <row r="644">
          <cell r="E644">
            <v>4911240</v>
          </cell>
          <cell r="F644" t="str">
            <v>23.06.2018</v>
          </cell>
          <cell r="G644">
            <v>10049361</v>
          </cell>
          <cell r="H644" t="str">
            <v>PRO006</v>
          </cell>
        </row>
        <row r="645">
          <cell r="E645">
            <v>4911244</v>
          </cell>
          <cell r="F645" t="str">
            <v>23.06.2018</v>
          </cell>
          <cell r="G645">
            <v>10051443</v>
          </cell>
          <cell r="H645" t="str">
            <v>PRO006</v>
          </cell>
        </row>
        <row r="646">
          <cell r="E646">
            <v>4911247</v>
          </cell>
          <cell r="F646" t="str">
            <v>26.06.2018</v>
          </cell>
          <cell r="G646">
            <v>10049372</v>
          </cell>
          <cell r="H646" t="str">
            <v>PRO016</v>
          </cell>
        </row>
        <row r="647">
          <cell r="E647">
            <v>4911255</v>
          </cell>
          <cell r="F647" t="str">
            <v>26.06.2018</v>
          </cell>
          <cell r="G647">
            <v>10049372</v>
          </cell>
          <cell r="H647" t="str">
            <v>PRO016</v>
          </cell>
        </row>
        <row r="648">
          <cell r="E648">
            <v>4911260</v>
          </cell>
          <cell r="F648" t="str">
            <v>23.06.2018</v>
          </cell>
          <cell r="G648">
            <v>10049350</v>
          </cell>
          <cell r="H648" t="str">
            <v>PRO006</v>
          </cell>
        </row>
        <row r="649">
          <cell r="E649">
            <v>4911265</v>
          </cell>
          <cell r="F649" t="str">
            <v>23.06.2018</v>
          </cell>
          <cell r="G649">
            <v>10051778</v>
          </cell>
          <cell r="H649" t="str">
            <v>PRO006</v>
          </cell>
        </row>
        <row r="650">
          <cell r="E650">
            <v>4911274</v>
          </cell>
          <cell r="F650" t="str">
            <v>23.06.2018</v>
          </cell>
          <cell r="G650">
            <v>10051769</v>
          </cell>
          <cell r="H650" t="str">
            <v>PRO006</v>
          </cell>
        </row>
        <row r="651">
          <cell r="E651">
            <v>4911275</v>
          </cell>
          <cell r="F651" t="str">
            <v>26.06.2018</v>
          </cell>
          <cell r="G651">
            <v>10051778</v>
          </cell>
          <cell r="H651" t="str">
            <v>PRO016</v>
          </cell>
        </row>
        <row r="652">
          <cell r="E652">
            <v>4911282</v>
          </cell>
          <cell r="F652" t="str">
            <v>23.06.2018</v>
          </cell>
          <cell r="G652">
            <v>10049361</v>
          </cell>
          <cell r="H652" t="str">
            <v>PRO006</v>
          </cell>
        </row>
        <row r="653">
          <cell r="E653">
            <v>4911286</v>
          </cell>
          <cell r="F653" t="str">
            <v>23.06.2018</v>
          </cell>
          <cell r="G653">
            <v>10051778</v>
          </cell>
          <cell r="H653" t="str">
            <v>PRO006</v>
          </cell>
        </row>
        <row r="654">
          <cell r="E654">
            <v>4911289</v>
          </cell>
          <cell r="F654" t="str">
            <v>23.06.2018</v>
          </cell>
          <cell r="G654">
            <v>10051778</v>
          </cell>
          <cell r="H654" t="str">
            <v>PRO006</v>
          </cell>
        </row>
        <row r="655">
          <cell r="E655">
            <v>4912067</v>
          </cell>
          <cell r="F655" t="str">
            <v>23.06.2018</v>
          </cell>
          <cell r="G655">
            <v>10051443</v>
          </cell>
          <cell r="H655" t="str">
            <v>PRO006</v>
          </cell>
        </row>
        <row r="656">
          <cell r="E656">
            <v>4912100</v>
          </cell>
          <cell r="F656" t="str">
            <v>23.06.2018</v>
          </cell>
          <cell r="G656">
            <v>10051778</v>
          </cell>
          <cell r="H656" t="str">
            <v>PRO006</v>
          </cell>
        </row>
        <row r="657">
          <cell r="E657">
            <v>4912102</v>
          </cell>
          <cell r="F657" t="str">
            <v>29.06.2018</v>
          </cell>
          <cell r="G657">
            <v>10049361</v>
          </cell>
          <cell r="H657" t="str">
            <v>PRO006</v>
          </cell>
        </row>
        <row r="658">
          <cell r="E658">
            <v>4912103</v>
          </cell>
          <cell r="F658" t="str">
            <v>29.06.2018</v>
          </cell>
          <cell r="G658">
            <v>10051396</v>
          </cell>
          <cell r="H658" t="str">
            <v>PRO006</v>
          </cell>
        </row>
        <row r="659">
          <cell r="E659">
            <v>4912114</v>
          </cell>
          <cell r="F659" t="str">
            <v>23.06.2018</v>
          </cell>
          <cell r="G659">
            <v>10049372</v>
          </cell>
          <cell r="H659" t="str">
            <v>PRO006</v>
          </cell>
        </row>
        <row r="660">
          <cell r="E660">
            <v>4912117</v>
          </cell>
          <cell r="F660" t="str">
            <v>29.06.2018</v>
          </cell>
          <cell r="G660">
            <v>10051396</v>
          </cell>
          <cell r="H660" t="str">
            <v>PRO006</v>
          </cell>
        </row>
        <row r="661">
          <cell r="E661">
            <v>4912121</v>
          </cell>
          <cell r="F661" t="str">
            <v>29.06.2018</v>
          </cell>
          <cell r="G661">
            <v>10049372</v>
          </cell>
          <cell r="H661" t="str">
            <v>PRO006</v>
          </cell>
        </row>
        <row r="662">
          <cell r="E662">
            <v>4912126</v>
          </cell>
          <cell r="F662" t="str">
            <v>26.06.2018</v>
          </cell>
          <cell r="G662">
            <v>10051778</v>
          </cell>
          <cell r="H662" t="str">
            <v>PRO016</v>
          </cell>
        </row>
        <row r="663">
          <cell r="E663">
            <v>4912132</v>
          </cell>
          <cell r="F663" t="str">
            <v>26.06.2018</v>
          </cell>
          <cell r="G663">
            <v>10051778</v>
          </cell>
          <cell r="H663" t="str">
            <v>PRO016</v>
          </cell>
        </row>
        <row r="664">
          <cell r="E664">
            <v>4912140</v>
          </cell>
          <cell r="F664" t="str">
            <v>23.06.2018</v>
          </cell>
          <cell r="G664">
            <v>10051778</v>
          </cell>
          <cell r="H664" t="str">
            <v>PRO006</v>
          </cell>
        </row>
        <row r="665">
          <cell r="E665">
            <v>4913480</v>
          </cell>
          <cell r="F665" t="str">
            <v>29.06.2018</v>
          </cell>
          <cell r="G665">
            <v>10049350</v>
          </cell>
          <cell r="H665" t="str">
            <v>PRO006</v>
          </cell>
        </row>
        <row r="666">
          <cell r="E666">
            <v>4913481</v>
          </cell>
          <cell r="F666" t="str">
            <v>26.06.2018</v>
          </cell>
          <cell r="G666">
            <v>10051386</v>
          </cell>
          <cell r="H666" t="str">
            <v>PRO016</v>
          </cell>
        </row>
        <row r="667">
          <cell r="E667">
            <v>4913515</v>
          </cell>
          <cell r="F667" t="str">
            <v>26.06.2018</v>
          </cell>
          <cell r="G667">
            <v>10049372</v>
          </cell>
          <cell r="H667" t="str">
            <v>PRO016</v>
          </cell>
        </row>
        <row r="668">
          <cell r="E668">
            <v>4913532</v>
          </cell>
          <cell r="F668" t="str">
            <v>29.06.2018</v>
          </cell>
          <cell r="G668">
            <v>10051443</v>
          </cell>
          <cell r="H668" t="str">
            <v>PRO006</v>
          </cell>
        </row>
        <row r="669">
          <cell r="E669">
            <v>4913568</v>
          </cell>
          <cell r="F669" t="str">
            <v>29.06.2018</v>
          </cell>
          <cell r="G669">
            <v>10049372</v>
          </cell>
          <cell r="H669" t="str">
            <v>PRO006</v>
          </cell>
        </row>
        <row r="670">
          <cell r="E670">
            <v>4914446</v>
          </cell>
          <cell r="F670" t="str">
            <v>29.06.2018</v>
          </cell>
          <cell r="G670">
            <v>10049372</v>
          </cell>
          <cell r="H670" t="str">
            <v>PRO006</v>
          </cell>
        </row>
        <row r="671">
          <cell r="E671">
            <v>4914508</v>
          </cell>
          <cell r="F671" t="str">
            <v>03.07.2018</v>
          </cell>
          <cell r="G671">
            <v>10051778</v>
          </cell>
          <cell r="H671" t="str">
            <v>PRO016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05"/>
  <sheetViews>
    <sheetView tabSelected="1" topLeftCell="A55" workbookViewId="0">
      <selection activeCell="O79" sqref="O79"/>
    </sheetView>
  </sheetViews>
  <sheetFormatPr defaultRowHeight="15" x14ac:dyDescent="0.25"/>
  <cols>
    <col min="2" max="2" width="8.42578125" bestFit="1" customWidth="1"/>
    <col min="3" max="3" width="35.140625" bestFit="1" customWidth="1"/>
    <col min="4" max="4" width="7.85546875" bestFit="1" customWidth="1"/>
    <col min="5" max="5" width="10.140625" bestFit="1" customWidth="1"/>
    <col min="6" max="6" width="40.140625" bestFit="1" customWidth="1"/>
    <col min="7" max="7" width="19.28515625" bestFit="1" customWidth="1"/>
    <col min="8" max="8" width="18.140625" bestFit="1" customWidth="1"/>
    <col min="9" max="9" width="8" bestFit="1" customWidth="1"/>
    <col min="10" max="10" width="9.85546875" bestFit="1" customWidth="1"/>
    <col min="11" max="11" width="31.85546875" style="1" bestFit="1" customWidth="1"/>
  </cols>
  <sheetData>
    <row r="1" spans="1:11" x14ac:dyDescent="0.25">
      <c r="A1" t="s">
        <v>0</v>
      </c>
    </row>
    <row r="4" spans="1:11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s="1" t="s">
        <v>417</v>
      </c>
    </row>
    <row r="5" spans="1:11" x14ac:dyDescent="0.25">
      <c r="B5">
        <v>610000004021</v>
      </c>
      <c r="C5" t="s">
        <v>10</v>
      </c>
      <c r="D5">
        <v>94</v>
      </c>
      <c r="E5" t="s">
        <v>11</v>
      </c>
      <c r="F5" t="s">
        <v>12</v>
      </c>
      <c r="G5" t="s">
        <v>13</v>
      </c>
      <c r="H5" t="s">
        <v>14</v>
      </c>
      <c r="I5">
        <v>4864318</v>
      </c>
      <c r="J5" t="s">
        <v>15</v>
      </c>
      <c r="K5" s="1" t="str">
        <f>VLOOKUP(I5,'[1]PC50 Y2018 Status'!$D:$H,5,FALSE)</f>
        <v>CLSD PCNF NMAT PRC  SETC</v>
      </c>
    </row>
    <row r="6" spans="1:11" x14ac:dyDescent="0.25">
      <c r="B6">
        <v>610000004031</v>
      </c>
      <c r="C6" t="s">
        <v>16</v>
      </c>
      <c r="D6">
        <v>93</v>
      </c>
      <c r="E6" t="s">
        <v>11</v>
      </c>
      <c r="F6" t="s">
        <v>12</v>
      </c>
      <c r="G6" t="s">
        <v>13</v>
      </c>
      <c r="H6" t="s">
        <v>14</v>
      </c>
      <c r="I6">
        <v>4864392</v>
      </c>
      <c r="J6" t="s">
        <v>15</v>
      </c>
      <c r="K6" s="1" t="str">
        <f>VLOOKUP(I6,'[1]PC50 Y2018 Status'!$D:$H,5,FALSE)</f>
        <v>CLSD PCNF NMAT PRC  SETC</v>
      </c>
    </row>
    <row r="7" spans="1:11" x14ac:dyDescent="0.25">
      <c r="B7">
        <v>610000004051</v>
      </c>
      <c r="C7" t="s">
        <v>17</v>
      </c>
      <c r="D7">
        <v>94</v>
      </c>
      <c r="E7" t="s">
        <v>11</v>
      </c>
      <c r="F7" t="s">
        <v>12</v>
      </c>
      <c r="G7" t="s">
        <v>13</v>
      </c>
      <c r="H7" t="s">
        <v>14</v>
      </c>
      <c r="I7">
        <v>4864303</v>
      </c>
      <c r="J7" t="s">
        <v>15</v>
      </c>
      <c r="K7" s="1" t="str">
        <f>VLOOKUP(I7,'[1]PC50 Y2018 Status'!$D:$H,5,FALSE)</f>
        <v>CLSD PCNF NMAT PRC  SETC</v>
      </c>
    </row>
    <row r="8" spans="1:11" x14ac:dyDescent="0.25">
      <c r="B8">
        <v>342258</v>
      </c>
      <c r="C8" t="s">
        <v>18</v>
      </c>
      <c r="D8">
        <v>77</v>
      </c>
      <c r="E8" t="s">
        <v>19</v>
      </c>
      <c r="F8" t="s">
        <v>12</v>
      </c>
      <c r="G8" t="s">
        <v>13</v>
      </c>
      <c r="H8" t="s">
        <v>14</v>
      </c>
      <c r="I8">
        <v>4864363</v>
      </c>
      <c r="J8" t="s">
        <v>15</v>
      </c>
      <c r="K8" s="1" t="str">
        <f>VLOOKUP(I8,'[1]PC50 Y2018 Status'!$D:$H,5,FALSE)</f>
        <v>CLSD PCNF NMAT PRC  SETC</v>
      </c>
    </row>
    <row r="9" spans="1:11" x14ac:dyDescent="0.25">
      <c r="B9">
        <v>342699</v>
      </c>
      <c r="C9" t="s">
        <v>20</v>
      </c>
      <c r="D9">
        <v>3</v>
      </c>
      <c r="E9" t="s">
        <v>21</v>
      </c>
      <c r="F9" t="s">
        <v>12</v>
      </c>
      <c r="G9" t="s">
        <v>13</v>
      </c>
      <c r="H9" t="s">
        <v>14</v>
      </c>
      <c r="I9">
        <v>4857888</v>
      </c>
      <c r="J9" t="s">
        <v>22</v>
      </c>
      <c r="K9" s="1" t="str">
        <f>VLOOKUP(I9,'[1]PC50 Y2018 Status'!$D:$H,5,FALSE)</f>
        <v>TECO PCNF NMAT PRC  SETC</v>
      </c>
    </row>
    <row r="10" spans="1:11" x14ac:dyDescent="0.25">
      <c r="B10">
        <v>343826</v>
      </c>
      <c r="C10" t="s">
        <v>23</v>
      </c>
      <c r="D10">
        <v>4</v>
      </c>
      <c r="E10" t="s">
        <v>21</v>
      </c>
      <c r="F10" t="s">
        <v>12</v>
      </c>
      <c r="G10" t="s">
        <v>13</v>
      </c>
      <c r="H10" t="s">
        <v>14</v>
      </c>
      <c r="I10">
        <v>4860404</v>
      </c>
      <c r="J10" t="s">
        <v>22</v>
      </c>
      <c r="K10" s="1" t="str">
        <f>VLOOKUP(I10,'[1]PC50 Y2018 Status'!$D:$H,5,FALSE)</f>
        <v>TECO PCNF NMAT PRC  SETC</v>
      </c>
    </row>
    <row r="11" spans="1:11" x14ac:dyDescent="0.25">
      <c r="B11">
        <v>610000004068</v>
      </c>
      <c r="C11" t="s">
        <v>24</v>
      </c>
      <c r="D11">
        <v>190</v>
      </c>
      <c r="E11" t="s">
        <v>21</v>
      </c>
      <c r="F11" t="s">
        <v>12</v>
      </c>
      <c r="G11" t="s">
        <v>13</v>
      </c>
      <c r="H11" t="s">
        <v>14</v>
      </c>
      <c r="I11">
        <v>4865531</v>
      </c>
      <c r="J11" t="s">
        <v>15</v>
      </c>
      <c r="K11" s="1" t="str">
        <f>VLOOKUP(I11,'[1]PC50 Y2018 Status'!$D:$H,5,FALSE)</f>
        <v>TECO PCNF NMAT PRC  SETC</v>
      </c>
    </row>
    <row r="12" spans="1:11" x14ac:dyDescent="0.25">
      <c r="B12">
        <v>342257</v>
      </c>
      <c r="C12" t="s">
        <v>25</v>
      </c>
      <c r="D12">
        <v>155</v>
      </c>
      <c r="E12" t="s">
        <v>26</v>
      </c>
      <c r="F12" t="s">
        <v>12</v>
      </c>
      <c r="G12" t="s">
        <v>13</v>
      </c>
      <c r="H12" t="s">
        <v>14</v>
      </c>
      <c r="I12">
        <v>4865557</v>
      </c>
      <c r="J12" t="s">
        <v>15</v>
      </c>
      <c r="K12" s="1" t="str">
        <f>VLOOKUP(I12,'[1]PC50 Y2018 Status'!$D:$H,5,FALSE)</f>
        <v>TECO PCNF NMAT PRC  SETC</v>
      </c>
    </row>
    <row r="13" spans="1:11" x14ac:dyDescent="0.25">
      <c r="B13">
        <v>347637</v>
      </c>
      <c r="C13" t="s">
        <v>27</v>
      </c>
      <c r="D13">
        <v>13</v>
      </c>
      <c r="E13" t="s">
        <v>26</v>
      </c>
      <c r="F13" t="s">
        <v>12</v>
      </c>
      <c r="G13" t="s">
        <v>13</v>
      </c>
      <c r="H13" t="s">
        <v>14</v>
      </c>
      <c r="I13">
        <v>4866049</v>
      </c>
      <c r="J13" t="s">
        <v>15</v>
      </c>
      <c r="K13" s="1" t="str">
        <f>VLOOKUP(I13,'[1]PC50 Y2018 Status'!$D:$H,5,FALSE)</f>
        <v>TECO PCNF NMAT PRC  SETC</v>
      </c>
    </row>
    <row r="14" spans="1:11" x14ac:dyDescent="0.25">
      <c r="B14">
        <v>347638</v>
      </c>
      <c r="C14" t="s">
        <v>16</v>
      </c>
      <c r="D14">
        <v>7</v>
      </c>
      <c r="E14" t="s">
        <v>26</v>
      </c>
      <c r="F14" t="s">
        <v>12</v>
      </c>
      <c r="G14" t="s">
        <v>13</v>
      </c>
      <c r="H14" t="s">
        <v>14</v>
      </c>
      <c r="I14">
        <v>4864872</v>
      </c>
      <c r="J14" t="s">
        <v>15</v>
      </c>
      <c r="K14" s="1" t="str">
        <f>VLOOKUP(I14,'[1]PC50 Y2018 Status'!$D:$H,5,FALSE)</f>
        <v>TECO PCNF NMAT PRC  SETC</v>
      </c>
    </row>
    <row r="15" spans="1:11" x14ac:dyDescent="0.25">
      <c r="B15">
        <v>347716</v>
      </c>
      <c r="C15" t="s">
        <v>28</v>
      </c>
      <c r="D15">
        <v>3</v>
      </c>
      <c r="E15" t="s">
        <v>29</v>
      </c>
      <c r="F15" t="s">
        <v>12</v>
      </c>
      <c r="G15" t="s">
        <v>13</v>
      </c>
      <c r="H15" t="s">
        <v>14</v>
      </c>
      <c r="I15">
        <v>4864866</v>
      </c>
      <c r="J15" t="s">
        <v>22</v>
      </c>
      <c r="K15" s="1" t="str">
        <f>VLOOKUP(I15,'[1]PC50 Y2018 Status'!$D:$H,5,FALSE)</f>
        <v>TECO PCNF NMAT PRC  SETC</v>
      </c>
    </row>
    <row r="16" spans="1:11" x14ac:dyDescent="0.25">
      <c r="B16">
        <v>347741</v>
      </c>
      <c r="C16" t="s">
        <v>28</v>
      </c>
      <c r="D16">
        <v>3</v>
      </c>
      <c r="E16" t="s">
        <v>29</v>
      </c>
      <c r="F16" t="s">
        <v>12</v>
      </c>
      <c r="G16" t="s">
        <v>13</v>
      </c>
      <c r="H16" t="s">
        <v>14</v>
      </c>
      <c r="I16">
        <v>4864873</v>
      </c>
      <c r="J16" t="s">
        <v>22</v>
      </c>
      <c r="K16" s="1" t="str">
        <f>VLOOKUP(I16,'[1]PC50 Y2018 Status'!$D:$H,5,FALSE)</f>
        <v>TECO PCNF NMAT PRC  SETC</v>
      </c>
    </row>
    <row r="17" spans="2:11" x14ac:dyDescent="0.25">
      <c r="B17">
        <v>610000004023</v>
      </c>
      <c r="C17" t="s">
        <v>30</v>
      </c>
      <c r="D17">
        <v>11</v>
      </c>
      <c r="E17" t="s">
        <v>29</v>
      </c>
      <c r="F17" t="s">
        <v>12</v>
      </c>
      <c r="G17" t="s">
        <v>13</v>
      </c>
      <c r="H17" t="s">
        <v>14</v>
      </c>
      <c r="I17">
        <v>4859491</v>
      </c>
      <c r="J17" t="s">
        <v>15</v>
      </c>
      <c r="K17" s="1" t="str">
        <f>VLOOKUP(I17,'[1]PC50 Y2018 Status'!$D:$H,5,FALSE)</f>
        <v>TECO PCNF NMAT PRC  SETC</v>
      </c>
    </row>
    <row r="18" spans="2:11" x14ac:dyDescent="0.25">
      <c r="B18">
        <v>610000004165</v>
      </c>
      <c r="C18" t="s">
        <v>31</v>
      </c>
      <c r="D18">
        <v>24</v>
      </c>
      <c r="E18" t="s">
        <v>29</v>
      </c>
      <c r="F18" t="s">
        <v>12</v>
      </c>
      <c r="G18" t="s">
        <v>13</v>
      </c>
      <c r="H18" t="s">
        <v>14</v>
      </c>
      <c r="I18">
        <v>4865528</v>
      </c>
      <c r="J18" t="s">
        <v>22</v>
      </c>
      <c r="K18" s="1" t="str">
        <f>VLOOKUP(I18,'[1]PC50 Y2018 Status'!$D:$H,5,FALSE)</f>
        <v>TECO PCNF NMAT PRC  SETC</v>
      </c>
    </row>
    <row r="19" spans="2:11" x14ac:dyDescent="0.25">
      <c r="B19">
        <v>610000004166</v>
      </c>
      <c r="C19" t="s">
        <v>31</v>
      </c>
      <c r="D19">
        <v>24</v>
      </c>
      <c r="E19" t="s">
        <v>29</v>
      </c>
      <c r="F19" t="s">
        <v>12</v>
      </c>
      <c r="G19" t="s">
        <v>13</v>
      </c>
      <c r="H19" t="s">
        <v>14</v>
      </c>
      <c r="I19">
        <v>4865529</v>
      </c>
      <c r="J19" t="s">
        <v>22</v>
      </c>
      <c r="K19" s="1" t="str">
        <f>VLOOKUP(I19,'[1]PC50 Y2018 Status'!$D:$H,5,FALSE)</f>
        <v>TECO PCNF NMAT PRC  SETC</v>
      </c>
    </row>
    <row r="20" spans="2:11" x14ac:dyDescent="0.25">
      <c r="B20">
        <v>347639</v>
      </c>
      <c r="C20" t="s">
        <v>32</v>
      </c>
      <c r="D20">
        <v>4</v>
      </c>
      <c r="E20" t="s">
        <v>33</v>
      </c>
      <c r="F20" t="s">
        <v>12</v>
      </c>
      <c r="G20" t="s">
        <v>13</v>
      </c>
      <c r="H20" t="s">
        <v>14</v>
      </c>
      <c r="I20">
        <v>4865608</v>
      </c>
      <c r="J20" t="s">
        <v>15</v>
      </c>
      <c r="K20" s="1" t="str">
        <f>VLOOKUP(I20,'[1]PC50 Y2018 Status'!$D:$H,5,FALSE)</f>
        <v>TECO PCNF NMAT PRC  SETC</v>
      </c>
    </row>
    <row r="21" spans="2:11" x14ac:dyDescent="0.25">
      <c r="B21">
        <v>610000004175</v>
      </c>
      <c r="C21" t="s">
        <v>34</v>
      </c>
      <c r="D21">
        <v>94</v>
      </c>
      <c r="E21" t="s">
        <v>33</v>
      </c>
      <c r="F21" t="s">
        <v>12</v>
      </c>
      <c r="G21" t="s">
        <v>13</v>
      </c>
      <c r="H21" t="s">
        <v>14</v>
      </c>
      <c r="I21">
        <v>4865575</v>
      </c>
      <c r="J21" t="s">
        <v>22</v>
      </c>
      <c r="K21" s="1" t="str">
        <f>VLOOKUP(I21,'[1]PC50 Y2018 Status'!$D:$H,5,FALSE)</f>
        <v>TECO PCNF NMAT PRC  SETC</v>
      </c>
    </row>
    <row r="22" spans="2:11" x14ac:dyDescent="0.25">
      <c r="B22">
        <v>610000004069</v>
      </c>
      <c r="C22" t="s">
        <v>35</v>
      </c>
      <c r="D22">
        <v>95</v>
      </c>
      <c r="E22" t="s">
        <v>36</v>
      </c>
      <c r="F22" t="s">
        <v>12</v>
      </c>
      <c r="G22" t="s">
        <v>13</v>
      </c>
      <c r="H22" t="s">
        <v>14</v>
      </c>
      <c r="I22">
        <v>4865554</v>
      </c>
      <c r="J22" t="s">
        <v>15</v>
      </c>
      <c r="K22" s="1" t="str">
        <f>VLOOKUP(I22,'[1]PC50 Y2018 Status'!$D:$H,5,FALSE)</f>
        <v>TECO PCNF NMAT PRC  SETC</v>
      </c>
    </row>
    <row r="23" spans="2:11" x14ac:dyDescent="0.25">
      <c r="B23">
        <v>610000004070</v>
      </c>
      <c r="C23" t="s">
        <v>35</v>
      </c>
      <c r="D23">
        <v>95</v>
      </c>
      <c r="E23" t="s">
        <v>36</v>
      </c>
      <c r="F23" t="s">
        <v>12</v>
      </c>
      <c r="G23" t="s">
        <v>13</v>
      </c>
      <c r="H23" t="s">
        <v>14</v>
      </c>
      <c r="I23">
        <v>4865561</v>
      </c>
      <c r="J23" t="s">
        <v>15</v>
      </c>
      <c r="K23" s="1" t="str">
        <f>VLOOKUP(I23,'[1]PC50 Y2018 Status'!$D:$H,5,FALSE)</f>
        <v>TECO PCNF NMAT PRC  SETC</v>
      </c>
    </row>
    <row r="24" spans="2:11" x14ac:dyDescent="0.25">
      <c r="B24">
        <v>610000004177</v>
      </c>
      <c r="C24" t="s">
        <v>37</v>
      </c>
      <c r="D24">
        <v>46</v>
      </c>
      <c r="E24" t="s">
        <v>36</v>
      </c>
      <c r="F24" t="s">
        <v>12</v>
      </c>
      <c r="G24" t="s">
        <v>13</v>
      </c>
      <c r="H24" t="s">
        <v>14</v>
      </c>
      <c r="I24">
        <v>4865552</v>
      </c>
      <c r="J24" t="s">
        <v>22</v>
      </c>
      <c r="K24" s="1" t="str">
        <f>VLOOKUP(I24,'[1]PC50 Y2018 Status'!$D:$H,5,FALSE)</f>
        <v>TECO PCNF NMAT PRC  SETC</v>
      </c>
    </row>
    <row r="25" spans="2:11" x14ac:dyDescent="0.25">
      <c r="B25">
        <v>342730</v>
      </c>
      <c r="C25" t="s">
        <v>23</v>
      </c>
      <c r="D25">
        <v>2</v>
      </c>
      <c r="E25" t="s">
        <v>38</v>
      </c>
      <c r="F25" t="s">
        <v>12</v>
      </c>
      <c r="G25" t="s">
        <v>13</v>
      </c>
      <c r="H25" t="s">
        <v>14</v>
      </c>
      <c r="I25">
        <v>4862223</v>
      </c>
      <c r="J25" t="s">
        <v>22</v>
      </c>
      <c r="K25" s="1" t="str">
        <f>VLOOKUP(I25,'[1]PC50 Y2018 Status'!$D:$H,5,FALSE)</f>
        <v>TECO PCNF NMAT PRC  SETC</v>
      </c>
    </row>
    <row r="26" spans="2:11" x14ac:dyDescent="0.25">
      <c r="B26">
        <v>610000004068</v>
      </c>
      <c r="C26" t="s">
        <v>24</v>
      </c>
      <c r="D26">
        <v>191</v>
      </c>
      <c r="E26" t="s">
        <v>38</v>
      </c>
      <c r="F26" t="s">
        <v>12</v>
      </c>
      <c r="G26" t="s">
        <v>13</v>
      </c>
      <c r="H26" t="s">
        <v>14</v>
      </c>
      <c r="I26">
        <v>4866823</v>
      </c>
      <c r="J26" t="s">
        <v>15</v>
      </c>
      <c r="K26" s="1" t="str">
        <f>VLOOKUP(I26,'[1]PC50 Y2018 Status'!$D:$H,5,FALSE)</f>
        <v>TECO PCNF NMAT PRC  SETC</v>
      </c>
    </row>
    <row r="27" spans="2:11" x14ac:dyDescent="0.25">
      <c r="B27">
        <v>610000004077</v>
      </c>
      <c r="C27" t="s">
        <v>39</v>
      </c>
      <c r="D27">
        <v>95</v>
      </c>
      <c r="E27" t="s">
        <v>38</v>
      </c>
      <c r="F27" t="s">
        <v>12</v>
      </c>
      <c r="G27" t="s">
        <v>13</v>
      </c>
      <c r="H27" t="s">
        <v>14</v>
      </c>
      <c r="I27">
        <v>4865995</v>
      </c>
      <c r="J27" t="s">
        <v>15</v>
      </c>
      <c r="K27" s="1" t="str">
        <f>VLOOKUP(I27,'[1]PC50 Y2018 Status'!$D:$H,5,FALSE)</f>
        <v>TECO PCNF NMAT PRC  SETC</v>
      </c>
    </row>
    <row r="28" spans="2:11" x14ac:dyDescent="0.25">
      <c r="B28">
        <v>610000004085</v>
      </c>
      <c r="C28" t="s">
        <v>18</v>
      </c>
      <c r="D28">
        <v>95</v>
      </c>
      <c r="E28" t="s">
        <v>38</v>
      </c>
      <c r="F28" t="s">
        <v>12</v>
      </c>
      <c r="G28" t="s">
        <v>13</v>
      </c>
      <c r="H28" t="s">
        <v>14</v>
      </c>
      <c r="I28">
        <v>4865969</v>
      </c>
      <c r="J28" t="s">
        <v>15</v>
      </c>
      <c r="K28" s="1" t="str">
        <f>VLOOKUP(I28,'[1]PC50 Y2018 Status'!$D:$H,5,FALSE)</f>
        <v>TECO PCNF NMAT PRC  SETC</v>
      </c>
    </row>
    <row r="29" spans="2:11" x14ac:dyDescent="0.25">
      <c r="B29">
        <v>610000004086</v>
      </c>
      <c r="C29" t="s">
        <v>18</v>
      </c>
      <c r="D29">
        <v>95</v>
      </c>
      <c r="E29" t="s">
        <v>38</v>
      </c>
      <c r="F29" t="s">
        <v>12</v>
      </c>
      <c r="G29" t="s">
        <v>13</v>
      </c>
      <c r="H29" t="s">
        <v>14</v>
      </c>
      <c r="I29">
        <v>4866024</v>
      </c>
      <c r="J29" t="s">
        <v>15</v>
      </c>
      <c r="K29" s="1" t="str">
        <f>VLOOKUP(I29,'[1]PC50 Y2018 Status'!$D:$H,5,FALSE)</f>
        <v>TECO PCNF NMAT PRC  SETC</v>
      </c>
    </row>
    <row r="30" spans="2:11" x14ac:dyDescent="0.25">
      <c r="B30">
        <v>610000004095</v>
      </c>
      <c r="C30" t="s">
        <v>40</v>
      </c>
      <c r="D30">
        <v>46</v>
      </c>
      <c r="E30" t="s">
        <v>38</v>
      </c>
      <c r="F30" t="s">
        <v>12</v>
      </c>
      <c r="G30" t="s">
        <v>13</v>
      </c>
      <c r="H30" t="s">
        <v>14</v>
      </c>
      <c r="I30">
        <v>4865564</v>
      </c>
      <c r="J30" t="s">
        <v>22</v>
      </c>
      <c r="K30" s="1" t="str">
        <f>VLOOKUP(I30,'[1]PC50 Y2018 Status'!$D:$H,5,FALSE)</f>
        <v>TECO PCNF NMAT PRC  SETC</v>
      </c>
    </row>
    <row r="31" spans="2:11" x14ac:dyDescent="0.25">
      <c r="B31">
        <v>610000004146</v>
      </c>
      <c r="C31" t="s">
        <v>41</v>
      </c>
      <c r="D31">
        <v>15</v>
      </c>
      <c r="E31" t="s">
        <v>38</v>
      </c>
      <c r="F31" t="s">
        <v>12</v>
      </c>
      <c r="G31" t="s">
        <v>13</v>
      </c>
      <c r="H31" t="s">
        <v>14</v>
      </c>
      <c r="I31">
        <v>4865551</v>
      </c>
      <c r="J31" t="s">
        <v>22</v>
      </c>
      <c r="K31" s="1" t="str">
        <f>VLOOKUP(I31,'[1]PC50 Y2018 Status'!$D:$H,5,FALSE)</f>
        <v>TECO PCNF NMAT PRC  SETC</v>
      </c>
    </row>
    <row r="32" spans="2:11" x14ac:dyDescent="0.25">
      <c r="B32">
        <v>610000004156</v>
      </c>
      <c r="C32" t="s">
        <v>42</v>
      </c>
      <c r="D32">
        <v>15</v>
      </c>
      <c r="E32" t="s">
        <v>38</v>
      </c>
      <c r="F32" t="s">
        <v>12</v>
      </c>
      <c r="G32" t="s">
        <v>13</v>
      </c>
      <c r="H32" t="s">
        <v>14</v>
      </c>
      <c r="I32">
        <v>4865565</v>
      </c>
      <c r="J32" t="s">
        <v>22</v>
      </c>
      <c r="K32" s="1" t="str">
        <f>VLOOKUP(I32,'[1]PC50 Y2018 Status'!$D:$H,5,FALSE)</f>
        <v>TECO PCNF NMAT PRC  SETC</v>
      </c>
    </row>
    <row r="33" spans="2:11" x14ac:dyDescent="0.25">
      <c r="B33">
        <v>610000004163</v>
      </c>
      <c r="C33" t="s">
        <v>43</v>
      </c>
      <c r="D33">
        <v>46</v>
      </c>
      <c r="E33" t="s">
        <v>38</v>
      </c>
      <c r="F33" t="s">
        <v>12</v>
      </c>
      <c r="G33" t="s">
        <v>13</v>
      </c>
      <c r="H33" t="s">
        <v>14</v>
      </c>
      <c r="I33">
        <v>4865566</v>
      </c>
      <c r="J33" t="s">
        <v>22</v>
      </c>
      <c r="K33" s="1" t="str">
        <f>VLOOKUP(I33,'[1]PC50 Y2018 Status'!$D:$H,5,FALSE)</f>
        <v>TECO PCNF NMAT PRC  SETC</v>
      </c>
    </row>
    <row r="34" spans="2:11" x14ac:dyDescent="0.25">
      <c r="B34">
        <v>610000004025</v>
      </c>
      <c r="C34" t="s">
        <v>44</v>
      </c>
      <c r="D34">
        <v>94</v>
      </c>
      <c r="E34" t="s">
        <v>45</v>
      </c>
      <c r="F34" t="s">
        <v>12</v>
      </c>
      <c r="G34" t="s">
        <v>13</v>
      </c>
      <c r="H34" t="s">
        <v>14</v>
      </c>
      <c r="I34">
        <v>4865964</v>
      </c>
      <c r="J34" t="s">
        <v>15</v>
      </c>
      <c r="K34" s="1" t="str">
        <f>VLOOKUP(I34,'[1]PC50 Y2018 Status'!$D:$H,5,FALSE)</f>
        <v>TECO PCNF NMAT PRC  SETC</v>
      </c>
    </row>
    <row r="35" spans="2:11" x14ac:dyDescent="0.25">
      <c r="B35">
        <v>610000004052</v>
      </c>
      <c r="C35" t="s">
        <v>46</v>
      </c>
      <c r="D35">
        <v>44</v>
      </c>
      <c r="E35" t="s">
        <v>45</v>
      </c>
      <c r="F35" t="s">
        <v>12</v>
      </c>
      <c r="G35" t="s">
        <v>13</v>
      </c>
      <c r="H35" t="s">
        <v>14</v>
      </c>
      <c r="I35">
        <v>4866004</v>
      </c>
      <c r="J35" t="s">
        <v>15</v>
      </c>
      <c r="K35" s="1" t="str">
        <f>VLOOKUP(I35,'[1]PC50 Y2018 Status'!$D:$H,5,FALSE)</f>
        <v>TECO PCNF NMAT PRC  SETC</v>
      </c>
    </row>
    <row r="36" spans="2:11" x14ac:dyDescent="0.25">
      <c r="B36">
        <v>610000004091</v>
      </c>
      <c r="C36" t="s">
        <v>47</v>
      </c>
      <c r="D36">
        <v>94</v>
      </c>
      <c r="E36" t="s">
        <v>45</v>
      </c>
      <c r="F36" t="s">
        <v>12</v>
      </c>
      <c r="G36" t="s">
        <v>13</v>
      </c>
      <c r="H36" t="s">
        <v>14</v>
      </c>
      <c r="I36">
        <v>4865948</v>
      </c>
      <c r="J36" t="s">
        <v>15</v>
      </c>
      <c r="K36" s="1" t="str">
        <f>VLOOKUP(I36,'[1]PC50 Y2018 Status'!$D:$H,5,FALSE)</f>
        <v>TECO PCNF NMAT PRC  SETC</v>
      </c>
    </row>
    <row r="37" spans="2:11" x14ac:dyDescent="0.25">
      <c r="B37">
        <v>610000004161</v>
      </c>
      <c r="C37" t="s">
        <v>48</v>
      </c>
      <c r="D37">
        <v>96</v>
      </c>
      <c r="E37" t="s">
        <v>45</v>
      </c>
      <c r="F37" t="s">
        <v>12</v>
      </c>
      <c r="G37" t="s">
        <v>13</v>
      </c>
      <c r="H37" t="s">
        <v>14</v>
      </c>
      <c r="I37">
        <v>4865949</v>
      </c>
      <c r="J37" t="s">
        <v>22</v>
      </c>
      <c r="K37" s="1" t="str">
        <f>VLOOKUP(I37,'[1]PC50 Y2018 Status'!$D:$H,5,FALSE)</f>
        <v>TECO PCNF NMAT PRC  SETC</v>
      </c>
    </row>
    <row r="38" spans="2:11" x14ac:dyDescent="0.25">
      <c r="B38">
        <v>342257</v>
      </c>
      <c r="C38" t="s">
        <v>25</v>
      </c>
      <c r="D38">
        <v>156</v>
      </c>
      <c r="E38" t="s">
        <v>49</v>
      </c>
      <c r="F38" t="s">
        <v>12</v>
      </c>
      <c r="G38" t="s">
        <v>13</v>
      </c>
      <c r="H38" t="s">
        <v>14</v>
      </c>
      <c r="I38">
        <v>4866837</v>
      </c>
      <c r="J38" t="s">
        <v>15</v>
      </c>
      <c r="K38" s="1" t="str">
        <f>VLOOKUP(I38,'[1]PC50 Y2018 Status'!$D:$H,5,FALSE)</f>
        <v>TECO PCNF NMAT PRC  SETC</v>
      </c>
    </row>
    <row r="39" spans="2:11" x14ac:dyDescent="0.25">
      <c r="B39">
        <v>347637</v>
      </c>
      <c r="C39" t="s">
        <v>27</v>
      </c>
      <c r="D39">
        <v>14</v>
      </c>
      <c r="E39" t="s">
        <v>49</v>
      </c>
      <c r="F39" t="s">
        <v>12</v>
      </c>
      <c r="G39" t="s">
        <v>13</v>
      </c>
      <c r="H39" t="s">
        <v>14</v>
      </c>
      <c r="I39">
        <v>4867670</v>
      </c>
      <c r="J39" t="s">
        <v>15</v>
      </c>
      <c r="K39" s="1" t="str">
        <f>VLOOKUP(I39,'[1]PC50 Y2018 Status'!$D:$H,5,FALSE)</f>
        <v>TECO PCNF NMAT PRC  SETC</v>
      </c>
    </row>
    <row r="40" spans="2:11" x14ac:dyDescent="0.25">
      <c r="B40">
        <v>610000004050</v>
      </c>
      <c r="C40" t="s">
        <v>17</v>
      </c>
      <c r="D40">
        <v>95</v>
      </c>
      <c r="E40" t="s">
        <v>50</v>
      </c>
      <c r="F40" t="s">
        <v>12</v>
      </c>
      <c r="G40" t="s">
        <v>13</v>
      </c>
      <c r="H40" t="s">
        <v>14</v>
      </c>
      <c r="I40">
        <v>4865982</v>
      </c>
      <c r="J40" t="s">
        <v>15</v>
      </c>
      <c r="K40" s="1" t="str">
        <f>VLOOKUP(I40,'[1]PC50 Y2018 Status'!$D:$H,5,FALSE)</f>
        <v>TECO PCNF NMAT PRC  SETC</v>
      </c>
    </row>
    <row r="41" spans="2:11" x14ac:dyDescent="0.25">
      <c r="B41">
        <v>610000004101</v>
      </c>
      <c r="C41" t="s">
        <v>51</v>
      </c>
      <c r="D41">
        <v>56</v>
      </c>
      <c r="E41" t="s">
        <v>52</v>
      </c>
      <c r="F41" t="s">
        <v>12</v>
      </c>
      <c r="G41" t="s">
        <v>13</v>
      </c>
      <c r="H41" t="s">
        <v>14</v>
      </c>
      <c r="I41">
        <v>4866014</v>
      </c>
      <c r="J41" t="s">
        <v>22</v>
      </c>
      <c r="K41" s="1" t="str">
        <f>VLOOKUP(I41,'[1]PC50 Y2018 Status'!$D:$H,5,FALSE)</f>
        <v>TECO PCNF NMAT PRC  SETC</v>
      </c>
    </row>
    <row r="42" spans="2:11" x14ac:dyDescent="0.25">
      <c r="B42">
        <v>610000004109</v>
      </c>
      <c r="C42" t="s">
        <v>53</v>
      </c>
      <c r="D42">
        <v>8</v>
      </c>
      <c r="E42" t="s">
        <v>52</v>
      </c>
      <c r="F42" t="s">
        <v>12</v>
      </c>
      <c r="G42" t="s">
        <v>13</v>
      </c>
      <c r="H42" t="s">
        <v>14</v>
      </c>
      <c r="I42">
        <v>4863333</v>
      </c>
      <c r="J42" t="s">
        <v>22</v>
      </c>
      <c r="K42" s="1" t="str">
        <f>VLOOKUP(I42,'[1]PC50 Y2018 Status'!$D:$H,5,FALSE)</f>
        <v>TECO PCNF NMAT PRC  SETC</v>
      </c>
    </row>
    <row r="43" spans="2:11" x14ac:dyDescent="0.25">
      <c r="B43">
        <v>610000004121</v>
      </c>
      <c r="C43" t="s">
        <v>54</v>
      </c>
      <c r="D43">
        <v>56</v>
      </c>
      <c r="E43" t="s">
        <v>52</v>
      </c>
      <c r="F43" t="s">
        <v>12</v>
      </c>
      <c r="G43" t="s">
        <v>13</v>
      </c>
      <c r="H43" t="s">
        <v>14</v>
      </c>
      <c r="I43">
        <v>4866029</v>
      </c>
      <c r="J43" t="s">
        <v>22</v>
      </c>
      <c r="K43" s="1" t="str">
        <f>VLOOKUP(I43,'[1]PC50 Y2018 Status'!$D:$H,5,FALSE)</f>
        <v>TECO PCNF NMAT PRC  SETC</v>
      </c>
    </row>
    <row r="44" spans="2:11" x14ac:dyDescent="0.25">
      <c r="B44">
        <v>610000004143</v>
      </c>
      <c r="C44" t="s">
        <v>55</v>
      </c>
      <c r="D44">
        <v>24</v>
      </c>
      <c r="E44" t="s">
        <v>52</v>
      </c>
      <c r="F44" t="s">
        <v>12</v>
      </c>
      <c r="G44" t="s">
        <v>13</v>
      </c>
      <c r="H44" t="s">
        <v>14</v>
      </c>
      <c r="I44">
        <v>4866866</v>
      </c>
      <c r="J44" t="s">
        <v>22</v>
      </c>
      <c r="K44" s="1" t="str">
        <f>VLOOKUP(I44,'[1]PC50 Y2018 Status'!$D:$H,5,FALSE)</f>
        <v>TECO PCNF NMAT PRC  SETC</v>
      </c>
    </row>
    <row r="45" spans="2:11" x14ac:dyDescent="0.25">
      <c r="B45">
        <v>610000004153</v>
      </c>
      <c r="C45" t="s">
        <v>56</v>
      </c>
      <c r="D45">
        <v>24</v>
      </c>
      <c r="E45" t="s">
        <v>52</v>
      </c>
      <c r="F45" t="s">
        <v>12</v>
      </c>
      <c r="G45" t="s">
        <v>13</v>
      </c>
      <c r="H45" t="s">
        <v>14</v>
      </c>
      <c r="I45">
        <v>4866829</v>
      </c>
      <c r="J45" t="s">
        <v>22</v>
      </c>
      <c r="K45" s="1" t="str">
        <f>VLOOKUP(I45,'[1]PC50 Y2018 Status'!$D:$H,5,FALSE)</f>
        <v>TECO PCNF NMAT PRC  SETC</v>
      </c>
    </row>
    <row r="46" spans="2:11" x14ac:dyDescent="0.25">
      <c r="B46">
        <v>610000004021</v>
      </c>
      <c r="C46" t="s">
        <v>10</v>
      </c>
      <c r="D46">
        <v>95</v>
      </c>
      <c r="E46" t="s">
        <v>57</v>
      </c>
      <c r="F46" t="s">
        <v>12</v>
      </c>
      <c r="G46" t="s">
        <v>13</v>
      </c>
      <c r="H46" t="s">
        <v>14</v>
      </c>
      <c r="I46">
        <v>4866826</v>
      </c>
      <c r="J46" t="s">
        <v>15</v>
      </c>
      <c r="K46" s="1" t="str">
        <f>VLOOKUP(I46,'[1]PC50 Y2018 Status'!$D:$H,5,FALSE)</f>
        <v>TECO PCNF NMAT PRC  SETC</v>
      </c>
    </row>
    <row r="47" spans="2:11" x14ac:dyDescent="0.25">
      <c r="B47">
        <v>610000004031</v>
      </c>
      <c r="C47" t="s">
        <v>16</v>
      </c>
      <c r="D47">
        <v>94</v>
      </c>
      <c r="E47" t="s">
        <v>57</v>
      </c>
      <c r="F47" t="s">
        <v>12</v>
      </c>
      <c r="G47" t="s">
        <v>13</v>
      </c>
      <c r="H47" t="s">
        <v>14</v>
      </c>
      <c r="I47">
        <v>4866870</v>
      </c>
      <c r="J47" t="s">
        <v>15</v>
      </c>
      <c r="K47" s="1" t="str">
        <f>VLOOKUP(I47,'[1]PC50 Y2018 Status'!$D:$H,5,FALSE)</f>
        <v>TECO PCNF NMAT PRC  SETC</v>
      </c>
    </row>
    <row r="48" spans="2:11" x14ac:dyDescent="0.25">
      <c r="B48">
        <v>610000004051</v>
      </c>
      <c r="C48" t="s">
        <v>17</v>
      </c>
      <c r="D48">
        <v>95</v>
      </c>
      <c r="E48" t="s">
        <v>57</v>
      </c>
      <c r="F48" t="s">
        <v>12</v>
      </c>
      <c r="G48" t="s">
        <v>13</v>
      </c>
      <c r="H48" t="s">
        <v>14</v>
      </c>
      <c r="I48">
        <v>4866822</v>
      </c>
      <c r="J48" t="s">
        <v>15</v>
      </c>
      <c r="K48" s="1" t="str">
        <f>VLOOKUP(I48,'[1]PC50 Y2018 Status'!$D:$H,5,FALSE)</f>
        <v>TECO PCNF NMAT PRC  SETC</v>
      </c>
    </row>
    <row r="49" spans="2:11" x14ac:dyDescent="0.25">
      <c r="B49">
        <v>610000004149</v>
      </c>
      <c r="C49" t="s">
        <v>58</v>
      </c>
      <c r="D49">
        <v>8</v>
      </c>
      <c r="E49" t="s">
        <v>57</v>
      </c>
      <c r="F49" t="s">
        <v>12</v>
      </c>
      <c r="G49" t="s">
        <v>13</v>
      </c>
      <c r="H49" t="s">
        <v>14</v>
      </c>
      <c r="I49">
        <v>4863314</v>
      </c>
      <c r="J49" t="s">
        <v>22</v>
      </c>
      <c r="K49" s="1" t="str">
        <f>VLOOKUP(I49,'[1]PC50 Y2018 Status'!$D:$H,5,FALSE)</f>
        <v>TECO PCNF NMAT PRC  SETC</v>
      </c>
    </row>
    <row r="50" spans="2:11" x14ac:dyDescent="0.25">
      <c r="B50">
        <v>610000004178</v>
      </c>
      <c r="C50" t="s">
        <v>59</v>
      </c>
      <c r="D50">
        <v>24</v>
      </c>
      <c r="E50" t="s">
        <v>57</v>
      </c>
      <c r="F50" t="s">
        <v>12</v>
      </c>
      <c r="G50" t="s">
        <v>13</v>
      </c>
      <c r="H50" t="s">
        <v>14</v>
      </c>
      <c r="I50">
        <v>4867647</v>
      </c>
      <c r="J50" t="s">
        <v>22</v>
      </c>
      <c r="K50" s="1" t="str">
        <f>VLOOKUP(I50,'[1]PC50 Y2018 Status'!$D:$H,5,FALSE)</f>
        <v>TECO PCNF NMAT PRC  SETC</v>
      </c>
    </row>
    <row r="51" spans="2:11" x14ac:dyDescent="0.25">
      <c r="B51">
        <v>342258</v>
      </c>
      <c r="C51" t="s">
        <v>18</v>
      </c>
      <c r="D51">
        <v>78</v>
      </c>
      <c r="E51" t="s">
        <v>60</v>
      </c>
      <c r="F51" t="s">
        <v>12</v>
      </c>
      <c r="G51" t="s">
        <v>13</v>
      </c>
      <c r="H51" t="s">
        <v>14</v>
      </c>
      <c r="I51">
        <v>4866843</v>
      </c>
      <c r="J51" t="s">
        <v>15</v>
      </c>
      <c r="K51" s="1" t="str">
        <f>VLOOKUP(I51,'[1]PC50 Y2018 Status'!$D:$H,5,FALSE)</f>
        <v>TECO PCNF NMAT PRC  SETC</v>
      </c>
    </row>
    <row r="52" spans="2:11" x14ac:dyDescent="0.25">
      <c r="B52">
        <v>610000004128</v>
      </c>
      <c r="C52" t="s">
        <v>61</v>
      </c>
      <c r="D52">
        <v>57</v>
      </c>
      <c r="E52" t="s">
        <v>60</v>
      </c>
      <c r="F52" t="s">
        <v>12</v>
      </c>
      <c r="G52" t="s">
        <v>13</v>
      </c>
      <c r="H52" t="s">
        <v>14</v>
      </c>
      <c r="I52">
        <v>4866821</v>
      </c>
      <c r="J52" t="s">
        <v>22</v>
      </c>
      <c r="K52" s="1" t="str">
        <f>VLOOKUP(I52,'[1]PC50 Y2018 Status'!$D:$H,5,FALSE)</f>
        <v>TECO PCNF NMAT PRC  SETC</v>
      </c>
    </row>
    <row r="53" spans="2:11" x14ac:dyDescent="0.25">
      <c r="B53">
        <v>610000004142</v>
      </c>
      <c r="C53" t="s">
        <v>55</v>
      </c>
      <c r="D53">
        <v>56</v>
      </c>
      <c r="E53" t="s">
        <v>60</v>
      </c>
      <c r="F53" t="s">
        <v>12</v>
      </c>
      <c r="G53" t="s">
        <v>13</v>
      </c>
      <c r="H53" t="s">
        <v>14</v>
      </c>
      <c r="I53">
        <v>4866874</v>
      </c>
      <c r="J53" t="s">
        <v>22</v>
      </c>
      <c r="K53" s="1" t="str">
        <f>VLOOKUP(I53,'[1]PC50 Y2018 Status'!$D:$H,5,FALSE)</f>
        <v>TECO PCNF NMAT PRC  SETC</v>
      </c>
    </row>
    <row r="54" spans="2:11" x14ac:dyDescent="0.25">
      <c r="B54">
        <v>610000004151</v>
      </c>
      <c r="C54" t="s">
        <v>62</v>
      </c>
      <c r="D54">
        <v>56</v>
      </c>
      <c r="E54" t="s">
        <v>60</v>
      </c>
      <c r="F54" t="s">
        <v>12</v>
      </c>
      <c r="G54" t="s">
        <v>13</v>
      </c>
      <c r="H54" t="s">
        <v>14</v>
      </c>
      <c r="I54">
        <v>4866867</v>
      </c>
      <c r="J54" t="s">
        <v>22</v>
      </c>
      <c r="K54" s="1" t="str">
        <f>VLOOKUP(I54,'[1]PC50 Y2018 Status'!$D:$H,5,FALSE)</f>
        <v>TECO PCNF NMAT PRC  SETC</v>
      </c>
    </row>
    <row r="55" spans="2:11" x14ac:dyDescent="0.25">
      <c r="B55">
        <v>610000004068</v>
      </c>
      <c r="C55" t="s">
        <v>24</v>
      </c>
      <c r="D55">
        <v>192</v>
      </c>
      <c r="E55" t="s">
        <v>63</v>
      </c>
      <c r="F55" t="s">
        <v>12</v>
      </c>
      <c r="G55" t="s">
        <v>13</v>
      </c>
      <c r="H55" t="s">
        <v>14</v>
      </c>
      <c r="I55">
        <v>4868884</v>
      </c>
      <c r="J55" t="s">
        <v>15</v>
      </c>
      <c r="K55" s="1" t="str">
        <f>VLOOKUP(I55,'[1]PC50 Y2018 Status'!$D:$H,5,FALSE)</f>
        <v>TECO PCNF NMAT PRC  SETC</v>
      </c>
    </row>
    <row r="56" spans="2:11" x14ac:dyDescent="0.25">
      <c r="B56">
        <v>342279</v>
      </c>
      <c r="C56" t="s">
        <v>64</v>
      </c>
      <c r="D56">
        <v>36</v>
      </c>
      <c r="E56" t="s">
        <v>65</v>
      </c>
      <c r="F56" t="s">
        <v>12</v>
      </c>
      <c r="G56" t="s">
        <v>13</v>
      </c>
      <c r="H56" t="s">
        <v>14</v>
      </c>
      <c r="I56">
        <v>4867652</v>
      </c>
      <c r="J56" t="s">
        <v>15</v>
      </c>
      <c r="K56" s="1" t="str">
        <f>VLOOKUP(I56,'[1]PC50 Y2018 Status'!$D:$H,5,FALSE)</f>
        <v>TECO PCNF NMAT PRC  SETC</v>
      </c>
    </row>
    <row r="57" spans="2:11" x14ac:dyDescent="0.25">
      <c r="B57">
        <v>610000004032</v>
      </c>
      <c r="C57" t="s">
        <v>32</v>
      </c>
      <c r="D57">
        <v>52</v>
      </c>
      <c r="E57" t="s">
        <v>65</v>
      </c>
      <c r="F57" t="s">
        <v>12</v>
      </c>
      <c r="G57" t="s">
        <v>13</v>
      </c>
      <c r="H57" t="s">
        <v>14</v>
      </c>
      <c r="I57">
        <v>4867542</v>
      </c>
      <c r="J57" t="s">
        <v>15</v>
      </c>
      <c r="K57" s="1" t="str">
        <f>VLOOKUP(I57,'[1]PC50 Y2018 Status'!$D:$H,5,FALSE)</f>
        <v>TECO PCNF NMAT PRC  SETC</v>
      </c>
    </row>
    <row r="58" spans="2:11" x14ac:dyDescent="0.25">
      <c r="B58">
        <v>342257</v>
      </c>
      <c r="C58" t="s">
        <v>25</v>
      </c>
      <c r="D58">
        <v>157</v>
      </c>
      <c r="E58" t="s">
        <v>66</v>
      </c>
      <c r="F58" t="s">
        <v>12</v>
      </c>
      <c r="G58" t="s">
        <v>13</v>
      </c>
      <c r="H58" t="s">
        <v>14</v>
      </c>
      <c r="I58">
        <v>4868906</v>
      </c>
      <c r="J58" t="s">
        <v>15</v>
      </c>
      <c r="K58" s="1" t="str">
        <f>VLOOKUP(I58,'[1]PC50 Y2018 Status'!$D:$H,5,FALSE)</f>
        <v>TECO PCNF NMAT PRC  SETC</v>
      </c>
    </row>
    <row r="59" spans="2:11" x14ac:dyDescent="0.25">
      <c r="B59">
        <v>347637</v>
      </c>
      <c r="C59" t="s">
        <v>27</v>
      </c>
      <c r="D59">
        <v>15</v>
      </c>
      <c r="E59" t="s">
        <v>66</v>
      </c>
      <c r="F59" t="s">
        <v>12</v>
      </c>
      <c r="G59" t="s">
        <v>13</v>
      </c>
      <c r="H59" t="s">
        <v>14</v>
      </c>
      <c r="I59">
        <v>4869968</v>
      </c>
      <c r="J59" t="s">
        <v>15</v>
      </c>
      <c r="K59" s="1" t="str">
        <f>VLOOKUP(I59,'[1]PC50 Y2018 Status'!$D:$H,5,FALSE)</f>
        <v>TECO PCNF NMAT PRC  SETC</v>
      </c>
    </row>
    <row r="60" spans="2:11" x14ac:dyDescent="0.25">
      <c r="B60">
        <v>347638</v>
      </c>
      <c r="C60" t="s">
        <v>16</v>
      </c>
      <c r="D60">
        <v>8</v>
      </c>
      <c r="E60" t="s">
        <v>66</v>
      </c>
      <c r="F60" t="s">
        <v>12</v>
      </c>
      <c r="G60" t="s">
        <v>13</v>
      </c>
      <c r="H60" t="s">
        <v>14</v>
      </c>
      <c r="I60">
        <v>4867673</v>
      </c>
      <c r="J60" t="s">
        <v>15</v>
      </c>
      <c r="K60" s="1" t="str">
        <f>VLOOKUP(I60,'[1]PC50 Y2018 Status'!$D:$H,5,FALSE)</f>
        <v>TECO PCNF NMAT PRC  SETC</v>
      </c>
    </row>
    <row r="61" spans="2:11" x14ac:dyDescent="0.25">
      <c r="B61">
        <v>610000004102</v>
      </c>
      <c r="C61" t="s">
        <v>67</v>
      </c>
      <c r="D61">
        <v>45</v>
      </c>
      <c r="E61" t="s">
        <v>66</v>
      </c>
      <c r="F61" t="s">
        <v>12</v>
      </c>
      <c r="G61" t="s">
        <v>13</v>
      </c>
      <c r="H61" t="s">
        <v>14</v>
      </c>
      <c r="I61">
        <v>4867651</v>
      </c>
      <c r="J61" t="s">
        <v>22</v>
      </c>
      <c r="K61" s="1" t="str">
        <f>VLOOKUP(I61,'[1]PC50 Y2018 Status'!$D:$H,5,FALSE)</f>
        <v>TECO PCNF NMAT PRC  SETC</v>
      </c>
    </row>
    <row r="62" spans="2:11" x14ac:dyDescent="0.25">
      <c r="B62">
        <v>610000004129</v>
      </c>
      <c r="C62" t="s">
        <v>68</v>
      </c>
      <c r="D62">
        <v>45</v>
      </c>
      <c r="E62" t="s">
        <v>66</v>
      </c>
      <c r="F62" t="s">
        <v>12</v>
      </c>
      <c r="G62" t="s">
        <v>13</v>
      </c>
      <c r="H62" t="s">
        <v>14</v>
      </c>
      <c r="I62">
        <v>4867662</v>
      </c>
      <c r="J62" t="s">
        <v>22</v>
      </c>
      <c r="K62" s="1" t="str">
        <f>VLOOKUP(I62,'[1]PC50 Y2018 Status'!$D:$H,5,FALSE)</f>
        <v>TECO PCNF NMAT PRC  SETC</v>
      </c>
    </row>
    <row r="63" spans="2:11" x14ac:dyDescent="0.25">
      <c r="B63">
        <v>342694</v>
      </c>
      <c r="C63" t="s">
        <v>32</v>
      </c>
      <c r="D63">
        <v>30</v>
      </c>
      <c r="E63" t="s">
        <v>69</v>
      </c>
      <c r="F63" t="s">
        <v>12</v>
      </c>
      <c r="G63" t="s">
        <v>13</v>
      </c>
      <c r="H63" t="s">
        <v>14</v>
      </c>
      <c r="I63">
        <v>4867664</v>
      </c>
      <c r="J63" t="s">
        <v>15</v>
      </c>
      <c r="K63" s="1" t="str">
        <f>VLOOKUP(I63,'[1]PC50 Y2018 Status'!$D:$H,5,FALSE)</f>
        <v>TECO PCNF NMAT PRC  SETC</v>
      </c>
    </row>
    <row r="64" spans="2:11" x14ac:dyDescent="0.25">
      <c r="B64">
        <v>610000004022</v>
      </c>
      <c r="C64" t="s">
        <v>10</v>
      </c>
      <c r="D64">
        <v>44</v>
      </c>
      <c r="E64" t="s">
        <v>69</v>
      </c>
      <c r="F64" t="s">
        <v>12</v>
      </c>
      <c r="G64" t="s">
        <v>13</v>
      </c>
      <c r="H64" t="s">
        <v>14</v>
      </c>
      <c r="I64">
        <v>4867626</v>
      </c>
      <c r="J64" t="s">
        <v>15</v>
      </c>
      <c r="K64" s="1" t="str">
        <f>VLOOKUP(I64,'[1]PC50 Y2018 Status'!$D:$H,5,FALSE)</f>
        <v>TECO PCNF NMAT PRC  SETC</v>
      </c>
    </row>
    <row r="65" spans="2:15" x14ac:dyDescent="0.25">
      <c r="B65">
        <v>610000004026</v>
      </c>
      <c r="C65" t="s">
        <v>44</v>
      </c>
      <c r="D65">
        <v>45</v>
      </c>
      <c r="E65" t="s">
        <v>69</v>
      </c>
      <c r="F65" t="s">
        <v>12</v>
      </c>
      <c r="G65" t="s">
        <v>13</v>
      </c>
      <c r="H65" t="s">
        <v>14</v>
      </c>
      <c r="I65">
        <v>4867653</v>
      </c>
      <c r="J65" t="s">
        <v>15</v>
      </c>
      <c r="K65" s="1" t="str">
        <f>VLOOKUP(I65,'[1]PC50 Y2018 Status'!$D:$H,5,FALSE)</f>
        <v>TECO PCNF NMAT PRC  SETC</v>
      </c>
    </row>
    <row r="66" spans="2:15" x14ac:dyDescent="0.25">
      <c r="B66">
        <v>610000004028</v>
      </c>
      <c r="C66" t="s">
        <v>44</v>
      </c>
      <c r="D66">
        <v>43</v>
      </c>
      <c r="E66" t="s">
        <v>69</v>
      </c>
      <c r="F66" t="s">
        <v>12</v>
      </c>
      <c r="G66" t="s">
        <v>13</v>
      </c>
      <c r="H66" t="s">
        <v>14</v>
      </c>
      <c r="I66">
        <v>4867541</v>
      </c>
      <c r="J66" t="s">
        <v>15</v>
      </c>
      <c r="K66" s="1" t="str">
        <f>VLOOKUP(I66,'[1]PC50 Y2018 Status'!$D:$H,5,FALSE)</f>
        <v>TECO PCNF NMAT PRC  SETC</v>
      </c>
    </row>
    <row r="67" spans="2:15" x14ac:dyDescent="0.25">
      <c r="B67">
        <v>610000004033</v>
      </c>
      <c r="C67" t="s">
        <v>32</v>
      </c>
      <c r="D67">
        <v>43</v>
      </c>
      <c r="E67" t="s">
        <v>69</v>
      </c>
      <c r="F67" t="s">
        <v>12</v>
      </c>
      <c r="G67" t="s">
        <v>13</v>
      </c>
      <c r="H67" t="s">
        <v>14</v>
      </c>
      <c r="I67">
        <v>4867627</v>
      </c>
      <c r="J67" t="s">
        <v>15</v>
      </c>
      <c r="K67" s="1" t="str">
        <f>VLOOKUP(I67,'[1]PC50 Y2018 Status'!$D:$H,5,FALSE)</f>
        <v>TECO PCNF NMAT PRC  SETC</v>
      </c>
    </row>
    <row r="68" spans="2:15" x14ac:dyDescent="0.25">
      <c r="B68">
        <v>610000004061</v>
      </c>
      <c r="C68" t="s">
        <v>64</v>
      </c>
      <c r="D68">
        <v>45</v>
      </c>
      <c r="E68" t="s">
        <v>69</v>
      </c>
      <c r="F68" t="s">
        <v>12</v>
      </c>
      <c r="G68" t="s">
        <v>13</v>
      </c>
      <c r="H68" t="s">
        <v>14</v>
      </c>
      <c r="I68">
        <v>4867563</v>
      </c>
      <c r="J68" t="s">
        <v>15</v>
      </c>
      <c r="K68" s="1" t="str">
        <f>VLOOKUP(I68,'[1]PC50 Y2018 Status'!$D:$H,5,FALSE)</f>
        <v>TECO PCNF NMAT PRC  SETC</v>
      </c>
    </row>
    <row r="69" spans="2:15" x14ac:dyDescent="0.25">
      <c r="B69">
        <v>610000004062</v>
      </c>
      <c r="C69" t="s">
        <v>64</v>
      </c>
      <c r="D69">
        <v>45</v>
      </c>
      <c r="E69" t="s">
        <v>69</v>
      </c>
      <c r="F69" t="s">
        <v>12</v>
      </c>
      <c r="G69" t="s">
        <v>13</v>
      </c>
      <c r="H69" t="s">
        <v>14</v>
      </c>
      <c r="I69">
        <v>4867593</v>
      </c>
      <c r="J69" t="s">
        <v>15</v>
      </c>
      <c r="K69" s="1" t="str">
        <f>VLOOKUP(I69,'[1]PC50 Y2018 Status'!$D:$H,5,FALSE)</f>
        <v>TECO PCNF NMAT PRC  SETC</v>
      </c>
    </row>
    <row r="70" spans="2:15" x14ac:dyDescent="0.25">
      <c r="B70">
        <v>610000004063</v>
      </c>
      <c r="C70" t="s">
        <v>64</v>
      </c>
      <c r="D70">
        <v>43</v>
      </c>
      <c r="E70" t="s">
        <v>69</v>
      </c>
      <c r="F70" t="s">
        <v>12</v>
      </c>
      <c r="G70" t="s">
        <v>13</v>
      </c>
      <c r="H70" t="s">
        <v>14</v>
      </c>
      <c r="I70">
        <v>4867618</v>
      </c>
      <c r="J70" t="s">
        <v>15</v>
      </c>
      <c r="K70" s="1" t="str">
        <f>VLOOKUP(I70,'[1]PC50 Y2018 Status'!$D:$H,5,FALSE)</f>
        <v>TECO PCNF NMAT PRC  SETC</v>
      </c>
    </row>
    <row r="71" spans="2:15" x14ac:dyDescent="0.25">
      <c r="B71">
        <v>610000004064</v>
      </c>
      <c r="C71" t="s">
        <v>64</v>
      </c>
      <c r="D71">
        <v>43</v>
      </c>
      <c r="E71" t="s">
        <v>69</v>
      </c>
      <c r="F71" t="s">
        <v>12</v>
      </c>
      <c r="G71" t="s">
        <v>13</v>
      </c>
      <c r="H71" t="s">
        <v>14</v>
      </c>
      <c r="I71">
        <v>4867564</v>
      </c>
      <c r="J71" t="s">
        <v>15</v>
      </c>
      <c r="K71" s="1" t="str">
        <f>VLOOKUP(I71,'[1]PC50 Y2018 Status'!$D:$H,5,FALSE)</f>
        <v>TECO PCNF NMAT PRC  SETC</v>
      </c>
    </row>
    <row r="72" spans="2:15" x14ac:dyDescent="0.25">
      <c r="B72">
        <v>610000004071</v>
      </c>
      <c r="C72" t="s">
        <v>70</v>
      </c>
      <c r="D72">
        <v>55</v>
      </c>
      <c r="E72" t="s">
        <v>69</v>
      </c>
      <c r="F72" t="s">
        <v>12</v>
      </c>
      <c r="G72" t="s">
        <v>13</v>
      </c>
      <c r="H72" t="s">
        <v>14</v>
      </c>
      <c r="I72">
        <v>4867622</v>
      </c>
      <c r="J72" t="s">
        <v>15</v>
      </c>
      <c r="K72" s="1" t="str">
        <f>VLOOKUP(I72,'[1]PC50 Y2018 Status'!$D:$H,5,FALSE)</f>
        <v>TECO PCNF NMAT PRC  SETC</v>
      </c>
    </row>
    <row r="73" spans="2:15" x14ac:dyDescent="0.25">
      <c r="B73">
        <v>610000004072</v>
      </c>
      <c r="C73" t="s">
        <v>70</v>
      </c>
      <c r="D73">
        <v>43</v>
      </c>
      <c r="E73" t="s">
        <v>69</v>
      </c>
      <c r="F73" t="s">
        <v>12</v>
      </c>
      <c r="G73" t="s">
        <v>13</v>
      </c>
      <c r="H73" t="s">
        <v>14</v>
      </c>
      <c r="I73">
        <v>4867574</v>
      </c>
      <c r="J73" t="s">
        <v>15</v>
      </c>
      <c r="K73" s="1" t="str">
        <f>VLOOKUP(I73,'[1]PC50 Y2018 Status'!$D:$H,5,FALSE)</f>
        <v>TECO PCNF NMAT PRC  SETC</v>
      </c>
    </row>
    <row r="74" spans="2:15" x14ac:dyDescent="0.25">
      <c r="B74">
        <v>610000004073</v>
      </c>
      <c r="C74" t="s">
        <v>70</v>
      </c>
      <c r="D74">
        <v>42</v>
      </c>
      <c r="E74" t="s">
        <v>69</v>
      </c>
      <c r="F74" t="s">
        <v>12</v>
      </c>
      <c r="G74" t="s">
        <v>13</v>
      </c>
      <c r="H74" t="s">
        <v>14</v>
      </c>
      <c r="I74">
        <v>4867575</v>
      </c>
      <c r="J74" t="s">
        <v>15</v>
      </c>
      <c r="K74" s="1" t="str">
        <f>VLOOKUP(I74,'[1]PC50 Y2018 Status'!$D:$H,5,FALSE)</f>
        <v>TECO PCNF NMAT PRC  SETC</v>
      </c>
    </row>
    <row r="75" spans="2:15" x14ac:dyDescent="0.25">
      <c r="B75">
        <v>610000004078</v>
      </c>
      <c r="C75" t="s">
        <v>71</v>
      </c>
      <c r="D75">
        <v>43</v>
      </c>
      <c r="E75" t="s">
        <v>69</v>
      </c>
      <c r="F75" t="s">
        <v>12</v>
      </c>
      <c r="G75" t="s">
        <v>13</v>
      </c>
      <c r="H75" t="s">
        <v>14</v>
      </c>
      <c r="I75">
        <v>4867547</v>
      </c>
      <c r="J75" t="s">
        <v>15</v>
      </c>
      <c r="K75" s="1" t="str">
        <f>VLOOKUP(I75,'[1]PC50 Y2018 Status'!$D:$H,5,FALSE)</f>
        <v>TECO PCNF NMAT PRC  SETC</v>
      </c>
    </row>
    <row r="76" spans="2:15" x14ac:dyDescent="0.25">
      <c r="B76">
        <v>610000004087</v>
      </c>
      <c r="C76" t="s">
        <v>72</v>
      </c>
      <c r="D76">
        <v>43</v>
      </c>
      <c r="E76" t="s">
        <v>69</v>
      </c>
      <c r="F76" t="s">
        <v>12</v>
      </c>
      <c r="G76" t="s">
        <v>13</v>
      </c>
      <c r="H76" t="s">
        <v>14</v>
      </c>
      <c r="I76">
        <v>4867608</v>
      </c>
      <c r="J76" t="s">
        <v>15</v>
      </c>
      <c r="K76" s="1" t="str">
        <f>VLOOKUP(I76,'[1]PC50 Y2018 Status'!$D:$H,5,FALSE)</f>
        <v>TECO PCNF NMAT PRC  SETC</v>
      </c>
    </row>
    <row r="77" spans="2:15" x14ac:dyDescent="0.25">
      <c r="B77">
        <v>610000004088</v>
      </c>
      <c r="C77" t="s">
        <v>72</v>
      </c>
      <c r="D77">
        <v>43</v>
      </c>
      <c r="E77" t="s">
        <v>69</v>
      </c>
      <c r="F77" t="s">
        <v>12</v>
      </c>
      <c r="G77" t="s">
        <v>13</v>
      </c>
      <c r="H77" t="s">
        <v>14</v>
      </c>
      <c r="I77">
        <v>4867582</v>
      </c>
      <c r="J77" t="s">
        <v>15</v>
      </c>
      <c r="K77" s="1" t="str">
        <f>VLOOKUP(I77,'[1]PC50 Y2018 Status'!$D:$H,5,FALSE)</f>
        <v>TECO PCNF NMAT PRC  SETC</v>
      </c>
    </row>
    <row r="78" spans="2:15" ht="14.25" customHeight="1" x14ac:dyDescent="0.25">
      <c r="B78">
        <v>610000004092</v>
      </c>
      <c r="C78" t="s">
        <v>73</v>
      </c>
      <c r="D78">
        <v>43</v>
      </c>
      <c r="E78" t="s">
        <v>69</v>
      </c>
      <c r="F78" t="s">
        <v>12</v>
      </c>
      <c r="G78" t="s">
        <v>13</v>
      </c>
      <c r="H78" t="s">
        <v>14</v>
      </c>
      <c r="I78">
        <v>4867661</v>
      </c>
      <c r="J78" t="s">
        <v>15</v>
      </c>
      <c r="K78" s="1" t="str">
        <f>VLOOKUP(I78,'[1]PC50 Y2018 Status'!$D:$H,5,FALSE)</f>
        <v>TECO PCNF NMAT PRC  SETC</v>
      </c>
    </row>
    <row r="79" spans="2:15" x14ac:dyDescent="0.25">
      <c r="B79">
        <v>610000004090</v>
      </c>
      <c r="C79" t="s">
        <v>74</v>
      </c>
      <c r="D79">
        <v>8</v>
      </c>
      <c r="E79" t="s">
        <v>75</v>
      </c>
      <c r="F79" t="s">
        <v>12</v>
      </c>
      <c r="G79" t="s">
        <v>13</v>
      </c>
      <c r="H79" t="s">
        <v>14</v>
      </c>
      <c r="I79" s="2">
        <v>4864724</v>
      </c>
      <c r="J79" t="s">
        <v>15</v>
      </c>
      <c r="K79" s="1" t="str">
        <f>VLOOKUP(I79,'[1]PC50 Y2018 Status'!$D:$H,5,FALSE)</f>
        <v>TECO PCNF NMAT PRC  SETC</v>
      </c>
      <c r="M79" t="str">
        <f>VLOOKUP(I79,'[2]PC50 Y2018 Confirm'!$E:$H,4,FALSE)</f>
        <v>PRO019</v>
      </c>
      <c r="N79" t="str">
        <f>INDEX('[2]PC50 Y2018 Confirm'!$H$6:$H$490,MATCH(I79,'[2]PC50 Y2018 Confirm'!$E$6:$E$490,0))</f>
        <v>PRO019</v>
      </c>
      <c r="O79" t="str">
        <f t="array" ref="O79">INDEX('[2]PC50 Y2018 Confirm'!$H$1:$H$82,SMALL(IF(I79='[2]PC50 Y2018 Confirm'!$E$6:$E$612,ROW('[2]PC50 Y2018 Confirm'!$E$6:$E$612)),COUNTIF($I$79:I79,I79)))</f>
        <v>PRO019</v>
      </c>
    </row>
    <row r="80" spans="2:15" x14ac:dyDescent="0.25">
      <c r="B80">
        <v>342700</v>
      </c>
      <c r="C80" t="s">
        <v>20</v>
      </c>
      <c r="D80">
        <v>3</v>
      </c>
      <c r="E80" t="s">
        <v>76</v>
      </c>
      <c r="F80" t="s">
        <v>12</v>
      </c>
      <c r="G80" t="s">
        <v>13</v>
      </c>
      <c r="H80" t="s">
        <v>14</v>
      </c>
      <c r="I80">
        <v>4863388</v>
      </c>
      <c r="J80" t="s">
        <v>22</v>
      </c>
      <c r="K80" s="1" t="str">
        <f>VLOOKUP(I80,'[1]PC50 Y2018 Status'!$D:$H,5,FALSE)</f>
        <v>TECO PCNF NMAT PRC  SETC</v>
      </c>
    </row>
    <row r="81" spans="2:11" x14ac:dyDescent="0.25">
      <c r="B81">
        <v>342741</v>
      </c>
      <c r="C81" t="s">
        <v>77</v>
      </c>
      <c r="D81">
        <v>6</v>
      </c>
      <c r="E81" t="s">
        <v>76</v>
      </c>
      <c r="F81" t="s">
        <v>12</v>
      </c>
      <c r="G81" t="s">
        <v>13</v>
      </c>
      <c r="H81" t="s">
        <v>14</v>
      </c>
      <c r="I81">
        <v>4864860</v>
      </c>
      <c r="J81" t="s">
        <v>22</v>
      </c>
      <c r="K81" s="1" t="str">
        <f>VLOOKUP(I81,'[1]PC50 Y2018 Status'!$D:$H,5,FALSE)</f>
        <v>TECO PCNF NMAT PRC  SETC</v>
      </c>
    </row>
    <row r="82" spans="2:11" x14ac:dyDescent="0.25">
      <c r="B82">
        <v>347678</v>
      </c>
      <c r="C82" t="s">
        <v>28</v>
      </c>
      <c r="D82">
        <v>4</v>
      </c>
      <c r="E82" t="s">
        <v>76</v>
      </c>
      <c r="F82" t="s">
        <v>12</v>
      </c>
      <c r="G82" t="s">
        <v>13</v>
      </c>
      <c r="H82" t="s">
        <v>14</v>
      </c>
      <c r="I82">
        <v>4868965</v>
      </c>
      <c r="J82" t="s">
        <v>22</v>
      </c>
      <c r="K82" s="1" t="str">
        <f>VLOOKUP(I82,'[1]PC50 Y2018 Status'!$D:$H,5,FALSE)</f>
        <v>TECO PCNF NMAT PRC  SETC</v>
      </c>
    </row>
    <row r="83" spans="2:11" x14ac:dyDescent="0.25">
      <c r="B83">
        <v>347679</v>
      </c>
      <c r="C83" t="s">
        <v>78</v>
      </c>
      <c r="D83">
        <v>2</v>
      </c>
      <c r="E83" t="s">
        <v>76</v>
      </c>
      <c r="F83" t="s">
        <v>12</v>
      </c>
      <c r="G83" t="s">
        <v>13</v>
      </c>
      <c r="H83" t="s">
        <v>14</v>
      </c>
      <c r="I83">
        <v>4865614</v>
      </c>
      <c r="J83" t="s">
        <v>22</v>
      </c>
      <c r="K83" s="1" t="str">
        <f>VLOOKUP(I83,'[1]PC50 Y2018 Status'!$D:$H,5,FALSE)</f>
        <v>TECO PCNF NMAT PRC  SETC</v>
      </c>
    </row>
    <row r="84" spans="2:11" x14ac:dyDescent="0.25">
      <c r="B84">
        <v>610000004049</v>
      </c>
      <c r="C84" t="s">
        <v>79</v>
      </c>
      <c r="D84">
        <v>8</v>
      </c>
      <c r="E84" t="s">
        <v>76</v>
      </c>
      <c r="F84" t="s">
        <v>12</v>
      </c>
      <c r="G84" t="s">
        <v>13</v>
      </c>
      <c r="H84" t="s">
        <v>14</v>
      </c>
      <c r="I84">
        <v>4863287</v>
      </c>
      <c r="J84" t="s">
        <v>15</v>
      </c>
      <c r="K84" s="1" t="str">
        <f>VLOOKUP(I84,'[1]PC50 Y2018 Status'!$D:$H,5,FALSE)</f>
        <v>TECO PCNF NMAT PRC  SETC</v>
      </c>
    </row>
    <row r="85" spans="2:11" x14ac:dyDescent="0.25">
      <c r="B85">
        <v>610000004162</v>
      </c>
      <c r="C85" t="s">
        <v>43</v>
      </c>
      <c r="D85">
        <v>45</v>
      </c>
      <c r="E85" t="s">
        <v>76</v>
      </c>
      <c r="F85" t="s">
        <v>12</v>
      </c>
      <c r="G85" t="s">
        <v>13</v>
      </c>
      <c r="H85" t="s">
        <v>14</v>
      </c>
      <c r="I85">
        <v>4868951</v>
      </c>
      <c r="J85" t="s">
        <v>22</v>
      </c>
      <c r="K85" s="1" t="str">
        <f>VLOOKUP(I85,'[1]PC50 Y2018 Status'!$D:$H,5,FALSE)</f>
        <v>TECO PCNF NMAT PRC  SETC</v>
      </c>
    </row>
    <row r="86" spans="2:11" x14ac:dyDescent="0.25">
      <c r="B86">
        <v>610000004175</v>
      </c>
      <c r="C86" t="s">
        <v>34</v>
      </c>
      <c r="D86">
        <v>95</v>
      </c>
      <c r="E86" t="s">
        <v>76</v>
      </c>
      <c r="F86" t="s">
        <v>12</v>
      </c>
      <c r="G86" t="s">
        <v>13</v>
      </c>
      <c r="H86" t="s">
        <v>14</v>
      </c>
      <c r="I86">
        <v>4868935</v>
      </c>
      <c r="J86" t="s">
        <v>22</v>
      </c>
      <c r="K86" s="1" t="str">
        <f>VLOOKUP(I86,'[1]PC50 Y2018 Status'!$D:$H,5,FALSE)</f>
        <v>TECO PCNF NMAT PRC  SETC</v>
      </c>
    </row>
    <row r="87" spans="2:11" x14ac:dyDescent="0.25">
      <c r="B87">
        <v>344810</v>
      </c>
      <c r="C87" t="s">
        <v>80</v>
      </c>
      <c r="D87">
        <v>2</v>
      </c>
      <c r="E87" t="s">
        <v>81</v>
      </c>
      <c r="F87" t="s">
        <v>12</v>
      </c>
      <c r="G87" t="s">
        <v>13</v>
      </c>
      <c r="H87" t="s">
        <v>14</v>
      </c>
      <c r="I87">
        <v>4863394</v>
      </c>
      <c r="J87" t="s">
        <v>22</v>
      </c>
      <c r="K87" s="1" t="str">
        <f>VLOOKUP(I87,'[1]PC50 Y2018 Status'!$D:$H,5,FALSE)</f>
        <v>TECO PCNF NMAT PRC  SETC</v>
      </c>
    </row>
    <row r="88" spans="2:11" x14ac:dyDescent="0.25">
      <c r="B88">
        <v>610000004027</v>
      </c>
      <c r="C88" t="s">
        <v>44</v>
      </c>
      <c r="D88">
        <v>46</v>
      </c>
      <c r="E88" t="s">
        <v>81</v>
      </c>
      <c r="F88" t="s">
        <v>12</v>
      </c>
      <c r="G88" t="s">
        <v>13</v>
      </c>
      <c r="H88" t="s">
        <v>14</v>
      </c>
      <c r="I88">
        <v>4868954</v>
      </c>
      <c r="J88" t="s">
        <v>15</v>
      </c>
      <c r="K88" s="1" t="str">
        <f>VLOOKUP(I88,'[1]PC50 Y2018 Status'!$D:$H,5,FALSE)</f>
        <v>TECO PCNF NMAT PRC  SETC</v>
      </c>
    </row>
    <row r="89" spans="2:11" x14ac:dyDescent="0.25">
      <c r="B89">
        <v>610000004069</v>
      </c>
      <c r="C89" t="s">
        <v>35</v>
      </c>
      <c r="D89">
        <v>96</v>
      </c>
      <c r="E89" t="s">
        <v>81</v>
      </c>
      <c r="F89" t="s">
        <v>12</v>
      </c>
      <c r="G89" t="s">
        <v>13</v>
      </c>
      <c r="H89" t="s">
        <v>14</v>
      </c>
      <c r="I89">
        <v>4868897</v>
      </c>
      <c r="J89" t="s">
        <v>15</v>
      </c>
      <c r="K89" s="1" t="str">
        <f>VLOOKUP(I89,'[1]PC50 Y2018 Status'!$D:$H,5,FALSE)</f>
        <v>TECO PCNF NMAT PRC  SETC</v>
      </c>
    </row>
    <row r="90" spans="2:11" x14ac:dyDescent="0.25">
      <c r="B90">
        <v>610000004070</v>
      </c>
      <c r="C90" t="s">
        <v>35</v>
      </c>
      <c r="D90">
        <v>96</v>
      </c>
      <c r="E90" t="s">
        <v>81</v>
      </c>
      <c r="F90" t="s">
        <v>12</v>
      </c>
      <c r="G90" t="s">
        <v>13</v>
      </c>
      <c r="H90" t="s">
        <v>14</v>
      </c>
      <c r="I90">
        <v>4868915</v>
      </c>
      <c r="J90" t="s">
        <v>15</v>
      </c>
      <c r="K90" s="1" t="str">
        <f>VLOOKUP(I90,'[1]PC50 Y2018 Status'!$D:$H,5,FALSE)</f>
        <v>TECO PCNF NMAT PRC  SETC</v>
      </c>
    </row>
    <row r="91" spans="2:11" x14ac:dyDescent="0.25">
      <c r="B91">
        <v>342586</v>
      </c>
      <c r="C91" t="s">
        <v>82</v>
      </c>
      <c r="D91">
        <v>32</v>
      </c>
      <c r="E91" t="s">
        <v>83</v>
      </c>
      <c r="F91" t="s">
        <v>12</v>
      </c>
      <c r="G91" t="s">
        <v>13</v>
      </c>
      <c r="H91" t="s">
        <v>14</v>
      </c>
      <c r="I91">
        <v>4868956</v>
      </c>
      <c r="J91" t="s">
        <v>22</v>
      </c>
      <c r="K91" s="1" t="str">
        <f>VLOOKUP(I91,'[1]PC50 Y2018 Status'!$D:$H,5,FALSE)</f>
        <v>TECO PCNF NMAT PRC  SETC</v>
      </c>
    </row>
    <row r="92" spans="2:11" x14ac:dyDescent="0.25">
      <c r="B92">
        <v>610000004068</v>
      </c>
      <c r="C92" t="s">
        <v>24</v>
      </c>
      <c r="D92">
        <v>193</v>
      </c>
      <c r="E92" t="s">
        <v>83</v>
      </c>
      <c r="F92" t="s">
        <v>12</v>
      </c>
      <c r="G92" t="s">
        <v>13</v>
      </c>
      <c r="H92" t="s">
        <v>14</v>
      </c>
      <c r="I92">
        <v>4871014</v>
      </c>
      <c r="J92" t="s">
        <v>15</v>
      </c>
      <c r="K92" s="1" t="str">
        <f>VLOOKUP(I92,'[1]PC50 Y2018 Status'!$D:$H,5,FALSE)</f>
        <v>TECO PCNF NMAT PRC  SETC</v>
      </c>
    </row>
    <row r="93" spans="2:11" x14ac:dyDescent="0.25">
      <c r="B93">
        <v>610000004077</v>
      </c>
      <c r="C93" t="s">
        <v>39</v>
      </c>
      <c r="D93">
        <v>96</v>
      </c>
      <c r="E93" t="s">
        <v>83</v>
      </c>
      <c r="F93" t="s">
        <v>12</v>
      </c>
      <c r="G93" t="s">
        <v>13</v>
      </c>
      <c r="H93" t="s">
        <v>14</v>
      </c>
      <c r="I93">
        <v>4869861</v>
      </c>
      <c r="J93" t="s">
        <v>15</v>
      </c>
      <c r="K93" s="1" t="str">
        <f>VLOOKUP(I93,'[1]PC50 Y2018 Status'!$D:$H,5,FALSE)</f>
        <v>TECO PCNF NMAT PRC  SETC</v>
      </c>
    </row>
    <row r="94" spans="2:11" x14ac:dyDescent="0.25">
      <c r="B94">
        <v>610000004085</v>
      </c>
      <c r="C94" t="s">
        <v>18</v>
      </c>
      <c r="D94">
        <v>96</v>
      </c>
      <c r="E94" t="s">
        <v>83</v>
      </c>
      <c r="F94" t="s">
        <v>12</v>
      </c>
      <c r="G94" t="s">
        <v>13</v>
      </c>
      <c r="H94" t="s">
        <v>14</v>
      </c>
      <c r="I94">
        <v>4869790</v>
      </c>
      <c r="J94" t="s">
        <v>15</v>
      </c>
      <c r="K94" s="1" t="str">
        <f>VLOOKUP(I94,'[1]PC50 Y2018 Status'!$D:$H,5,FALSE)</f>
        <v>TECO PCNF NMAT PRC  SETC</v>
      </c>
    </row>
    <row r="95" spans="2:11" x14ac:dyDescent="0.25">
      <c r="B95">
        <v>610000004086</v>
      </c>
      <c r="C95" t="s">
        <v>18</v>
      </c>
      <c r="D95">
        <v>96</v>
      </c>
      <c r="E95" t="s">
        <v>83</v>
      </c>
      <c r="F95" t="s">
        <v>12</v>
      </c>
      <c r="G95" t="s">
        <v>13</v>
      </c>
      <c r="H95" t="s">
        <v>14</v>
      </c>
      <c r="I95">
        <v>4869923</v>
      </c>
      <c r="J95" t="s">
        <v>15</v>
      </c>
      <c r="K95" s="1" t="str">
        <f>VLOOKUP(I95,'[1]PC50 Y2018 Status'!$D:$H,5,FALSE)</f>
        <v>TECO PCNF NMAT PRC  SETC</v>
      </c>
    </row>
    <row r="96" spans="2:11" x14ac:dyDescent="0.25">
      <c r="B96">
        <v>610000004025</v>
      </c>
      <c r="C96" t="s">
        <v>44</v>
      </c>
      <c r="D96">
        <v>95</v>
      </c>
      <c r="E96" t="s">
        <v>84</v>
      </c>
      <c r="F96" t="s">
        <v>12</v>
      </c>
      <c r="G96" t="s">
        <v>13</v>
      </c>
      <c r="H96" t="s">
        <v>14</v>
      </c>
      <c r="I96">
        <v>4869768</v>
      </c>
      <c r="J96" t="s">
        <v>15</v>
      </c>
      <c r="K96" s="1" t="str">
        <f>VLOOKUP(I96,'[1]PC50 Y2018 Status'!$D:$H,5,FALSE)</f>
        <v>TECO PCNF NMAT PRC  SETC</v>
      </c>
    </row>
    <row r="97" spans="2:11" x14ac:dyDescent="0.25">
      <c r="B97">
        <v>610000004091</v>
      </c>
      <c r="C97" t="s">
        <v>47</v>
      </c>
      <c r="D97">
        <v>95</v>
      </c>
      <c r="E97" t="s">
        <v>84</v>
      </c>
      <c r="F97" t="s">
        <v>12</v>
      </c>
      <c r="G97" t="s">
        <v>13</v>
      </c>
      <c r="H97" t="s">
        <v>14</v>
      </c>
      <c r="I97">
        <v>4869736</v>
      </c>
      <c r="J97" t="s">
        <v>15</v>
      </c>
      <c r="K97" s="1" t="str">
        <f>VLOOKUP(I97,'[1]PC50 Y2018 Status'!$D:$H,5,FALSE)</f>
        <v>TECO PCNF NMAT PRC  SETC</v>
      </c>
    </row>
    <row r="98" spans="2:11" x14ac:dyDescent="0.25">
      <c r="B98">
        <v>610000004152</v>
      </c>
      <c r="C98" t="s">
        <v>82</v>
      </c>
      <c r="D98">
        <v>45</v>
      </c>
      <c r="E98" t="s">
        <v>84</v>
      </c>
      <c r="F98" t="s">
        <v>12</v>
      </c>
      <c r="G98" t="s">
        <v>13</v>
      </c>
      <c r="H98" t="s">
        <v>14</v>
      </c>
      <c r="I98">
        <v>4869889</v>
      </c>
      <c r="J98" t="s">
        <v>22</v>
      </c>
      <c r="K98" s="1" t="str">
        <f>VLOOKUP(I98,'[1]PC50 Y2018 Status'!$D:$H,5,FALSE)</f>
        <v>TECO PCNF NMAT PRC  SETC</v>
      </c>
    </row>
    <row r="99" spans="2:11" x14ac:dyDescent="0.25">
      <c r="B99">
        <v>610000004161</v>
      </c>
      <c r="C99" t="s">
        <v>48</v>
      </c>
      <c r="D99">
        <v>97</v>
      </c>
      <c r="E99" t="s">
        <v>84</v>
      </c>
      <c r="F99" t="s">
        <v>12</v>
      </c>
      <c r="G99" t="s">
        <v>13</v>
      </c>
      <c r="H99" t="s">
        <v>14</v>
      </c>
      <c r="I99">
        <v>4869746</v>
      </c>
      <c r="J99" t="s">
        <v>22</v>
      </c>
      <c r="K99" s="1" t="str">
        <f>VLOOKUP(I99,'[1]PC50 Y2018 Status'!$D:$H,5,FALSE)</f>
        <v>TECO PCNF NMAT PRC  SETC</v>
      </c>
    </row>
    <row r="100" spans="2:11" x14ac:dyDescent="0.25">
      <c r="B100">
        <v>342257</v>
      </c>
      <c r="C100" t="s">
        <v>25</v>
      </c>
      <c r="D100">
        <v>158</v>
      </c>
      <c r="E100" t="s">
        <v>85</v>
      </c>
      <c r="F100" t="s">
        <v>12</v>
      </c>
      <c r="G100" t="s">
        <v>13</v>
      </c>
      <c r="H100" t="s">
        <v>14</v>
      </c>
      <c r="I100">
        <v>4871037</v>
      </c>
      <c r="J100" t="s">
        <v>15</v>
      </c>
      <c r="K100" s="1" t="str">
        <f>VLOOKUP(I100,'[1]PC50 Y2018 Status'!$D:$H,5,FALSE)</f>
        <v>TECO PCNF NMAT PRC  SETC</v>
      </c>
    </row>
    <row r="101" spans="2:11" x14ac:dyDescent="0.25">
      <c r="B101">
        <v>347637</v>
      </c>
      <c r="C101" t="s">
        <v>27</v>
      </c>
      <c r="D101">
        <v>16</v>
      </c>
      <c r="E101" t="s">
        <v>85</v>
      </c>
      <c r="F101" t="s">
        <v>12</v>
      </c>
      <c r="G101" t="s">
        <v>13</v>
      </c>
      <c r="H101" t="s">
        <v>14</v>
      </c>
      <c r="I101">
        <v>4871947</v>
      </c>
      <c r="J101" t="s">
        <v>15</v>
      </c>
      <c r="K101" s="1" t="str">
        <f>VLOOKUP(I101,'[1]PC50 Y2018 Status'!$D:$H,5,FALSE)</f>
        <v>TECO PCNF NMAT PRC  SETC</v>
      </c>
    </row>
    <row r="102" spans="2:11" x14ac:dyDescent="0.25">
      <c r="B102">
        <v>610000004050</v>
      </c>
      <c r="C102" t="s">
        <v>17</v>
      </c>
      <c r="D102">
        <v>96</v>
      </c>
      <c r="E102" t="s">
        <v>86</v>
      </c>
      <c r="F102" t="s">
        <v>12</v>
      </c>
      <c r="G102" t="s">
        <v>13</v>
      </c>
      <c r="H102" t="s">
        <v>14</v>
      </c>
      <c r="I102">
        <v>4869826</v>
      </c>
      <c r="J102" t="s">
        <v>15</v>
      </c>
      <c r="K102" s="1" t="str">
        <f>VLOOKUP(I102,'[1]PC50 Y2018 Status'!$D:$H,5,FALSE)</f>
        <v>TECO PCNF NMAT PRC  SETC</v>
      </c>
    </row>
    <row r="103" spans="2:11" x14ac:dyDescent="0.25">
      <c r="B103">
        <v>610000004053</v>
      </c>
      <c r="C103" t="s">
        <v>46</v>
      </c>
      <c r="D103">
        <v>45</v>
      </c>
      <c r="E103" t="s">
        <v>86</v>
      </c>
      <c r="F103" t="s">
        <v>12</v>
      </c>
      <c r="G103" t="s">
        <v>13</v>
      </c>
      <c r="H103" t="s">
        <v>14</v>
      </c>
      <c r="I103">
        <v>4869955</v>
      </c>
      <c r="J103" t="s">
        <v>15</v>
      </c>
      <c r="K103" s="1" t="str">
        <f>VLOOKUP(I103,'[1]PC50 Y2018 Status'!$D:$H,5,FALSE)</f>
        <v>TECO PCNF NMAT PRC  SETC</v>
      </c>
    </row>
    <row r="104" spans="2:11" x14ac:dyDescent="0.25">
      <c r="B104">
        <v>610000004054</v>
      </c>
      <c r="C104" t="s">
        <v>46</v>
      </c>
      <c r="D104">
        <v>45</v>
      </c>
      <c r="E104" t="s">
        <v>86</v>
      </c>
      <c r="F104" t="s">
        <v>12</v>
      </c>
      <c r="G104" t="s">
        <v>13</v>
      </c>
      <c r="H104" t="s">
        <v>14</v>
      </c>
      <c r="I104">
        <v>4869789</v>
      </c>
      <c r="J104" t="s">
        <v>15</v>
      </c>
      <c r="K104" s="1" t="str">
        <f>VLOOKUP(I104,'[1]PC50 Y2018 Status'!$D:$H,5,FALSE)</f>
        <v>TECO PCNF NMAT PRC  SETC</v>
      </c>
    </row>
    <row r="105" spans="2:11" x14ac:dyDescent="0.25">
      <c r="B105">
        <v>610000004055</v>
      </c>
      <c r="C105" t="s">
        <v>87</v>
      </c>
      <c r="D105">
        <v>45</v>
      </c>
      <c r="E105" t="s">
        <v>86</v>
      </c>
      <c r="F105" t="s">
        <v>12</v>
      </c>
      <c r="G105" t="s">
        <v>13</v>
      </c>
      <c r="H105" t="s">
        <v>14</v>
      </c>
      <c r="I105">
        <v>4869744</v>
      </c>
      <c r="J105" t="s">
        <v>15</v>
      </c>
      <c r="K105" s="1" t="str">
        <f>VLOOKUP(I105,'[1]PC50 Y2018 Status'!$D:$H,5,FALSE)</f>
        <v>TECO PCNF NMAT PRC  SETC</v>
      </c>
    </row>
    <row r="106" spans="2:11" x14ac:dyDescent="0.25">
      <c r="B106">
        <v>610000004079</v>
      </c>
      <c r="C106" t="s">
        <v>71</v>
      </c>
      <c r="D106">
        <v>44</v>
      </c>
      <c r="E106" t="s">
        <v>86</v>
      </c>
      <c r="F106" t="s">
        <v>12</v>
      </c>
      <c r="G106" t="s">
        <v>13</v>
      </c>
      <c r="H106" t="s">
        <v>14</v>
      </c>
      <c r="I106">
        <v>4869745</v>
      </c>
      <c r="J106" t="s">
        <v>15</v>
      </c>
      <c r="K106" s="1" t="str">
        <f>VLOOKUP(I106,'[1]PC50 Y2018 Status'!$D:$H,5,FALSE)</f>
        <v>TECO PCNF NMAT PRC  SETC</v>
      </c>
    </row>
    <row r="107" spans="2:11" x14ac:dyDescent="0.25">
      <c r="B107">
        <v>610000004080</v>
      </c>
      <c r="C107" t="s">
        <v>71</v>
      </c>
      <c r="D107">
        <v>45</v>
      </c>
      <c r="E107" t="s">
        <v>86</v>
      </c>
      <c r="F107" t="s">
        <v>12</v>
      </c>
      <c r="G107" t="s">
        <v>13</v>
      </c>
      <c r="H107" t="s">
        <v>14</v>
      </c>
      <c r="I107">
        <v>4869956</v>
      </c>
      <c r="J107" t="s">
        <v>15</v>
      </c>
      <c r="K107" s="1" t="str">
        <f>VLOOKUP(I107,'[1]PC50 Y2018 Status'!$D:$H,5,FALSE)</f>
        <v>TECO PCNF NMAT PRC  SETC</v>
      </c>
    </row>
    <row r="108" spans="2:11" x14ac:dyDescent="0.25">
      <c r="B108">
        <v>342588</v>
      </c>
      <c r="C108" t="s">
        <v>82</v>
      </c>
      <c r="D108">
        <v>33</v>
      </c>
      <c r="E108" t="s">
        <v>88</v>
      </c>
      <c r="F108" t="s">
        <v>12</v>
      </c>
      <c r="G108" t="s">
        <v>13</v>
      </c>
      <c r="H108" t="s">
        <v>14</v>
      </c>
      <c r="I108">
        <v>4869964</v>
      </c>
      <c r="J108" t="s">
        <v>22</v>
      </c>
      <c r="K108" s="1" t="str">
        <f>VLOOKUP(I108,'[1]PC50 Y2018 Status'!$D:$H,5,FALSE)</f>
        <v>TECO PCNF NMAT PRC  SETC</v>
      </c>
    </row>
    <row r="109" spans="2:11" x14ac:dyDescent="0.25">
      <c r="B109">
        <v>610000004021</v>
      </c>
      <c r="C109" t="s">
        <v>10</v>
      </c>
      <c r="D109">
        <v>96</v>
      </c>
      <c r="E109" t="s">
        <v>89</v>
      </c>
      <c r="F109" t="s">
        <v>12</v>
      </c>
      <c r="G109" t="s">
        <v>13</v>
      </c>
      <c r="H109" t="s">
        <v>14</v>
      </c>
      <c r="I109">
        <v>4871019</v>
      </c>
      <c r="J109" t="s">
        <v>15</v>
      </c>
      <c r="K109" s="1" t="str">
        <f>VLOOKUP(I109,'[1]PC50 Y2018 Status'!$D:$H,5,FALSE)</f>
        <v>TECO PCNF NMAT PRC  SETC</v>
      </c>
    </row>
    <row r="110" spans="2:11" x14ac:dyDescent="0.25">
      <c r="B110">
        <v>610000004031</v>
      </c>
      <c r="C110" t="s">
        <v>16</v>
      </c>
      <c r="D110">
        <v>95</v>
      </c>
      <c r="E110" t="s">
        <v>89</v>
      </c>
      <c r="F110" t="s">
        <v>12</v>
      </c>
      <c r="G110" t="s">
        <v>13</v>
      </c>
      <c r="H110" t="s">
        <v>14</v>
      </c>
      <c r="I110">
        <v>4871080</v>
      </c>
      <c r="J110" t="s">
        <v>15</v>
      </c>
      <c r="K110" s="1" t="str">
        <f>VLOOKUP(I110,'[1]PC50 Y2018 Status'!$D:$H,5,FALSE)</f>
        <v>TECO PCNF NMAT PRC  SETC</v>
      </c>
    </row>
    <row r="111" spans="2:11" x14ac:dyDescent="0.25">
      <c r="B111">
        <v>610000004051</v>
      </c>
      <c r="C111" t="s">
        <v>17</v>
      </c>
      <c r="D111">
        <v>96</v>
      </c>
      <c r="E111" t="s">
        <v>89</v>
      </c>
      <c r="F111" t="s">
        <v>12</v>
      </c>
      <c r="G111" t="s">
        <v>13</v>
      </c>
      <c r="H111" t="s">
        <v>14</v>
      </c>
      <c r="I111">
        <v>4871013</v>
      </c>
      <c r="J111" t="s">
        <v>15</v>
      </c>
      <c r="K111" s="1" t="str">
        <f>VLOOKUP(I111,'[1]PC50 Y2018 Status'!$D:$H,5,FALSE)</f>
        <v>TECO PCNF NMAT PRC  SETC</v>
      </c>
    </row>
    <row r="112" spans="2:11" x14ac:dyDescent="0.25">
      <c r="B112">
        <v>610000004104</v>
      </c>
      <c r="C112" t="s">
        <v>51</v>
      </c>
      <c r="D112">
        <v>23</v>
      </c>
      <c r="E112" t="s">
        <v>89</v>
      </c>
      <c r="F112" t="s">
        <v>12</v>
      </c>
      <c r="G112" t="s">
        <v>13</v>
      </c>
      <c r="H112" t="s">
        <v>14</v>
      </c>
      <c r="I112">
        <v>4871902</v>
      </c>
      <c r="J112" t="s">
        <v>22</v>
      </c>
      <c r="K112" s="1" t="str">
        <f>VLOOKUP(I112,'[1]PC50 Y2018 Status'!$D:$H,5,FALSE)</f>
        <v>TECO PCNF NMAT PRC  SETC</v>
      </c>
    </row>
    <row r="113" spans="2:11" x14ac:dyDescent="0.25">
      <c r="B113">
        <v>342258</v>
      </c>
      <c r="C113" t="s">
        <v>18</v>
      </c>
      <c r="D113">
        <v>79</v>
      </c>
      <c r="E113" t="s">
        <v>90</v>
      </c>
      <c r="F113" t="s">
        <v>12</v>
      </c>
      <c r="G113" t="s">
        <v>13</v>
      </c>
      <c r="H113" t="s">
        <v>14</v>
      </c>
      <c r="I113">
        <v>4871049</v>
      </c>
      <c r="J113" t="s">
        <v>15</v>
      </c>
      <c r="K113" s="1" t="str">
        <f>VLOOKUP(I113,'[1]PC50 Y2018 Status'!$D:$H,5,FALSE)</f>
        <v>TECO PCNF NMAT PRC  SETC</v>
      </c>
    </row>
    <row r="114" spans="2:11" x14ac:dyDescent="0.25">
      <c r="B114">
        <v>610000004106</v>
      </c>
      <c r="C114" t="s">
        <v>51</v>
      </c>
      <c r="D114">
        <v>23</v>
      </c>
      <c r="E114" t="s">
        <v>90</v>
      </c>
      <c r="F114" t="s">
        <v>12</v>
      </c>
      <c r="G114" t="s">
        <v>13</v>
      </c>
      <c r="H114" t="s">
        <v>14</v>
      </c>
      <c r="I114">
        <v>4871903</v>
      </c>
      <c r="J114" t="s">
        <v>22</v>
      </c>
      <c r="K114" s="1" t="str">
        <f>VLOOKUP(I114,'[1]PC50 Y2018 Status'!$D:$H,5,FALSE)</f>
        <v>TECO PCNF NMAT PRC  SETC</v>
      </c>
    </row>
    <row r="115" spans="2:11" x14ac:dyDescent="0.25">
      <c r="B115">
        <v>610000004132</v>
      </c>
      <c r="C115" t="s">
        <v>61</v>
      </c>
      <c r="D115">
        <v>22</v>
      </c>
      <c r="E115" t="s">
        <v>90</v>
      </c>
      <c r="F115" t="s">
        <v>12</v>
      </c>
      <c r="G115" t="s">
        <v>13</v>
      </c>
      <c r="H115" t="s">
        <v>14</v>
      </c>
      <c r="I115">
        <v>4866005</v>
      </c>
      <c r="J115" t="s">
        <v>22</v>
      </c>
      <c r="K115" s="1" t="str">
        <f>VLOOKUP(I115,'[1]PC50 Y2018 Status'!$D:$H,5,FALSE)</f>
        <v>TECO PCNF NMAT PRC  SETC</v>
      </c>
    </row>
    <row r="116" spans="2:11" x14ac:dyDescent="0.25">
      <c r="B116">
        <v>342461</v>
      </c>
      <c r="C116" t="s">
        <v>77</v>
      </c>
      <c r="D116">
        <v>6</v>
      </c>
      <c r="E116" t="s">
        <v>91</v>
      </c>
      <c r="F116" t="s">
        <v>12</v>
      </c>
      <c r="G116" t="s">
        <v>13</v>
      </c>
      <c r="H116" t="s">
        <v>14</v>
      </c>
      <c r="I116">
        <v>4866879</v>
      </c>
      <c r="J116" t="s">
        <v>22</v>
      </c>
      <c r="K116" s="1" t="str">
        <f>VLOOKUP(I116,'[1]PC50 Y2018 Status'!$D:$H,5,FALSE)</f>
        <v>TECO PCNF NMAT PRC  SETC</v>
      </c>
    </row>
    <row r="117" spans="2:11" x14ac:dyDescent="0.25">
      <c r="B117">
        <v>610000004068</v>
      </c>
      <c r="C117" t="s">
        <v>24</v>
      </c>
      <c r="D117">
        <v>194</v>
      </c>
      <c r="E117" t="s">
        <v>91</v>
      </c>
      <c r="F117" t="s">
        <v>12</v>
      </c>
      <c r="G117" t="s">
        <v>13</v>
      </c>
      <c r="H117" t="s">
        <v>14</v>
      </c>
      <c r="I117">
        <v>4872750</v>
      </c>
      <c r="J117" t="s">
        <v>15</v>
      </c>
      <c r="K117" s="1" t="str">
        <f>VLOOKUP(I117,'[1]PC50 Y2018 Status'!$D:$H,5,FALSE)</f>
        <v>TECO PCNF NMAT PRC  SETC</v>
      </c>
    </row>
    <row r="118" spans="2:11" x14ac:dyDescent="0.25">
      <c r="B118">
        <v>342257</v>
      </c>
      <c r="C118" t="s">
        <v>25</v>
      </c>
      <c r="D118">
        <v>159</v>
      </c>
      <c r="E118" t="s">
        <v>92</v>
      </c>
      <c r="F118" t="s">
        <v>12</v>
      </c>
      <c r="G118" t="s">
        <v>13</v>
      </c>
      <c r="H118" t="s">
        <v>14</v>
      </c>
      <c r="I118">
        <v>4872765</v>
      </c>
      <c r="J118" t="s">
        <v>15</v>
      </c>
      <c r="K118" s="1" t="str">
        <f>VLOOKUP(I118,'[1]PC50 Y2018 Status'!$D:$H,5,FALSE)</f>
        <v>TECO PCNF NMAT PRC  SETC</v>
      </c>
    </row>
    <row r="119" spans="2:11" x14ac:dyDescent="0.25">
      <c r="B119">
        <v>343825</v>
      </c>
      <c r="C119" t="s">
        <v>58</v>
      </c>
      <c r="D119">
        <v>4</v>
      </c>
      <c r="E119" t="s">
        <v>92</v>
      </c>
      <c r="F119" t="s">
        <v>12</v>
      </c>
      <c r="G119" t="s">
        <v>13</v>
      </c>
      <c r="H119" t="s">
        <v>14</v>
      </c>
      <c r="I119">
        <v>4867665</v>
      </c>
      <c r="J119" t="s">
        <v>22</v>
      </c>
      <c r="K119" s="1" t="str">
        <f>VLOOKUP(I119,'[1]PC50 Y2018 Status'!$D:$H,5,FALSE)</f>
        <v>TECO PCNF NMAT PRC  SETC</v>
      </c>
    </row>
    <row r="120" spans="2:11" x14ac:dyDescent="0.25">
      <c r="B120">
        <v>347637</v>
      </c>
      <c r="C120" t="s">
        <v>27</v>
      </c>
      <c r="D120">
        <v>17</v>
      </c>
      <c r="E120" t="s">
        <v>92</v>
      </c>
      <c r="F120" t="s">
        <v>12</v>
      </c>
      <c r="G120" t="s">
        <v>13</v>
      </c>
      <c r="H120" t="s">
        <v>14</v>
      </c>
      <c r="I120">
        <v>4873429</v>
      </c>
      <c r="J120" t="s">
        <v>15</v>
      </c>
      <c r="K120" s="1" t="str">
        <f>VLOOKUP(I120,'[1]PC50 Y2018 Status'!$D:$H,5,FALSE)</f>
        <v>TECO PCNF NMAT PRC  SETC</v>
      </c>
    </row>
    <row r="121" spans="2:11" x14ac:dyDescent="0.25">
      <c r="B121">
        <v>347638</v>
      </c>
      <c r="C121" t="s">
        <v>16</v>
      </c>
      <c r="D121">
        <v>9</v>
      </c>
      <c r="E121" t="s">
        <v>92</v>
      </c>
      <c r="F121" t="s">
        <v>12</v>
      </c>
      <c r="G121" t="s">
        <v>13</v>
      </c>
      <c r="H121" t="s">
        <v>14</v>
      </c>
      <c r="I121">
        <v>4871953</v>
      </c>
      <c r="J121" t="s">
        <v>15</v>
      </c>
      <c r="K121" s="1" t="str">
        <f>VLOOKUP(I121,'[1]PC50 Y2018 Status'!$D:$H,5,FALSE)</f>
        <v>TECO PCNF NMAT PRC  SETC</v>
      </c>
    </row>
    <row r="122" spans="2:11" x14ac:dyDescent="0.25">
      <c r="B122">
        <v>610000004097</v>
      </c>
      <c r="C122" t="s">
        <v>93</v>
      </c>
      <c r="D122">
        <v>23</v>
      </c>
      <c r="E122" t="s">
        <v>92</v>
      </c>
      <c r="F122" t="s">
        <v>12</v>
      </c>
      <c r="G122" t="s">
        <v>13</v>
      </c>
      <c r="H122" t="s">
        <v>14</v>
      </c>
      <c r="I122">
        <v>4872776</v>
      </c>
      <c r="J122" t="s">
        <v>22</v>
      </c>
      <c r="K122" s="1" t="str">
        <f>VLOOKUP(I122,'[1]PC50 Y2018 Status'!$D:$H,5,FALSE)</f>
        <v>TECO PCNF NMAT PRC  SETC</v>
      </c>
    </row>
    <row r="123" spans="2:11" x14ac:dyDescent="0.25">
      <c r="B123">
        <v>610000004045</v>
      </c>
      <c r="C123" t="s">
        <v>79</v>
      </c>
      <c r="D123">
        <v>8</v>
      </c>
      <c r="E123" t="s">
        <v>94</v>
      </c>
      <c r="F123" t="s">
        <v>12</v>
      </c>
      <c r="G123" t="s">
        <v>13</v>
      </c>
      <c r="H123" t="s">
        <v>14</v>
      </c>
      <c r="I123">
        <v>4865527</v>
      </c>
      <c r="J123" t="s">
        <v>15</v>
      </c>
      <c r="K123" s="1" t="str">
        <f>VLOOKUP(I123,'[1]PC50 Y2018 Status'!$D:$H,5,FALSE)</f>
        <v>TECO PCNF NMAT PRC  SETC</v>
      </c>
    </row>
    <row r="124" spans="2:11" x14ac:dyDescent="0.25">
      <c r="B124">
        <v>610000004113</v>
      </c>
      <c r="C124" t="s">
        <v>78</v>
      </c>
      <c r="D124">
        <v>23</v>
      </c>
      <c r="E124" t="s">
        <v>94</v>
      </c>
      <c r="F124" t="s">
        <v>12</v>
      </c>
      <c r="G124" t="s">
        <v>13</v>
      </c>
      <c r="H124" t="s">
        <v>14</v>
      </c>
      <c r="I124">
        <v>4872767</v>
      </c>
      <c r="J124" t="s">
        <v>22</v>
      </c>
      <c r="K124" s="1" t="str">
        <f>VLOOKUP(I124,'[1]PC50 Y2018 Status'!$D:$H,5,FALSE)</f>
        <v>TECO PCNF NMAT PRC  SETC</v>
      </c>
    </row>
    <row r="125" spans="2:11" x14ac:dyDescent="0.25">
      <c r="B125">
        <v>610000004135</v>
      </c>
      <c r="C125" t="s">
        <v>95</v>
      </c>
      <c r="D125">
        <v>15</v>
      </c>
      <c r="E125" t="s">
        <v>94</v>
      </c>
      <c r="F125" t="s">
        <v>12</v>
      </c>
      <c r="G125" t="s">
        <v>13</v>
      </c>
      <c r="H125" t="s">
        <v>14</v>
      </c>
      <c r="I125">
        <v>4871930</v>
      </c>
      <c r="J125" t="s">
        <v>22</v>
      </c>
      <c r="K125" s="1" t="str">
        <f>VLOOKUP(I125,'[1]PC50 Y2018 Status'!$D:$H,5,FALSE)</f>
        <v>TECO PCNF NMAT PRC  SETC</v>
      </c>
    </row>
    <row r="126" spans="2:11" x14ac:dyDescent="0.25">
      <c r="B126">
        <v>610000004147</v>
      </c>
      <c r="C126" t="s">
        <v>58</v>
      </c>
      <c r="D126">
        <v>8</v>
      </c>
      <c r="E126" t="s">
        <v>94</v>
      </c>
      <c r="F126" t="s">
        <v>12</v>
      </c>
      <c r="G126" t="s">
        <v>13</v>
      </c>
      <c r="H126" t="s">
        <v>14</v>
      </c>
      <c r="I126">
        <v>4867643</v>
      </c>
      <c r="J126" t="s">
        <v>22</v>
      </c>
      <c r="K126" s="1" t="str">
        <f>VLOOKUP(I126,'[1]PC50 Y2018 Status'!$D:$H,5,FALSE)</f>
        <v>TECO PCNF NMAT PRC  SETC</v>
      </c>
    </row>
    <row r="127" spans="2:11" x14ac:dyDescent="0.25">
      <c r="B127">
        <v>610000004148</v>
      </c>
      <c r="C127" t="s">
        <v>58</v>
      </c>
      <c r="D127">
        <v>8</v>
      </c>
      <c r="E127" t="s">
        <v>94</v>
      </c>
      <c r="F127" t="s">
        <v>12</v>
      </c>
      <c r="G127" t="s">
        <v>13</v>
      </c>
      <c r="H127" t="s">
        <v>14</v>
      </c>
      <c r="I127">
        <v>4867612</v>
      </c>
      <c r="J127" t="s">
        <v>22</v>
      </c>
      <c r="K127" s="1" t="str">
        <f>VLOOKUP(I127,'[1]PC50 Y2018 Status'!$D:$H,5,FALSE)</f>
        <v>TECO PCNF NMAT PRC  SETC</v>
      </c>
    </row>
    <row r="128" spans="2:11" x14ac:dyDescent="0.25">
      <c r="B128">
        <v>342300</v>
      </c>
      <c r="C128" t="s">
        <v>96</v>
      </c>
      <c r="D128">
        <v>7</v>
      </c>
      <c r="E128" t="s">
        <v>97</v>
      </c>
      <c r="F128" t="s">
        <v>12</v>
      </c>
      <c r="G128" t="s">
        <v>13</v>
      </c>
      <c r="H128" t="s">
        <v>14</v>
      </c>
      <c r="I128">
        <v>4867590</v>
      </c>
      <c r="J128" t="s">
        <v>22</v>
      </c>
      <c r="K128" s="1" t="str">
        <f>VLOOKUP(I128,'[1]PC50 Y2018 Status'!$D:$H,5,FALSE)</f>
        <v>TECO PCNF NMAT PRC  SETC</v>
      </c>
    </row>
    <row r="129" spans="2:11" x14ac:dyDescent="0.25">
      <c r="B129">
        <v>342331</v>
      </c>
      <c r="C129" t="s">
        <v>96</v>
      </c>
      <c r="D129">
        <v>7</v>
      </c>
      <c r="E129" t="s">
        <v>97</v>
      </c>
      <c r="F129" t="s">
        <v>12</v>
      </c>
      <c r="G129" t="s">
        <v>13</v>
      </c>
      <c r="H129" t="s">
        <v>14</v>
      </c>
      <c r="I129">
        <v>4867610</v>
      </c>
      <c r="J129" t="s">
        <v>22</v>
      </c>
      <c r="K129" s="1" t="str">
        <f>VLOOKUP(I129,'[1]PC50 Y2018 Status'!$D:$H,5,FALSE)</f>
        <v>TECO PCNF NMAT PRC  SETC</v>
      </c>
    </row>
    <row r="130" spans="2:11" x14ac:dyDescent="0.25">
      <c r="B130">
        <v>610000004115</v>
      </c>
      <c r="C130" t="s">
        <v>78</v>
      </c>
      <c r="D130">
        <v>23</v>
      </c>
      <c r="E130" t="s">
        <v>97</v>
      </c>
      <c r="F130" t="s">
        <v>12</v>
      </c>
      <c r="G130" t="s">
        <v>13</v>
      </c>
      <c r="H130" t="s">
        <v>14</v>
      </c>
      <c r="I130">
        <v>4873385</v>
      </c>
      <c r="J130" t="s">
        <v>22</v>
      </c>
      <c r="K130" s="1" t="str">
        <f>VLOOKUP(I130,'[1]PC50 Y2018 Status'!$D:$H,5,FALSE)</f>
        <v>TECO PCNF NMAT PRC  SETC</v>
      </c>
    </row>
    <row r="131" spans="2:11" x14ac:dyDescent="0.25">
      <c r="B131">
        <v>610000004175</v>
      </c>
      <c r="C131" t="s">
        <v>34</v>
      </c>
      <c r="D131">
        <v>96</v>
      </c>
      <c r="E131" t="s">
        <v>97</v>
      </c>
      <c r="F131" t="s">
        <v>12</v>
      </c>
      <c r="G131" t="s">
        <v>13</v>
      </c>
      <c r="H131" t="s">
        <v>14</v>
      </c>
      <c r="I131">
        <v>4872774</v>
      </c>
      <c r="J131" t="s">
        <v>22</v>
      </c>
      <c r="K131" s="1" t="str">
        <f>VLOOKUP(I131,'[1]PC50 Y2018 Status'!$D:$H,5,FALSE)</f>
        <v>TECO PCNF NMAT PRC  SETC</v>
      </c>
    </row>
    <row r="132" spans="2:11" x14ac:dyDescent="0.25">
      <c r="B132">
        <v>347716</v>
      </c>
      <c r="C132" t="s">
        <v>28</v>
      </c>
      <c r="D132">
        <v>4</v>
      </c>
      <c r="E132" t="s">
        <v>98</v>
      </c>
      <c r="F132" t="s">
        <v>12</v>
      </c>
      <c r="G132" t="s">
        <v>13</v>
      </c>
      <c r="H132" t="s">
        <v>14</v>
      </c>
      <c r="I132">
        <v>4872791</v>
      </c>
      <c r="J132" t="s">
        <v>22</v>
      </c>
      <c r="K132" s="1" t="str">
        <f>VLOOKUP(I132,'[1]PC50 Y2018 Status'!$D:$H,5,FALSE)</f>
        <v>TECO PCNF NMAT PRC  SETC</v>
      </c>
    </row>
    <row r="133" spans="2:11" x14ac:dyDescent="0.25">
      <c r="B133">
        <v>347741</v>
      </c>
      <c r="C133" t="s">
        <v>28</v>
      </c>
      <c r="D133">
        <v>4</v>
      </c>
      <c r="E133" t="s">
        <v>98</v>
      </c>
      <c r="F133" t="s">
        <v>12</v>
      </c>
      <c r="G133" t="s">
        <v>13</v>
      </c>
      <c r="H133" t="s">
        <v>14</v>
      </c>
      <c r="I133">
        <v>4872792</v>
      </c>
      <c r="J133" t="s">
        <v>22</v>
      </c>
      <c r="K133" s="1" t="str">
        <f>VLOOKUP(I133,'[1]PC50 Y2018 Status'!$D:$H,5,FALSE)</f>
        <v>TECO PCNF NMAT PRC  SETC</v>
      </c>
    </row>
    <row r="134" spans="2:11" x14ac:dyDescent="0.25">
      <c r="B134">
        <v>610000004069</v>
      </c>
      <c r="C134" t="s">
        <v>35</v>
      </c>
      <c r="D134">
        <v>97</v>
      </c>
      <c r="E134" t="s">
        <v>98</v>
      </c>
      <c r="F134" t="s">
        <v>12</v>
      </c>
      <c r="G134" t="s">
        <v>13</v>
      </c>
      <c r="H134" t="s">
        <v>14</v>
      </c>
      <c r="I134">
        <v>4872762</v>
      </c>
      <c r="J134" t="s">
        <v>15</v>
      </c>
      <c r="K134" s="1" t="str">
        <f>VLOOKUP(I134,'[1]PC50 Y2018 Status'!$D:$H,5,FALSE)</f>
        <v>TECO PCNF NMAT PRC  SETC</v>
      </c>
    </row>
    <row r="135" spans="2:11" x14ac:dyDescent="0.25">
      <c r="B135">
        <v>610000004070</v>
      </c>
      <c r="C135" t="s">
        <v>35</v>
      </c>
      <c r="D135">
        <v>97</v>
      </c>
      <c r="E135" t="s">
        <v>98</v>
      </c>
      <c r="F135" t="s">
        <v>12</v>
      </c>
      <c r="G135" t="s">
        <v>13</v>
      </c>
      <c r="H135" t="s">
        <v>14</v>
      </c>
      <c r="I135">
        <v>4872769</v>
      </c>
      <c r="J135" t="s">
        <v>15</v>
      </c>
      <c r="K135" s="1" t="str">
        <f>VLOOKUP(I135,'[1]PC50 Y2018 Status'!$D:$H,5,FALSE)</f>
        <v>TECO PCNF NMAT PRC  SETC</v>
      </c>
    </row>
    <row r="136" spans="2:11" x14ac:dyDescent="0.25">
      <c r="B136">
        <v>347639</v>
      </c>
      <c r="C136" t="s">
        <v>32</v>
      </c>
      <c r="D136">
        <v>5</v>
      </c>
      <c r="E136" t="s">
        <v>99</v>
      </c>
      <c r="F136" t="s">
        <v>12</v>
      </c>
      <c r="G136" t="s">
        <v>13</v>
      </c>
      <c r="H136" t="s">
        <v>14</v>
      </c>
      <c r="I136">
        <v>4872790</v>
      </c>
      <c r="J136" t="s">
        <v>15</v>
      </c>
      <c r="K136" s="1" t="str">
        <f>VLOOKUP(I136,'[1]PC50 Y2018 Status'!$D:$H,5,FALSE)</f>
        <v>TECO PCNF NMAT PRC  SETC</v>
      </c>
    </row>
    <row r="137" spans="2:11" x14ac:dyDescent="0.25">
      <c r="B137">
        <v>610000004068</v>
      </c>
      <c r="C137" t="s">
        <v>24</v>
      </c>
      <c r="D137">
        <v>195</v>
      </c>
      <c r="E137" t="s">
        <v>99</v>
      </c>
      <c r="F137" t="s">
        <v>12</v>
      </c>
      <c r="G137" t="s">
        <v>13</v>
      </c>
      <c r="H137" t="s">
        <v>14</v>
      </c>
      <c r="I137">
        <v>4875089</v>
      </c>
      <c r="J137" t="s">
        <v>15</v>
      </c>
      <c r="K137" s="1" t="str">
        <f>VLOOKUP(I137,'[1]PC50 Y2018 Status'!$D:$H,5,FALSE)</f>
        <v>TECO PCNF NMAT PRC  SETC</v>
      </c>
    </row>
    <row r="138" spans="2:11" x14ac:dyDescent="0.25">
      <c r="B138">
        <v>610000004077</v>
      </c>
      <c r="C138" t="s">
        <v>39</v>
      </c>
      <c r="D138">
        <v>97</v>
      </c>
      <c r="E138" t="s">
        <v>99</v>
      </c>
      <c r="F138" t="s">
        <v>12</v>
      </c>
      <c r="G138" t="s">
        <v>13</v>
      </c>
      <c r="H138" t="s">
        <v>14</v>
      </c>
      <c r="I138">
        <v>4873383</v>
      </c>
      <c r="J138" t="s">
        <v>15</v>
      </c>
      <c r="K138" s="1" t="str">
        <f>VLOOKUP(I138,'[1]PC50 Y2018 Status'!$D:$H,5,FALSE)</f>
        <v>TECO PCNF NMAT PRC  SETC</v>
      </c>
    </row>
    <row r="139" spans="2:11" x14ac:dyDescent="0.25">
      <c r="B139">
        <v>610000004085</v>
      </c>
      <c r="C139" t="s">
        <v>18</v>
      </c>
      <c r="D139">
        <v>97</v>
      </c>
      <c r="E139" t="s">
        <v>99</v>
      </c>
      <c r="F139" t="s">
        <v>12</v>
      </c>
      <c r="G139" t="s">
        <v>13</v>
      </c>
      <c r="H139" t="s">
        <v>14</v>
      </c>
      <c r="I139">
        <v>4873363</v>
      </c>
      <c r="J139" t="s">
        <v>15</v>
      </c>
      <c r="K139" s="1" t="str">
        <f>VLOOKUP(I139,'[1]PC50 Y2018 Status'!$D:$H,5,FALSE)</f>
        <v>TECO PCNF NMAT PRC  SETC</v>
      </c>
    </row>
    <row r="140" spans="2:11" x14ac:dyDescent="0.25">
      <c r="B140">
        <v>610000004086</v>
      </c>
      <c r="C140" t="s">
        <v>18</v>
      </c>
      <c r="D140">
        <v>97</v>
      </c>
      <c r="E140" t="s">
        <v>99</v>
      </c>
      <c r="F140" t="s">
        <v>12</v>
      </c>
      <c r="G140" t="s">
        <v>13</v>
      </c>
      <c r="H140" t="s">
        <v>14</v>
      </c>
      <c r="I140">
        <v>4873403</v>
      </c>
      <c r="J140" t="s">
        <v>15</v>
      </c>
      <c r="K140" s="1" t="str">
        <f>VLOOKUP(I140,'[1]PC50 Y2018 Status'!$D:$H,5,FALSE)</f>
        <v>TECO PCNF NMAT PRC  SETC</v>
      </c>
    </row>
    <row r="141" spans="2:11" x14ac:dyDescent="0.25">
      <c r="B141">
        <v>610000004096</v>
      </c>
      <c r="C141" t="s">
        <v>93</v>
      </c>
      <c r="D141">
        <v>36</v>
      </c>
      <c r="E141" t="s">
        <v>99</v>
      </c>
      <c r="F141" t="s">
        <v>12</v>
      </c>
      <c r="G141" t="s">
        <v>13</v>
      </c>
      <c r="H141" t="s">
        <v>14</v>
      </c>
      <c r="I141">
        <v>4872782</v>
      </c>
      <c r="J141" t="s">
        <v>22</v>
      </c>
      <c r="K141" s="1" t="str">
        <f>VLOOKUP(I141,'[1]PC50 Y2018 Status'!$D:$H,5,FALSE)</f>
        <v>TECO PCNF NMAT PRC  SETC</v>
      </c>
    </row>
    <row r="142" spans="2:11" x14ac:dyDescent="0.25">
      <c r="B142">
        <v>610000004116</v>
      </c>
      <c r="C142" t="s">
        <v>78</v>
      </c>
      <c r="D142">
        <v>23</v>
      </c>
      <c r="E142" t="s">
        <v>99</v>
      </c>
      <c r="F142" t="s">
        <v>12</v>
      </c>
      <c r="G142" t="s">
        <v>13</v>
      </c>
      <c r="H142" t="s">
        <v>14</v>
      </c>
      <c r="I142">
        <v>4873389</v>
      </c>
      <c r="J142" t="s">
        <v>22</v>
      </c>
      <c r="K142" s="1" t="str">
        <f>VLOOKUP(I142,'[1]PC50 Y2018 Status'!$D:$H,5,FALSE)</f>
        <v>TECO PCNF NMAT PRC  SETC</v>
      </c>
    </row>
    <row r="143" spans="2:11" x14ac:dyDescent="0.25">
      <c r="B143">
        <v>342347</v>
      </c>
      <c r="C143" t="s">
        <v>100</v>
      </c>
      <c r="D143">
        <v>3</v>
      </c>
      <c r="E143" t="s">
        <v>101</v>
      </c>
      <c r="F143" t="s">
        <v>12</v>
      </c>
      <c r="G143" t="s">
        <v>13</v>
      </c>
      <c r="H143" t="s">
        <v>14</v>
      </c>
      <c r="I143">
        <v>4866851</v>
      </c>
      <c r="J143" t="s">
        <v>15</v>
      </c>
      <c r="K143" s="1" t="str">
        <f>VLOOKUP(I143,'[1]PC50 Y2018 Status'!$D:$H,5,FALSE)</f>
        <v>TECO PCNF NMAT PRC  SETC</v>
      </c>
    </row>
    <row r="144" spans="2:11" x14ac:dyDescent="0.25">
      <c r="B144">
        <v>610000004025</v>
      </c>
      <c r="C144" t="s">
        <v>44</v>
      </c>
      <c r="D144">
        <v>96</v>
      </c>
      <c r="E144" t="s">
        <v>101</v>
      </c>
      <c r="F144" t="s">
        <v>12</v>
      </c>
      <c r="G144" t="s">
        <v>13</v>
      </c>
      <c r="H144" t="s">
        <v>14</v>
      </c>
      <c r="I144">
        <v>4873349</v>
      </c>
      <c r="J144" t="s">
        <v>15</v>
      </c>
      <c r="K144" s="1" t="str">
        <f>VLOOKUP(I144,'[1]PC50 Y2018 Status'!$D:$H,5,FALSE)</f>
        <v>TECO PCNF NMAT PRC  SETC</v>
      </c>
    </row>
    <row r="145" spans="2:11" x14ac:dyDescent="0.25">
      <c r="B145">
        <v>610000004091</v>
      </c>
      <c r="C145" t="s">
        <v>47</v>
      </c>
      <c r="D145">
        <v>96</v>
      </c>
      <c r="E145" t="s">
        <v>101</v>
      </c>
      <c r="F145" t="s">
        <v>12</v>
      </c>
      <c r="G145" t="s">
        <v>13</v>
      </c>
      <c r="H145" t="s">
        <v>14</v>
      </c>
      <c r="I145">
        <v>4873215</v>
      </c>
      <c r="J145" t="s">
        <v>15</v>
      </c>
      <c r="K145" s="1" t="str">
        <f>VLOOKUP(I145,'[1]PC50 Y2018 Status'!$D:$H,5,FALSE)</f>
        <v>TECO PCNF NMAT PRC  SETC</v>
      </c>
    </row>
    <row r="146" spans="2:11" x14ac:dyDescent="0.25">
      <c r="B146">
        <v>610000004161</v>
      </c>
      <c r="C146" t="s">
        <v>48</v>
      </c>
      <c r="D146">
        <v>98</v>
      </c>
      <c r="E146" t="s">
        <v>101</v>
      </c>
      <c r="F146" t="s">
        <v>12</v>
      </c>
      <c r="G146" t="s">
        <v>13</v>
      </c>
      <c r="H146" t="s">
        <v>14</v>
      </c>
      <c r="I146">
        <v>4873216</v>
      </c>
      <c r="J146" t="s">
        <v>22</v>
      </c>
      <c r="K146" s="1" t="str">
        <f>VLOOKUP(I146,'[1]PC50 Y2018 Status'!$D:$H,5,FALSE)</f>
        <v>TECO PCNF NMAT PRC  SETC</v>
      </c>
    </row>
    <row r="147" spans="2:11" x14ac:dyDescent="0.25">
      <c r="B147">
        <v>610000004177</v>
      </c>
      <c r="C147" t="s">
        <v>37</v>
      </c>
      <c r="D147">
        <v>47</v>
      </c>
      <c r="E147" t="s">
        <v>101</v>
      </c>
      <c r="F147" t="s">
        <v>12</v>
      </c>
      <c r="G147" t="s">
        <v>13</v>
      </c>
      <c r="H147" t="s">
        <v>14</v>
      </c>
      <c r="I147">
        <v>4873366</v>
      </c>
      <c r="J147" t="s">
        <v>22</v>
      </c>
      <c r="K147" s="1" t="str">
        <f>VLOOKUP(I147,'[1]PC50 Y2018 Status'!$D:$H,5,FALSE)</f>
        <v>TECO PCNF NMAT PRC  SETC</v>
      </c>
    </row>
    <row r="148" spans="2:11" x14ac:dyDescent="0.25">
      <c r="B148">
        <v>342257</v>
      </c>
      <c r="C148" t="s">
        <v>25</v>
      </c>
      <c r="D148">
        <v>160</v>
      </c>
      <c r="E148" t="s">
        <v>102</v>
      </c>
      <c r="F148" t="s">
        <v>12</v>
      </c>
      <c r="G148" t="s">
        <v>13</v>
      </c>
      <c r="H148" t="s">
        <v>14</v>
      </c>
      <c r="I148">
        <v>4875095</v>
      </c>
      <c r="J148" t="s">
        <v>15</v>
      </c>
      <c r="K148" s="1" t="str">
        <f>VLOOKUP(I148,'[1]PC50 Y2018 Status'!$D:$H,5,FALSE)</f>
        <v>TECO PCNF NMAT PRC  SETC</v>
      </c>
    </row>
    <row r="149" spans="2:11" x14ac:dyDescent="0.25">
      <c r="B149">
        <v>347637</v>
      </c>
      <c r="C149" t="s">
        <v>27</v>
      </c>
      <c r="D149">
        <v>18</v>
      </c>
      <c r="E149" t="s">
        <v>102</v>
      </c>
      <c r="F149" t="s">
        <v>12</v>
      </c>
      <c r="G149" t="s">
        <v>13</v>
      </c>
      <c r="H149" t="s">
        <v>14</v>
      </c>
      <c r="I149">
        <v>4875843</v>
      </c>
      <c r="J149" t="s">
        <v>15</v>
      </c>
      <c r="K149" s="1" t="str">
        <f>VLOOKUP(I149,'[1]PC50 Y2018 Status'!$D:$H,5,FALSE)</f>
        <v>TECO PCNF NMAT PRC  SETC</v>
      </c>
    </row>
    <row r="150" spans="2:11" x14ac:dyDescent="0.25">
      <c r="B150">
        <v>610000004095</v>
      </c>
      <c r="C150" t="s">
        <v>40</v>
      </c>
      <c r="D150">
        <v>47</v>
      </c>
      <c r="E150" t="s">
        <v>102</v>
      </c>
      <c r="F150" t="s">
        <v>12</v>
      </c>
      <c r="G150" t="s">
        <v>13</v>
      </c>
      <c r="H150" t="s">
        <v>14</v>
      </c>
      <c r="I150">
        <v>4873388</v>
      </c>
      <c r="J150" t="s">
        <v>22</v>
      </c>
      <c r="K150" s="1" t="str">
        <f>VLOOKUP(I150,'[1]PC50 Y2018 Status'!$D:$H,5,FALSE)</f>
        <v>TECO PCNF NMAT PRC  SETC</v>
      </c>
    </row>
    <row r="151" spans="2:11" x14ac:dyDescent="0.25">
      <c r="B151">
        <v>610000004163</v>
      </c>
      <c r="C151" t="s">
        <v>43</v>
      </c>
      <c r="D151">
        <v>47</v>
      </c>
      <c r="E151" t="s">
        <v>102</v>
      </c>
      <c r="F151" t="s">
        <v>12</v>
      </c>
      <c r="G151" t="s">
        <v>13</v>
      </c>
      <c r="H151" t="s">
        <v>14</v>
      </c>
      <c r="I151">
        <v>4873390</v>
      </c>
      <c r="J151" t="s">
        <v>22</v>
      </c>
      <c r="K151" s="1" t="str">
        <f>VLOOKUP(I151,'[1]PC50 Y2018 Status'!$D:$H,5,FALSE)</f>
        <v>TECO PCNF NMAT PRC  SETC</v>
      </c>
    </row>
    <row r="152" spans="2:11" x14ac:dyDescent="0.25">
      <c r="B152">
        <v>610000004050</v>
      </c>
      <c r="C152" t="s">
        <v>17</v>
      </c>
      <c r="D152">
        <v>97</v>
      </c>
      <c r="E152" t="s">
        <v>103</v>
      </c>
      <c r="F152" t="s">
        <v>12</v>
      </c>
      <c r="G152" t="s">
        <v>13</v>
      </c>
      <c r="H152" t="s">
        <v>14</v>
      </c>
      <c r="I152">
        <v>4873374</v>
      </c>
      <c r="J152" t="s">
        <v>15</v>
      </c>
      <c r="K152" s="1" t="str">
        <f>VLOOKUP(I152,'[1]PC50 Y2018 Status'!$D:$H,5,FALSE)</f>
        <v>TECO PCNF NMAT PRC  SETC</v>
      </c>
    </row>
    <row r="153" spans="2:11" x14ac:dyDescent="0.25">
      <c r="B153">
        <v>610000004052</v>
      </c>
      <c r="C153" t="s">
        <v>46</v>
      </c>
      <c r="D153">
        <v>45</v>
      </c>
      <c r="E153" t="s">
        <v>103</v>
      </c>
      <c r="F153" t="s">
        <v>12</v>
      </c>
      <c r="G153" t="s">
        <v>13</v>
      </c>
      <c r="H153" t="s">
        <v>14</v>
      </c>
      <c r="I153">
        <v>4873387</v>
      </c>
      <c r="J153" t="s">
        <v>15</v>
      </c>
      <c r="K153" s="1" t="str">
        <f>VLOOKUP(I153,'[1]PC50 Y2018 Status'!$D:$H,5,FALSE)</f>
        <v>TECO PCNF NMAT PRC  SETC</v>
      </c>
    </row>
    <row r="154" spans="2:11" x14ac:dyDescent="0.25">
      <c r="B154">
        <v>347677</v>
      </c>
      <c r="C154" t="s">
        <v>104</v>
      </c>
      <c r="D154">
        <v>2</v>
      </c>
      <c r="E154" t="s">
        <v>105</v>
      </c>
      <c r="F154" t="s">
        <v>12</v>
      </c>
      <c r="G154" t="s">
        <v>13</v>
      </c>
      <c r="H154" t="s">
        <v>14</v>
      </c>
      <c r="I154">
        <v>4867674</v>
      </c>
      <c r="J154" t="s">
        <v>22</v>
      </c>
      <c r="K154" s="1" t="str">
        <f>VLOOKUP(I154,'[1]PC50 Y2018 Status'!$D:$H,5,FALSE)</f>
        <v>TECO PCNF NMAT PRC  SETC</v>
      </c>
    </row>
    <row r="155" spans="2:11" x14ac:dyDescent="0.25">
      <c r="B155">
        <v>610000004021</v>
      </c>
      <c r="C155" t="s">
        <v>10</v>
      </c>
      <c r="D155">
        <v>97</v>
      </c>
      <c r="E155" t="s">
        <v>105</v>
      </c>
      <c r="F155" t="s">
        <v>12</v>
      </c>
      <c r="G155" t="s">
        <v>13</v>
      </c>
      <c r="H155" t="s">
        <v>14</v>
      </c>
      <c r="I155">
        <v>4875090</v>
      </c>
      <c r="J155" t="s">
        <v>15</v>
      </c>
      <c r="K155" s="1" t="str">
        <f>VLOOKUP(I155,'[1]PC50 Y2018 Status'!$D:$H,5,FALSE)</f>
        <v>TECO PCNF NMAT PRC  SETC</v>
      </c>
    </row>
    <row r="156" spans="2:11" x14ac:dyDescent="0.25">
      <c r="B156">
        <v>610000004031</v>
      </c>
      <c r="C156" t="s">
        <v>16</v>
      </c>
      <c r="D156">
        <v>96</v>
      </c>
      <c r="E156" t="s">
        <v>105</v>
      </c>
      <c r="F156" t="s">
        <v>12</v>
      </c>
      <c r="G156" t="s">
        <v>13</v>
      </c>
      <c r="H156" t="s">
        <v>14</v>
      </c>
      <c r="I156">
        <v>4875166</v>
      </c>
      <c r="J156" t="s">
        <v>15</v>
      </c>
      <c r="K156" s="1" t="str">
        <f>VLOOKUP(I156,'[1]PC50 Y2018 Status'!$D:$H,5,FALSE)</f>
        <v>TECO PCNF NMAT PRC  SETC</v>
      </c>
    </row>
    <row r="157" spans="2:11" x14ac:dyDescent="0.25">
      <c r="B157">
        <v>610000004051</v>
      </c>
      <c r="C157" t="s">
        <v>17</v>
      </c>
      <c r="D157">
        <v>97</v>
      </c>
      <c r="E157" t="s">
        <v>105</v>
      </c>
      <c r="F157" t="s">
        <v>12</v>
      </c>
      <c r="G157" t="s">
        <v>13</v>
      </c>
      <c r="H157" t="s">
        <v>14</v>
      </c>
      <c r="I157">
        <v>4875088</v>
      </c>
      <c r="J157" t="s">
        <v>15</v>
      </c>
      <c r="K157" s="1" t="str">
        <f>VLOOKUP(I157,'[1]PC50 Y2018 Status'!$D:$H,5,FALSE)</f>
        <v>TECO PCNF NMAT PRC  SETC</v>
      </c>
    </row>
    <row r="158" spans="2:11" x14ac:dyDescent="0.25">
      <c r="B158">
        <v>610000004067</v>
      </c>
      <c r="C158" t="s">
        <v>106</v>
      </c>
      <c r="D158">
        <v>8</v>
      </c>
      <c r="E158" t="s">
        <v>105</v>
      </c>
      <c r="F158" t="s">
        <v>12</v>
      </c>
      <c r="G158" t="s">
        <v>13</v>
      </c>
      <c r="H158" t="s">
        <v>14</v>
      </c>
      <c r="I158">
        <v>4867619</v>
      </c>
      <c r="J158" t="s">
        <v>15</v>
      </c>
      <c r="K158" s="1" t="str">
        <f>VLOOKUP(I158,'[1]PC50 Y2018 Status'!$D:$H,5,FALSE)</f>
        <v>TECO PCNF NMAT PRC  SETC</v>
      </c>
    </row>
    <row r="159" spans="2:11" x14ac:dyDescent="0.25">
      <c r="B159">
        <v>342258</v>
      </c>
      <c r="C159" t="s">
        <v>18</v>
      </c>
      <c r="D159">
        <v>80</v>
      </c>
      <c r="E159" t="s">
        <v>107</v>
      </c>
      <c r="F159" t="s">
        <v>12</v>
      </c>
      <c r="G159" t="s">
        <v>13</v>
      </c>
      <c r="H159" t="s">
        <v>14</v>
      </c>
      <c r="I159">
        <v>4875099</v>
      </c>
      <c r="J159" t="s">
        <v>15</v>
      </c>
      <c r="K159" s="1" t="str">
        <f>VLOOKUP(I159,'[1]PC50 Y2018 Status'!$D:$H,5,FALSE)</f>
        <v>TECO PCNF NMAT PRC  SETC</v>
      </c>
    </row>
    <row r="160" spans="2:11" x14ac:dyDescent="0.25">
      <c r="B160">
        <v>610000004068</v>
      </c>
      <c r="C160" t="s">
        <v>24</v>
      </c>
      <c r="D160">
        <v>196</v>
      </c>
      <c r="E160" t="s">
        <v>108</v>
      </c>
      <c r="F160" t="s">
        <v>12</v>
      </c>
      <c r="G160" t="s">
        <v>13</v>
      </c>
      <c r="H160" t="s">
        <v>14</v>
      </c>
      <c r="I160">
        <v>4876821</v>
      </c>
      <c r="J160" t="s">
        <v>15</v>
      </c>
      <c r="K160" s="1" t="str">
        <f>VLOOKUP(I160,'[1]PC50 Y2018 Status'!$D:$H,5,FALSE)</f>
        <v>TECO PCNF NMAT PRC  SETC</v>
      </c>
    </row>
    <row r="161" spans="2:11" x14ac:dyDescent="0.25">
      <c r="B161">
        <v>610000004131</v>
      </c>
      <c r="C161" t="s">
        <v>61</v>
      </c>
      <c r="D161">
        <v>34</v>
      </c>
      <c r="E161" t="s">
        <v>108</v>
      </c>
      <c r="F161" t="s">
        <v>12</v>
      </c>
      <c r="G161" t="s">
        <v>13</v>
      </c>
      <c r="H161" t="s">
        <v>14</v>
      </c>
      <c r="I161">
        <v>4871806</v>
      </c>
      <c r="J161" t="s">
        <v>22</v>
      </c>
      <c r="K161" s="1" t="str">
        <f>VLOOKUP(I161,'[1]PC50 Y2018 Status'!$D:$H,5,FALSE)</f>
        <v>TECO PCNF NMAT PRC  SETC</v>
      </c>
    </row>
    <row r="162" spans="2:11" x14ac:dyDescent="0.25">
      <c r="B162">
        <v>342257</v>
      </c>
      <c r="C162" t="s">
        <v>25</v>
      </c>
      <c r="D162">
        <v>161</v>
      </c>
      <c r="E162" t="s">
        <v>109</v>
      </c>
      <c r="F162" t="s">
        <v>12</v>
      </c>
      <c r="G162" t="s">
        <v>13</v>
      </c>
      <c r="H162" t="s">
        <v>14</v>
      </c>
      <c r="I162">
        <v>4876855</v>
      </c>
      <c r="J162" t="s">
        <v>15</v>
      </c>
      <c r="K162" s="1" t="str">
        <f>VLOOKUP(I162,'[1]PC50 Y2018 Status'!$D:$H,5,FALSE)</f>
        <v>TECO PCNF NMAT PRC  SETC</v>
      </c>
    </row>
    <row r="163" spans="2:11" x14ac:dyDescent="0.25">
      <c r="B163">
        <v>347637</v>
      </c>
      <c r="C163" t="s">
        <v>27</v>
      </c>
      <c r="D163">
        <v>19</v>
      </c>
      <c r="E163" t="s">
        <v>109</v>
      </c>
      <c r="F163" t="s">
        <v>12</v>
      </c>
      <c r="G163" t="s">
        <v>13</v>
      </c>
      <c r="H163" t="s">
        <v>14</v>
      </c>
      <c r="I163">
        <v>4877819</v>
      </c>
      <c r="J163" t="s">
        <v>15</v>
      </c>
      <c r="K163" s="1" t="str">
        <f>VLOOKUP(I163,'[1]PC50 Y2018 Status'!$D:$H,5,FALSE)</f>
        <v>TECO PCNF NMAT PRC  SETC</v>
      </c>
    </row>
    <row r="164" spans="2:11" x14ac:dyDescent="0.25">
      <c r="B164">
        <v>347638</v>
      </c>
      <c r="C164" t="s">
        <v>16</v>
      </c>
      <c r="D164">
        <v>10</v>
      </c>
      <c r="E164" t="s">
        <v>109</v>
      </c>
      <c r="F164" t="s">
        <v>12</v>
      </c>
      <c r="G164" t="s">
        <v>13</v>
      </c>
      <c r="H164" t="s">
        <v>14</v>
      </c>
      <c r="I164">
        <v>4875846</v>
      </c>
      <c r="J164" t="s">
        <v>15</v>
      </c>
      <c r="K164" s="1" t="str">
        <f>VLOOKUP(I164,'[1]PC50 Y2018 Status'!$D:$H,5,FALSE)</f>
        <v>TECO PCNF NMAT PRC  SETC</v>
      </c>
    </row>
    <row r="165" spans="2:11" x14ac:dyDescent="0.25">
      <c r="B165">
        <v>610000004103</v>
      </c>
      <c r="C165" t="s">
        <v>51</v>
      </c>
      <c r="D165">
        <v>33</v>
      </c>
      <c r="E165" t="s">
        <v>109</v>
      </c>
      <c r="F165" t="s">
        <v>12</v>
      </c>
      <c r="G165" t="s">
        <v>13</v>
      </c>
      <c r="H165" t="s">
        <v>14</v>
      </c>
      <c r="I165">
        <v>4875769</v>
      </c>
      <c r="J165" t="s">
        <v>22</v>
      </c>
      <c r="K165" s="1" t="str">
        <f>VLOOKUP(I165,'[1]PC50 Y2018 Status'!$D:$H,5,FALSE)</f>
        <v>TECO PCNF NMAT PRC  SETC</v>
      </c>
    </row>
    <row r="166" spans="2:11" x14ac:dyDescent="0.25">
      <c r="B166">
        <v>342279</v>
      </c>
      <c r="C166" t="s">
        <v>64</v>
      </c>
      <c r="D166">
        <v>37</v>
      </c>
      <c r="E166" t="s">
        <v>110</v>
      </c>
      <c r="F166" t="s">
        <v>12</v>
      </c>
      <c r="G166" t="s">
        <v>13</v>
      </c>
      <c r="H166" t="s">
        <v>14</v>
      </c>
      <c r="I166">
        <v>4875830</v>
      </c>
      <c r="J166" t="s">
        <v>15</v>
      </c>
      <c r="K166" s="1" t="str">
        <f>VLOOKUP(I166,'[1]PC50 Y2018 Status'!$D:$H,5,FALSE)</f>
        <v>TECO PCNF NMAT PRC  SETC</v>
      </c>
    </row>
    <row r="167" spans="2:11" x14ac:dyDescent="0.25">
      <c r="B167">
        <v>610000004032</v>
      </c>
      <c r="C167" t="s">
        <v>32</v>
      </c>
      <c r="D167">
        <v>53</v>
      </c>
      <c r="E167" t="s">
        <v>110</v>
      </c>
      <c r="F167" t="s">
        <v>12</v>
      </c>
      <c r="G167" t="s">
        <v>13</v>
      </c>
      <c r="H167" t="s">
        <v>14</v>
      </c>
      <c r="I167">
        <v>4875770</v>
      </c>
      <c r="J167" t="s">
        <v>15</v>
      </c>
      <c r="K167" s="1" t="str">
        <f>VLOOKUP(I167,'[1]PC50 Y2018 Status'!$D:$H,5,FALSE)</f>
        <v>TECO PCNF NMAT PRC  SETC</v>
      </c>
    </row>
    <row r="168" spans="2:11" x14ac:dyDescent="0.25">
      <c r="B168">
        <v>610000004102</v>
      </c>
      <c r="C168" t="s">
        <v>67</v>
      </c>
      <c r="D168">
        <v>46</v>
      </c>
      <c r="E168" t="s">
        <v>111</v>
      </c>
      <c r="F168" t="s">
        <v>12</v>
      </c>
      <c r="G168" t="s">
        <v>13</v>
      </c>
      <c r="H168" t="s">
        <v>14</v>
      </c>
      <c r="I168">
        <v>4875828</v>
      </c>
      <c r="J168" t="s">
        <v>22</v>
      </c>
      <c r="K168" s="1" t="str">
        <f>VLOOKUP(I168,'[1]PC50 Y2018 Status'!$D:$H,5,FALSE)</f>
        <v>TECO PCNF NMAT PRC  SETC</v>
      </c>
    </row>
    <row r="169" spans="2:11" x14ac:dyDescent="0.25">
      <c r="B169">
        <v>610000004111</v>
      </c>
      <c r="C169" t="s">
        <v>78</v>
      </c>
      <c r="D169">
        <v>44</v>
      </c>
      <c r="E169" t="s">
        <v>111</v>
      </c>
      <c r="F169" t="s">
        <v>12</v>
      </c>
      <c r="G169" t="s">
        <v>13</v>
      </c>
      <c r="H169" t="s">
        <v>14</v>
      </c>
      <c r="I169">
        <v>4872757</v>
      </c>
      <c r="J169" t="s">
        <v>22</v>
      </c>
      <c r="K169" s="1" t="str">
        <f>VLOOKUP(I169,'[1]PC50 Y2018 Status'!$D:$H,5,FALSE)</f>
        <v>TECO PCNF NMAT PRC  SETC</v>
      </c>
    </row>
    <row r="170" spans="2:11" x14ac:dyDescent="0.25">
      <c r="B170">
        <v>610000004129</v>
      </c>
      <c r="C170" t="s">
        <v>68</v>
      </c>
      <c r="D170">
        <v>46</v>
      </c>
      <c r="E170" t="s">
        <v>111</v>
      </c>
      <c r="F170" t="s">
        <v>12</v>
      </c>
      <c r="G170" t="s">
        <v>13</v>
      </c>
      <c r="H170" t="s">
        <v>14</v>
      </c>
      <c r="I170">
        <v>4875837</v>
      </c>
      <c r="J170" t="s">
        <v>22</v>
      </c>
      <c r="K170" s="1" t="str">
        <f>VLOOKUP(I170,'[1]PC50 Y2018 Status'!$D:$H,5,FALSE)</f>
        <v>TECO PCNF NMAT PRC  SETC</v>
      </c>
    </row>
    <row r="171" spans="2:11" x14ac:dyDescent="0.25">
      <c r="B171">
        <v>342742</v>
      </c>
      <c r="C171" t="s">
        <v>77</v>
      </c>
      <c r="D171">
        <v>6</v>
      </c>
      <c r="E171" t="s">
        <v>112</v>
      </c>
      <c r="F171" t="s">
        <v>12</v>
      </c>
      <c r="G171" t="s">
        <v>13</v>
      </c>
      <c r="H171" t="s">
        <v>14</v>
      </c>
      <c r="I171">
        <v>4871944</v>
      </c>
      <c r="J171" t="s">
        <v>22</v>
      </c>
      <c r="K171" s="1" t="str">
        <f>VLOOKUP(I171,'[1]PC50 Y2018 Status'!$D:$H,5,FALSE)</f>
        <v>TECO PCNF NMAT PRC  SETC</v>
      </c>
    </row>
    <row r="172" spans="2:11" x14ac:dyDescent="0.25">
      <c r="B172">
        <v>610000004026</v>
      </c>
      <c r="C172" t="s">
        <v>44</v>
      </c>
      <c r="D172">
        <v>46</v>
      </c>
      <c r="E172" t="s">
        <v>112</v>
      </c>
      <c r="F172" t="s">
        <v>12</v>
      </c>
      <c r="G172" t="s">
        <v>13</v>
      </c>
      <c r="H172" t="s">
        <v>14</v>
      </c>
      <c r="I172">
        <v>4876920</v>
      </c>
      <c r="J172" t="s">
        <v>15</v>
      </c>
      <c r="K172" s="1" t="str">
        <f>VLOOKUP(I172,'[1]PC50 Y2018 Status'!$D:$H,5,FALSE)</f>
        <v>TECO NMAT PRC  SETC</v>
      </c>
    </row>
    <row r="173" spans="2:11" x14ac:dyDescent="0.25">
      <c r="B173">
        <v>610000004028</v>
      </c>
      <c r="C173" t="s">
        <v>44</v>
      </c>
      <c r="D173">
        <v>44</v>
      </c>
      <c r="E173" t="s">
        <v>112</v>
      </c>
      <c r="F173" t="s">
        <v>12</v>
      </c>
      <c r="G173" t="s">
        <v>13</v>
      </c>
      <c r="H173" t="s">
        <v>14</v>
      </c>
      <c r="I173">
        <v>4876830</v>
      </c>
      <c r="J173" t="s">
        <v>15</v>
      </c>
      <c r="K173" s="1" t="str">
        <f>VLOOKUP(I173,'[1]PC50 Y2018 Status'!$D:$H,5,FALSE)</f>
        <v>TECO NMAT PRC  SETC</v>
      </c>
    </row>
    <row r="174" spans="2:11" x14ac:dyDescent="0.25">
      <c r="B174">
        <v>610000004061</v>
      </c>
      <c r="C174" t="s">
        <v>64</v>
      </c>
      <c r="D174">
        <v>46</v>
      </c>
      <c r="E174" t="s">
        <v>112</v>
      </c>
      <c r="F174" t="s">
        <v>12</v>
      </c>
      <c r="G174" t="s">
        <v>13</v>
      </c>
      <c r="H174" t="s">
        <v>14</v>
      </c>
      <c r="I174">
        <v>4876845</v>
      </c>
      <c r="J174" t="s">
        <v>15</v>
      </c>
      <c r="K174" s="1" t="str">
        <f>VLOOKUP(I174,'[1]PC50 Y2018 Status'!$D:$H,5,FALSE)</f>
        <v>TECO PCNF NMAT PRC  SETC</v>
      </c>
    </row>
    <row r="175" spans="2:11" x14ac:dyDescent="0.25">
      <c r="B175">
        <v>610000004062</v>
      </c>
      <c r="C175" t="s">
        <v>64</v>
      </c>
      <c r="D175">
        <v>46</v>
      </c>
      <c r="E175" t="s">
        <v>112</v>
      </c>
      <c r="F175" t="s">
        <v>12</v>
      </c>
      <c r="G175" t="s">
        <v>13</v>
      </c>
      <c r="H175" t="s">
        <v>14</v>
      </c>
      <c r="I175">
        <v>4876863</v>
      </c>
      <c r="J175" t="s">
        <v>15</v>
      </c>
      <c r="K175" s="1" t="str">
        <f>VLOOKUP(I175,'[1]PC50 Y2018 Status'!$D:$H,5,FALSE)</f>
        <v>TECO PCNF NMAT PRC  SETC</v>
      </c>
    </row>
    <row r="176" spans="2:11" x14ac:dyDescent="0.25">
      <c r="B176">
        <v>610000004063</v>
      </c>
      <c r="C176" t="s">
        <v>64</v>
      </c>
      <c r="D176">
        <v>44</v>
      </c>
      <c r="E176" t="s">
        <v>112</v>
      </c>
      <c r="F176" t="s">
        <v>12</v>
      </c>
      <c r="G176" t="s">
        <v>13</v>
      </c>
      <c r="H176" t="s">
        <v>14</v>
      </c>
      <c r="I176">
        <v>4876893</v>
      </c>
      <c r="J176" t="s">
        <v>15</v>
      </c>
      <c r="K176" s="1" t="str">
        <f>VLOOKUP(I176,'[1]PC50 Y2018 Status'!$D:$H,5,FALSE)</f>
        <v>TECO PCNF NMAT PRC  SETC</v>
      </c>
    </row>
    <row r="177" spans="2:11" x14ac:dyDescent="0.25">
      <c r="B177">
        <v>610000004064</v>
      </c>
      <c r="C177" t="s">
        <v>64</v>
      </c>
      <c r="D177">
        <v>44</v>
      </c>
      <c r="E177" t="s">
        <v>112</v>
      </c>
      <c r="F177" t="s">
        <v>12</v>
      </c>
      <c r="G177" t="s">
        <v>13</v>
      </c>
      <c r="H177" t="s">
        <v>14</v>
      </c>
      <c r="I177">
        <v>4876846</v>
      </c>
      <c r="J177" t="s">
        <v>15</v>
      </c>
      <c r="K177" s="1" t="str">
        <f>VLOOKUP(I177,'[1]PC50 Y2018 Status'!$D:$H,5,FALSE)</f>
        <v>TECO PCNF NMAT PRC  SETC</v>
      </c>
    </row>
    <row r="178" spans="2:11" x14ac:dyDescent="0.25">
      <c r="B178">
        <v>610000004071</v>
      </c>
      <c r="C178" t="s">
        <v>70</v>
      </c>
      <c r="D178">
        <v>56</v>
      </c>
      <c r="E178" t="s">
        <v>112</v>
      </c>
      <c r="F178" t="s">
        <v>12</v>
      </c>
      <c r="G178" t="s">
        <v>13</v>
      </c>
      <c r="H178" t="s">
        <v>14</v>
      </c>
      <c r="I178">
        <v>4876896</v>
      </c>
      <c r="J178" t="s">
        <v>15</v>
      </c>
      <c r="K178" s="1" t="str">
        <f>VLOOKUP(I178,'[1]PC50 Y2018 Status'!$D:$H,5,FALSE)</f>
        <v>TECO PCNF NMAT PRC  SETC</v>
      </c>
    </row>
    <row r="179" spans="2:11" x14ac:dyDescent="0.25">
      <c r="B179">
        <v>610000004072</v>
      </c>
      <c r="C179" t="s">
        <v>70</v>
      </c>
      <c r="D179">
        <v>44</v>
      </c>
      <c r="E179" t="s">
        <v>112</v>
      </c>
      <c r="F179" t="s">
        <v>12</v>
      </c>
      <c r="G179" t="s">
        <v>13</v>
      </c>
      <c r="H179" t="s">
        <v>14</v>
      </c>
      <c r="I179">
        <v>4876850</v>
      </c>
      <c r="J179" t="s">
        <v>15</v>
      </c>
      <c r="K179" s="1" t="str">
        <f>VLOOKUP(I179,'[1]PC50 Y2018 Status'!$D:$H,5,FALSE)</f>
        <v>TECO PCNF NMAT PRC  SETC</v>
      </c>
    </row>
    <row r="180" spans="2:11" x14ac:dyDescent="0.25">
      <c r="B180">
        <v>610000004073</v>
      </c>
      <c r="C180" t="s">
        <v>70</v>
      </c>
      <c r="D180">
        <v>43</v>
      </c>
      <c r="E180" t="s">
        <v>112</v>
      </c>
      <c r="F180" t="s">
        <v>12</v>
      </c>
      <c r="G180" t="s">
        <v>13</v>
      </c>
      <c r="H180" t="s">
        <v>14</v>
      </c>
      <c r="I180">
        <v>4876851</v>
      </c>
      <c r="J180" t="s">
        <v>15</v>
      </c>
      <c r="K180" s="1" t="str">
        <f>VLOOKUP(I180,'[1]PC50 Y2018 Status'!$D:$H,5,FALSE)</f>
        <v>TECO PCNF NMAT PRC  SETC</v>
      </c>
    </row>
    <row r="181" spans="2:11" x14ac:dyDescent="0.25">
      <c r="B181">
        <v>610000004078</v>
      </c>
      <c r="C181" t="s">
        <v>71</v>
      </c>
      <c r="D181">
        <v>44</v>
      </c>
      <c r="E181" t="s">
        <v>112</v>
      </c>
      <c r="F181" t="s">
        <v>12</v>
      </c>
      <c r="G181" t="s">
        <v>13</v>
      </c>
      <c r="H181" t="s">
        <v>14</v>
      </c>
      <c r="I181">
        <v>4876834</v>
      </c>
      <c r="J181" t="s">
        <v>15</v>
      </c>
      <c r="K181" s="1" t="str">
        <f>VLOOKUP(I181,'[1]PC50 Y2018 Status'!$D:$H,5,FALSE)</f>
        <v>TECO PCNF NMAT PRC  SETC</v>
      </c>
    </row>
    <row r="182" spans="2:11" x14ac:dyDescent="0.25">
      <c r="B182">
        <v>610000004175</v>
      </c>
      <c r="C182" t="s">
        <v>34</v>
      </c>
      <c r="D182">
        <v>97</v>
      </c>
      <c r="E182" t="s">
        <v>112</v>
      </c>
      <c r="F182" t="s">
        <v>12</v>
      </c>
      <c r="G182" t="s">
        <v>13</v>
      </c>
      <c r="H182" t="s">
        <v>14</v>
      </c>
      <c r="I182">
        <v>4876888</v>
      </c>
      <c r="J182" t="s">
        <v>22</v>
      </c>
      <c r="K182" s="1" t="str">
        <f>VLOOKUP(I182,'[1]PC50 Y2018 Status'!$D:$H,5,FALSE)</f>
        <v>TECO PCNF NMAT PRC  SETC</v>
      </c>
    </row>
    <row r="183" spans="2:11" x14ac:dyDescent="0.25">
      <c r="B183">
        <v>610000004069</v>
      </c>
      <c r="C183" t="s">
        <v>35</v>
      </c>
      <c r="D183">
        <v>98</v>
      </c>
      <c r="E183" t="s">
        <v>113</v>
      </c>
      <c r="F183" t="s">
        <v>12</v>
      </c>
      <c r="G183" t="s">
        <v>13</v>
      </c>
      <c r="H183" t="s">
        <v>14</v>
      </c>
      <c r="I183">
        <v>4876849</v>
      </c>
      <c r="J183" t="s">
        <v>15</v>
      </c>
      <c r="K183" s="1" t="str">
        <f>VLOOKUP(I183,'[1]PC50 Y2018 Status'!$D:$H,5,FALSE)</f>
        <v>TECO PCNF NMAT PRC  SETC</v>
      </c>
    </row>
    <row r="184" spans="2:11" x14ac:dyDescent="0.25">
      <c r="B184">
        <v>610000004070</v>
      </c>
      <c r="C184" t="s">
        <v>35</v>
      </c>
      <c r="D184">
        <v>98</v>
      </c>
      <c r="E184" t="s">
        <v>113</v>
      </c>
      <c r="F184" t="s">
        <v>12</v>
      </c>
      <c r="G184" t="s">
        <v>13</v>
      </c>
      <c r="H184" t="s">
        <v>14</v>
      </c>
      <c r="I184">
        <v>4876864</v>
      </c>
      <c r="J184" t="s">
        <v>15</v>
      </c>
      <c r="K184" s="1" t="str">
        <f>VLOOKUP(I184,'[1]PC50 Y2018 Status'!$D:$H,5,FALSE)</f>
        <v>TECO PCNF NMAT PRC  SETC</v>
      </c>
    </row>
    <row r="185" spans="2:11" x14ac:dyDescent="0.25">
      <c r="B185">
        <v>610000004112</v>
      </c>
      <c r="C185" t="s">
        <v>78</v>
      </c>
      <c r="D185">
        <v>35</v>
      </c>
      <c r="E185" t="s">
        <v>113</v>
      </c>
      <c r="F185" t="s">
        <v>12</v>
      </c>
      <c r="G185" t="s">
        <v>13</v>
      </c>
      <c r="H185" t="s">
        <v>14</v>
      </c>
      <c r="I185">
        <v>4876897</v>
      </c>
      <c r="J185" t="s">
        <v>22</v>
      </c>
      <c r="K185" s="1" t="str">
        <f>VLOOKUP(I185,'[1]PC50 Y2018 Status'!$D:$H,5,FALSE)</f>
        <v>TECO PCNF NMAT PRC  SETC</v>
      </c>
    </row>
    <row r="186" spans="2:11" x14ac:dyDescent="0.25">
      <c r="B186">
        <v>610000004122</v>
      </c>
      <c r="C186" t="s">
        <v>54</v>
      </c>
      <c r="D186">
        <v>35</v>
      </c>
      <c r="E186" t="s">
        <v>113</v>
      </c>
      <c r="F186" t="s">
        <v>12</v>
      </c>
      <c r="G186" t="s">
        <v>13</v>
      </c>
      <c r="H186" t="s">
        <v>14</v>
      </c>
      <c r="I186">
        <v>4876873</v>
      </c>
      <c r="J186" t="s">
        <v>22</v>
      </c>
      <c r="K186" s="1" t="str">
        <f>VLOOKUP(I186,'[1]PC50 Y2018 Status'!$D:$H,5,FALSE)</f>
        <v>TECO PCNF NMAT PRC  SETC</v>
      </c>
    </row>
    <row r="187" spans="2:11" x14ac:dyDescent="0.25">
      <c r="B187">
        <v>610000004130</v>
      </c>
      <c r="C187" t="s">
        <v>61</v>
      </c>
      <c r="D187">
        <v>35</v>
      </c>
      <c r="E187" t="s">
        <v>113</v>
      </c>
      <c r="F187" t="s">
        <v>12</v>
      </c>
      <c r="G187" t="s">
        <v>13</v>
      </c>
      <c r="H187" t="s">
        <v>14</v>
      </c>
      <c r="I187">
        <v>4876835</v>
      </c>
      <c r="J187" t="s">
        <v>22</v>
      </c>
      <c r="K187" s="1" t="str">
        <f>VLOOKUP(I187,'[1]PC50 Y2018 Status'!$D:$H,5,FALSE)</f>
        <v>TECO PCNF NMAT PRC  SETC</v>
      </c>
    </row>
    <row r="188" spans="2:11" x14ac:dyDescent="0.25">
      <c r="B188">
        <v>347678</v>
      </c>
      <c r="C188" t="s">
        <v>28</v>
      </c>
      <c r="D188">
        <v>5</v>
      </c>
      <c r="E188" t="s">
        <v>114</v>
      </c>
      <c r="F188" t="s">
        <v>12</v>
      </c>
      <c r="G188" t="s">
        <v>13</v>
      </c>
      <c r="H188" t="s">
        <v>14</v>
      </c>
      <c r="I188">
        <v>4876929</v>
      </c>
      <c r="J188" t="s">
        <v>22</v>
      </c>
      <c r="K188" s="1" t="str">
        <f>VLOOKUP(I188,'[1]PC50 Y2018 Status'!$D:$H,5,FALSE)</f>
        <v>TECO PCNF NMAT PRC  SETC</v>
      </c>
    </row>
    <row r="189" spans="2:11" x14ac:dyDescent="0.25">
      <c r="B189">
        <v>610000004068</v>
      </c>
      <c r="C189" t="s">
        <v>24</v>
      </c>
      <c r="D189">
        <v>197</v>
      </c>
      <c r="E189" t="s">
        <v>114</v>
      </c>
      <c r="F189" t="s">
        <v>12</v>
      </c>
      <c r="G189" t="s">
        <v>13</v>
      </c>
      <c r="H189" t="s">
        <v>14</v>
      </c>
      <c r="I189">
        <v>4878979</v>
      </c>
      <c r="J189" t="s">
        <v>15</v>
      </c>
      <c r="K189" s="1" t="str">
        <f>VLOOKUP(I189,'[1]PC50 Y2018 Status'!$D:$H,5,FALSE)</f>
        <v>TECO PCNF NMAT PRC  SETC</v>
      </c>
    </row>
    <row r="190" spans="2:11" x14ac:dyDescent="0.25">
      <c r="B190">
        <v>610000004077</v>
      </c>
      <c r="C190" t="s">
        <v>39</v>
      </c>
      <c r="D190">
        <v>98</v>
      </c>
      <c r="E190" t="s">
        <v>114</v>
      </c>
      <c r="F190" t="s">
        <v>12</v>
      </c>
      <c r="G190" t="s">
        <v>13</v>
      </c>
      <c r="H190" t="s">
        <v>14</v>
      </c>
      <c r="I190">
        <v>4877739</v>
      </c>
      <c r="J190" t="s">
        <v>15</v>
      </c>
      <c r="K190" s="1" t="str">
        <f>VLOOKUP(I190,'[1]PC50 Y2018 Status'!$D:$H,5,FALSE)</f>
        <v>TECO PCNF NMAT PRC  SETC</v>
      </c>
    </row>
    <row r="191" spans="2:11" x14ac:dyDescent="0.25">
      <c r="B191">
        <v>610000004085</v>
      </c>
      <c r="C191" t="s">
        <v>18</v>
      </c>
      <c r="D191">
        <v>98</v>
      </c>
      <c r="E191" t="s">
        <v>114</v>
      </c>
      <c r="F191" t="s">
        <v>12</v>
      </c>
      <c r="G191" t="s">
        <v>13</v>
      </c>
      <c r="H191" t="s">
        <v>14</v>
      </c>
      <c r="I191">
        <v>4877697</v>
      </c>
      <c r="J191" t="s">
        <v>15</v>
      </c>
      <c r="K191" s="1" t="str">
        <f>VLOOKUP(I191,'[1]PC50 Y2018 Status'!$D:$H,5,FALSE)</f>
        <v>TECO PCNF NMAT PRC  SETC</v>
      </c>
    </row>
    <row r="192" spans="2:11" x14ac:dyDescent="0.25">
      <c r="B192">
        <v>610000004086</v>
      </c>
      <c r="C192" t="s">
        <v>18</v>
      </c>
      <c r="D192">
        <v>98</v>
      </c>
      <c r="E192" t="s">
        <v>114</v>
      </c>
      <c r="F192" t="s">
        <v>12</v>
      </c>
      <c r="G192" t="s">
        <v>13</v>
      </c>
      <c r="H192" t="s">
        <v>14</v>
      </c>
      <c r="I192">
        <v>4877792</v>
      </c>
      <c r="J192" t="s">
        <v>15</v>
      </c>
      <c r="K192" s="1" t="str">
        <f>VLOOKUP(I192,'[1]PC50 Y2018 Status'!$D:$H,5,FALSE)</f>
        <v>TECO PCNF NMAT PRC  SETC</v>
      </c>
    </row>
    <row r="193" spans="2:11" x14ac:dyDescent="0.25">
      <c r="B193">
        <v>610000004162</v>
      </c>
      <c r="C193" t="s">
        <v>43</v>
      </c>
      <c r="D193">
        <v>46</v>
      </c>
      <c r="E193" t="s">
        <v>114</v>
      </c>
      <c r="F193" t="s">
        <v>12</v>
      </c>
      <c r="G193" t="s">
        <v>13</v>
      </c>
      <c r="H193" t="s">
        <v>14</v>
      </c>
      <c r="I193">
        <v>4876909</v>
      </c>
      <c r="J193" t="s">
        <v>22</v>
      </c>
      <c r="K193" s="1" t="str">
        <f>VLOOKUP(I193,'[1]PC50 Y2018 Status'!$D:$H,5,FALSE)</f>
        <v>TECO PCNF NMAT PRC  SETC</v>
      </c>
    </row>
    <row r="194" spans="2:11" x14ac:dyDescent="0.25">
      <c r="B194">
        <v>610000004170</v>
      </c>
      <c r="C194" t="s">
        <v>115</v>
      </c>
      <c r="D194">
        <v>14</v>
      </c>
      <c r="E194" t="s">
        <v>114</v>
      </c>
      <c r="F194" t="s">
        <v>12</v>
      </c>
      <c r="G194" t="s">
        <v>13</v>
      </c>
      <c r="H194" t="s">
        <v>14</v>
      </c>
      <c r="I194">
        <v>4876910</v>
      </c>
      <c r="J194" t="s">
        <v>22</v>
      </c>
      <c r="K194" s="1" t="str">
        <f>VLOOKUP(I194,'[1]PC50 Y2018 Status'!$D:$H,5,FALSE)</f>
        <v>TECO PCNF NMAT PRC  SETC</v>
      </c>
    </row>
    <row r="195" spans="2:11" x14ac:dyDescent="0.25">
      <c r="B195">
        <v>610000004025</v>
      </c>
      <c r="C195" t="s">
        <v>44</v>
      </c>
      <c r="D195">
        <v>97</v>
      </c>
      <c r="E195" t="s">
        <v>116</v>
      </c>
      <c r="F195" t="s">
        <v>12</v>
      </c>
      <c r="G195" t="s">
        <v>13</v>
      </c>
      <c r="H195" t="s">
        <v>14</v>
      </c>
      <c r="I195">
        <v>4877681</v>
      </c>
      <c r="J195" t="s">
        <v>15</v>
      </c>
      <c r="K195" s="1" t="str">
        <f>VLOOKUP(I195,'[1]PC50 Y2018 Status'!$D:$H,5,FALSE)</f>
        <v>TECO PCNF NMAT PRC  SETC</v>
      </c>
    </row>
    <row r="196" spans="2:11" x14ac:dyDescent="0.25">
      <c r="B196">
        <v>610000004091</v>
      </c>
      <c r="C196" t="s">
        <v>47</v>
      </c>
      <c r="D196">
        <v>97</v>
      </c>
      <c r="E196" t="s">
        <v>116</v>
      </c>
      <c r="F196" t="s">
        <v>12</v>
      </c>
      <c r="G196" t="s">
        <v>13</v>
      </c>
      <c r="H196" t="s">
        <v>14</v>
      </c>
      <c r="I196">
        <v>4877669</v>
      </c>
      <c r="J196" t="s">
        <v>15</v>
      </c>
      <c r="K196" s="1" t="str">
        <f>VLOOKUP(I196,'[1]PC50 Y2018 Status'!$D:$H,5,FALSE)</f>
        <v>TECO PCNF NMAT PRC  SETC</v>
      </c>
    </row>
    <row r="197" spans="2:11" x14ac:dyDescent="0.25">
      <c r="B197">
        <v>610000004161</v>
      </c>
      <c r="C197" t="s">
        <v>48</v>
      </c>
      <c r="D197">
        <v>99</v>
      </c>
      <c r="E197" t="s">
        <v>116</v>
      </c>
      <c r="F197" t="s">
        <v>12</v>
      </c>
      <c r="G197" t="s">
        <v>13</v>
      </c>
      <c r="H197" t="s">
        <v>14</v>
      </c>
      <c r="I197">
        <v>4877673</v>
      </c>
      <c r="J197" t="s">
        <v>22</v>
      </c>
      <c r="K197" s="1" t="str">
        <f>VLOOKUP(I197,'[1]PC50 Y2018 Status'!$D:$H,5,FALSE)</f>
        <v>TECO PCNF NMAT PRC  SETC</v>
      </c>
    </row>
    <row r="198" spans="2:11" x14ac:dyDescent="0.25">
      <c r="B198">
        <v>610000004176</v>
      </c>
      <c r="C198" t="s">
        <v>59</v>
      </c>
      <c r="D198">
        <v>35</v>
      </c>
      <c r="E198" t="s">
        <v>116</v>
      </c>
      <c r="F198" t="s">
        <v>12</v>
      </c>
      <c r="G198" t="s">
        <v>13</v>
      </c>
      <c r="H198" t="s">
        <v>14</v>
      </c>
      <c r="I198">
        <v>4877703</v>
      </c>
      <c r="J198" t="s">
        <v>22</v>
      </c>
      <c r="K198" s="1" t="str">
        <f>VLOOKUP(I198,'[1]PC50 Y2018 Status'!$D:$H,5,FALSE)</f>
        <v>TECO PCNF NMAT PRC  SETC</v>
      </c>
    </row>
    <row r="199" spans="2:11" x14ac:dyDescent="0.25">
      <c r="B199">
        <v>342257</v>
      </c>
      <c r="C199" t="s">
        <v>25</v>
      </c>
      <c r="D199">
        <v>162</v>
      </c>
      <c r="E199" t="s">
        <v>117</v>
      </c>
      <c r="F199" t="s">
        <v>12</v>
      </c>
      <c r="G199" t="s">
        <v>13</v>
      </c>
      <c r="H199" t="s">
        <v>14</v>
      </c>
      <c r="I199">
        <v>4879000</v>
      </c>
      <c r="J199" t="s">
        <v>15</v>
      </c>
      <c r="K199" s="1" t="str">
        <f>VLOOKUP(I199,'[1]PC50 Y2018 Status'!$D:$H,5,FALSE)</f>
        <v>TECO PCNF NMAT PRC  SETC</v>
      </c>
    </row>
    <row r="200" spans="2:11" x14ac:dyDescent="0.25">
      <c r="B200">
        <v>342586</v>
      </c>
      <c r="C200" t="s">
        <v>82</v>
      </c>
      <c r="D200">
        <v>33</v>
      </c>
      <c r="E200" t="s">
        <v>117</v>
      </c>
      <c r="F200" t="s">
        <v>12</v>
      </c>
      <c r="G200" t="s">
        <v>13</v>
      </c>
      <c r="H200" t="s">
        <v>14</v>
      </c>
      <c r="I200">
        <v>4877809</v>
      </c>
      <c r="J200" t="s">
        <v>22</v>
      </c>
      <c r="K200" s="1" t="str">
        <f>VLOOKUP(I200,'[1]PC50 Y2018 Status'!$D:$H,5,FALSE)</f>
        <v>TECO PCNF NMAT PRC  SETC</v>
      </c>
    </row>
    <row r="201" spans="2:11" x14ac:dyDescent="0.25">
      <c r="B201">
        <v>347637</v>
      </c>
      <c r="C201" t="s">
        <v>27</v>
      </c>
      <c r="D201">
        <v>20</v>
      </c>
      <c r="E201" t="s">
        <v>117</v>
      </c>
      <c r="F201" t="s">
        <v>12</v>
      </c>
      <c r="G201" t="s">
        <v>13</v>
      </c>
      <c r="H201" t="s">
        <v>14</v>
      </c>
      <c r="I201">
        <v>4879884</v>
      </c>
      <c r="J201" t="s">
        <v>15</v>
      </c>
      <c r="K201" s="1" t="str">
        <f>VLOOKUP(I201,'[1]PC50 Y2018 Status'!$D:$H,5,FALSE)</f>
        <v>TECO PCNF NMAT PRC  SETC</v>
      </c>
    </row>
    <row r="202" spans="2:11" x14ac:dyDescent="0.25">
      <c r="B202">
        <v>610000004123</v>
      </c>
      <c r="C202" t="s">
        <v>54</v>
      </c>
      <c r="D202">
        <v>23</v>
      </c>
      <c r="E202" t="s">
        <v>117</v>
      </c>
      <c r="F202" t="s">
        <v>12</v>
      </c>
      <c r="G202" t="s">
        <v>13</v>
      </c>
      <c r="H202" t="s">
        <v>14</v>
      </c>
      <c r="I202">
        <v>4878977</v>
      </c>
      <c r="J202" t="s">
        <v>22</v>
      </c>
      <c r="K202" s="1" t="str">
        <f>VLOOKUP(I202,'[1]PC50 Y2018 Status'!$D:$H,5,FALSE)</f>
        <v>TECO PCNF NMAT PRC  SETC</v>
      </c>
    </row>
    <row r="203" spans="2:11" x14ac:dyDescent="0.25">
      <c r="B203">
        <v>610000004050</v>
      </c>
      <c r="C203" t="s">
        <v>17</v>
      </c>
      <c r="D203">
        <v>98</v>
      </c>
      <c r="E203" t="s">
        <v>118</v>
      </c>
      <c r="F203" t="s">
        <v>12</v>
      </c>
      <c r="G203" t="s">
        <v>13</v>
      </c>
      <c r="H203" t="s">
        <v>14</v>
      </c>
      <c r="I203">
        <v>4877716</v>
      </c>
      <c r="J203" t="s">
        <v>15</v>
      </c>
      <c r="K203" s="1" t="str">
        <f>VLOOKUP(I203,'[1]PC50 Y2018 Status'!$D:$H,5,FALSE)</f>
        <v>TECO PCNF NMAT PRC  SETC</v>
      </c>
    </row>
    <row r="204" spans="2:11" x14ac:dyDescent="0.25">
      <c r="B204">
        <v>610000004152</v>
      </c>
      <c r="C204" t="s">
        <v>82</v>
      </c>
      <c r="D204">
        <v>46</v>
      </c>
      <c r="E204" t="s">
        <v>118</v>
      </c>
      <c r="F204" t="s">
        <v>12</v>
      </c>
      <c r="G204" t="s">
        <v>13</v>
      </c>
      <c r="H204" t="s">
        <v>14</v>
      </c>
      <c r="I204">
        <v>4877761</v>
      </c>
      <c r="J204" t="s">
        <v>22</v>
      </c>
      <c r="K204" s="1" t="str">
        <f>VLOOKUP(I204,'[1]PC50 Y2018 Status'!$D:$H,5,FALSE)</f>
        <v>TECO PCNF NMAT PRC  SETC</v>
      </c>
    </row>
    <row r="205" spans="2:11" x14ac:dyDescent="0.25">
      <c r="B205">
        <v>610000004021</v>
      </c>
      <c r="C205" t="s">
        <v>10</v>
      </c>
      <c r="D205">
        <v>98</v>
      </c>
      <c r="E205" t="s">
        <v>119</v>
      </c>
      <c r="F205" t="s">
        <v>12</v>
      </c>
      <c r="G205" t="s">
        <v>13</v>
      </c>
      <c r="H205" t="s">
        <v>14</v>
      </c>
      <c r="I205">
        <v>4878981</v>
      </c>
      <c r="J205" t="s">
        <v>15</v>
      </c>
      <c r="K205" s="1" t="str">
        <f>VLOOKUP(I205,'[1]PC50 Y2018 Status'!$D:$H,5,FALSE)</f>
        <v>TECO PCNF NMAT PRC  SETC</v>
      </c>
    </row>
    <row r="206" spans="2:11" x14ac:dyDescent="0.25">
      <c r="B206">
        <v>610000004031</v>
      </c>
      <c r="C206" t="s">
        <v>16</v>
      </c>
      <c r="D206">
        <v>97</v>
      </c>
      <c r="E206" t="s">
        <v>119</v>
      </c>
      <c r="F206" t="s">
        <v>12</v>
      </c>
      <c r="G206" t="s">
        <v>13</v>
      </c>
      <c r="H206" t="s">
        <v>14</v>
      </c>
      <c r="I206">
        <v>4879051</v>
      </c>
      <c r="J206" t="s">
        <v>15</v>
      </c>
      <c r="K206" s="1" t="str">
        <f>VLOOKUP(I206,'[1]PC50 Y2018 Status'!$D:$H,5,FALSE)</f>
        <v>TECO PCNF NMAT PRC  SETC</v>
      </c>
    </row>
    <row r="207" spans="2:11" x14ac:dyDescent="0.25">
      <c r="B207">
        <v>610000004051</v>
      </c>
      <c r="C207" t="s">
        <v>17</v>
      </c>
      <c r="D207">
        <v>98</v>
      </c>
      <c r="E207" t="s">
        <v>119</v>
      </c>
      <c r="F207" t="s">
        <v>12</v>
      </c>
      <c r="G207" t="s">
        <v>13</v>
      </c>
      <c r="H207" t="s">
        <v>14</v>
      </c>
      <c r="I207">
        <v>4878976</v>
      </c>
      <c r="J207" t="s">
        <v>15</v>
      </c>
      <c r="K207" s="1" t="str">
        <f>VLOOKUP(I207,'[1]PC50 Y2018 Status'!$D:$H,5,FALSE)</f>
        <v>TECO PCNF NMAT PRC  SETC</v>
      </c>
    </row>
    <row r="208" spans="2:11" x14ac:dyDescent="0.25">
      <c r="B208">
        <v>342258</v>
      </c>
      <c r="C208" t="s">
        <v>18</v>
      </c>
      <c r="D208">
        <v>81</v>
      </c>
      <c r="E208" t="s">
        <v>120</v>
      </c>
      <c r="F208" t="s">
        <v>12</v>
      </c>
      <c r="G208" t="s">
        <v>13</v>
      </c>
      <c r="H208" t="s">
        <v>14</v>
      </c>
      <c r="I208">
        <v>4879011</v>
      </c>
      <c r="J208" t="s">
        <v>15</v>
      </c>
      <c r="K208" s="1" t="str">
        <f>VLOOKUP(I208,'[1]PC50 Y2018 Status'!$D:$H,5,FALSE)</f>
        <v>TECO PCNF NMAT PRC  SETC</v>
      </c>
    </row>
    <row r="209" spans="2:11" x14ac:dyDescent="0.25">
      <c r="B209">
        <v>342588</v>
      </c>
      <c r="C209" t="s">
        <v>82</v>
      </c>
      <c r="D209">
        <v>34</v>
      </c>
      <c r="E209" t="s">
        <v>120</v>
      </c>
      <c r="F209" t="s">
        <v>12</v>
      </c>
      <c r="G209" t="s">
        <v>13</v>
      </c>
      <c r="H209" t="s">
        <v>14</v>
      </c>
      <c r="I209">
        <v>4879056</v>
      </c>
      <c r="J209" t="s">
        <v>22</v>
      </c>
      <c r="K209" s="1" t="str">
        <f>VLOOKUP(I209,'[1]PC50 Y2018 Status'!$D:$H,5,FALSE)</f>
        <v>TECO PCNF NMAT PRC  SETC</v>
      </c>
    </row>
    <row r="210" spans="2:11" x14ac:dyDescent="0.25">
      <c r="B210">
        <v>342462</v>
      </c>
      <c r="C210" t="s">
        <v>77</v>
      </c>
      <c r="D210">
        <v>6</v>
      </c>
      <c r="E210" t="s">
        <v>121</v>
      </c>
      <c r="F210" t="s">
        <v>12</v>
      </c>
      <c r="G210" t="s">
        <v>13</v>
      </c>
      <c r="H210" t="s">
        <v>14</v>
      </c>
      <c r="I210">
        <v>4875168</v>
      </c>
      <c r="J210" t="s">
        <v>22</v>
      </c>
      <c r="K210" s="1" t="str">
        <f>VLOOKUP(I210,'[1]PC50 Y2018 Status'!$D:$H,5,FALSE)</f>
        <v>TECO PCNF NMAT PRC  SETC</v>
      </c>
    </row>
    <row r="211" spans="2:11" x14ac:dyDescent="0.25">
      <c r="B211">
        <v>347640</v>
      </c>
      <c r="C211" t="s">
        <v>79</v>
      </c>
      <c r="D211">
        <v>1</v>
      </c>
      <c r="E211" t="s">
        <v>121</v>
      </c>
      <c r="F211" t="s">
        <v>122</v>
      </c>
      <c r="G211" t="s">
        <v>13</v>
      </c>
      <c r="H211" t="s">
        <v>14</v>
      </c>
      <c r="I211">
        <v>4875181</v>
      </c>
      <c r="J211" t="s">
        <v>15</v>
      </c>
      <c r="K211" s="1" t="str">
        <f>VLOOKUP(I211,'[1]PC50 Y2018 Status'!$D:$H,5,FALSE)</f>
        <v>TECO PCNF GMPS MANC PRC  SETC</v>
      </c>
    </row>
    <row r="212" spans="2:11" x14ac:dyDescent="0.25">
      <c r="B212">
        <v>610000004068</v>
      </c>
      <c r="C212" t="s">
        <v>24</v>
      </c>
      <c r="D212">
        <v>198</v>
      </c>
      <c r="E212" t="s">
        <v>121</v>
      </c>
      <c r="F212" t="s">
        <v>12</v>
      </c>
      <c r="G212" t="s">
        <v>13</v>
      </c>
      <c r="H212" t="s">
        <v>14</v>
      </c>
      <c r="I212">
        <v>4880873</v>
      </c>
      <c r="J212" t="s">
        <v>15</v>
      </c>
      <c r="K212" s="1" t="str">
        <f>VLOOKUP(I212,'[1]PC50 Y2018 Status'!$D:$H,5,FALSE)</f>
        <v>TECO PCNF NMAT PRC  SETC</v>
      </c>
    </row>
    <row r="213" spans="2:11" x14ac:dyDescent="0.25">
      <c r="B213">
        <v>610000004083</v>
      </c>
      <c r="C213" t="s">
        <v>123</v>
      </c>
      <c r="D213">
        <v>9</v>
      </c>
      <c r="E213" t="s">
        <v>121</v>
      </c>
      <c r="F213" t="s">
        <v>12</v>
      </c>
      <c r="G213" t="s">
        <v>13</v>
      </c>
      <c r="H213" t="s">
        <v>14</v>
      </c>
      <c r="I213">
        <v>4871805</v>
      </c>
      <c r="J213" t="s">
        <v>15</v>
      </c>
      <c r="K213" s="1" t="str">
        <f>VLOOKUP(I213,'[1]PC50 Y2018 Status'!$D:$H,5,FALSE)</f>
        <v>TECO PCNF GMPS MANC PRC  SETC</v>
      </c>
    </row>
    <row r="214" spans="2:11" x14ac:dyDescent="0.25">
      <c r="B214">
        <v>342257</v>
      </c>
      <c r="C214" t="s">
        <v>25</v>
      </c>
      <c r="D214">
        <v>163</v>
      </c>
      <c r="E214" t="s">
        <v>124</v>
      </c>
      <c r="F214" t="s">
        <v>12</v>
      </c>
      <c r="G214" t="s">
        <v>13</v>
      </c>
      <c r="H214" t="s">
        <v>14</v>
      </c>
      <c r="I214">
        <v>4880924</v>
      </c>
      <c r="J214" t="s">
        <v>15</v>
      </c>
      <c r="K214" s="1" t="str">
        <f>VLOOKUP(I214,'[1]PC50 Y2018 Status'!$D:$H,5,FALSE)</f>
        <v>TECO PCNF NMAT PRC  SETC</v>
      </c>
    </row>
    <row r="215" spans="2:11" x14ac:dyDescent="0.25">
      <c r="B215">
        <v>347637</v>
      </c>
      <c r="C215" t="s">
        <v>27</v>
      </c>
      <c r="D215">
        <v>21</v>
      </c>
      <c r="E215" t="s">
        <v>124</v>
      </c>
      <c r="F215" t="s">
        <v>12</v>
      </c>
      <c r="G215" t="s">
        <v>13</v>
      </c>
      <c r="H215" t="s">
        <v>14</v>
      </c>
      <c r="I215">
        <v>4881857</v>
      </c>
      <c r="J215" t="s">
        <v>15</v>
      </c>
      <c r="K215" s="1" t="str">
        <f>VLOOKUP(I215,'[1]PC50 Y2018 Status'!$D:$H,5,FALSE)</f>
        <v>TECO PCNF NMAT PRC  SETC</v>
      </c>
    </row>
    <row r="216" spans="2:11" x14ac:dyDescent="0.25">
      <c r="B216">
        <v>347638</v>
      </c>
      <c r="C216" t="s">
        <v>16</v>
      </c>
      <c r="D216">
        <v>11</v>
      </c>
      <c r="E216" t="s">
        <v>124</v>
      </c>
      <c r="F216" t="s">
        <v>12</v>
      </c>
      <c r="G216" t="s">
        <v>13</v>
      </c>
      <c r="H216" t="s">
        <v>14</v>
      </c>
      <c r="I216">
        <v>4879889</v>
      </c>
      <c r="J216" t="s">
        <v>15</v>
      </c>
      <c r="K216" s="1" t="str">
        <f>VLOOKUP(I216,'[1]PC50 Y2018 Status'!$D:$H,5,FALSE)</f>
        <v>TECO PCNF NMAT PRC  SETC</v>
      </c>
    </row>
    <row r="217" spans="2:11" x14ac:dyDescent="0.25">
      <c r="B217">
        <v>610000004029</v>
      </c>
      <c r="C217" t="s">
        <v>125</v>
      </c>
      <c r="D217">
        <v>8</v>
      </c>
      <c r="E217" t="s">
        <v>126</v>
      </c>
      <c r="F217" t="s">
        <v>12</v>
      </c>
      <c r="G217" t="s">
        <v>13</v>
      </c>
      <c r="H217" t="s">
        <v>14</v>
      </c>
      <c r="I217">
        <v>4873410</v>
      </c>
      <c r="J217" t="s">
        <v>15</v>
      </c>
      <c r="K217" s="1" t="str">
        <f>VLOOKUP(I217,'[1]PC50 Y2018 Status'!$D:$H,5,FALSE)</f>
        <v>TECO PCNF GMPS MANC PRC  SETC</v>
      </c>
    </row>
    <row r="218" spans="2:11" x14ac:dyDescent="0.25">
      <c r="B218">
        <v>610000004119</v>
      </c>
      <c r="C218" t="s">
        <v>127</v>
      </c>
      <c r="D218">
        <v>8</v>
      </c>
      <c r="E218" t="s">
        <v>126</v>
      </c>
      <c r="F218" t="s">
        <v>12</v>
      </c>
      <c r="G218" t="s">
        <v>13</v>
      </c>
      <c r="H218" t="s">
        <v>14</v>
      </c>
      <c r="I218">
        <v>4875599</v>
      </c>
      <c r="J218" t="s">
        <v>22</v>
      </c>
      <c r="K218" s="1" t="str">
        <f>VLOOKUP(I218,'[1]PC50 Y2018 Status'!$D:$H,5,FALSE)</f>
        <v>TECO PCNF NMAT PRC  SETC</v>
      </c>
    </row>
    <row r="219" spans="2:11" x14ac:dyDescent="0.25">
      <c r="B219">
        <v>610000004175</v>
      </c>
      <c r="C219" t="s">
        <v>34</v>
      </c>
      <c r="D219">
        <v>98</v>
      </c>
      <c r="E219" t="s">
        <v>126</v>
      </c>
      <c r="F219" t="s">
        <v>12</v>
      </c>
      <c r="G219" t="s">
        <v>13</v>
      </c>
      <c r="H219" t="s">
        <v>14</v>
      </c>
      <c r="I219">
        <v>4880972</v>
      </c>
      <c r="J219" t="s">
        <v>22</v>
      </c>
      <c r="K219" s="1" t="str">
        <f>VLOOKUP(I219,'[1]PC50 Y2018 Status'!$D:$H,5,FALSE)</f>
        <v>TECO PCNF NMAT PRC  SETC</v>
      </c>
    </row>
    <row r="220" spans="2:11" x14ac:dyDescent="0.25">
      <c r="B220">
        <v>610000004069</v>
      </c>
      <c r="C220" t="s">
        <v>35</v>
      </c>
      <c r="D220">
        <v>99</v>
      </c>
      <c r="E220" t="s">
        <v>128</v>
      </c>
      <c r="F220" t="s">
        <v>12</v>
      </c>
      <c r="G220" t="s">
        <v>13</v>
      </c>
      <c r="H220" t="s">
        <v>14</v>
      </c>
      <c r="I220">
        <v>4880920</v>
      </c>
      <c r="J220" t="s">
        <v>15</v>
      </c>
      <c r="K220" s="1" t="str">
        <f>VLOOKUP(I220,'[1]PC50 Y2018 Status'!$D:$H,5,FALSE)</f>
        <v>TECO PCNF GMPS MANC PRC  SETC</v>
      </c>
    </row>
    <row r="221" spans="2:11" x14ac:dyDescent="0.25">
      <c r="B221">
        <v>610000004070</v>
      </c>
      <c r="C221" t="s">
        <v>35</v>
      </c>
      <c r="D221">
        <v>99</v>
      </c>
      <c r="E221" t="s">
        <v>128</v>
      </c>
      <c r="F221" t="s">
        <v>12</v>
      </c>
      <c r="G221" t="s">
        <v>13</v>
      </c>
      <c r="H221" t="s">
        <v>14</v>
      </c>
      <c r="I221">
        <v>4880945</v>
      </c>
      <c r="J221" t="s">
        <v>15</v>
      </c>
      <c r="K221" s="1" t="str">
        <f>VLOOKUP(I221,'[1]PC50 Y2018 Status'!$D:$H,5,FALSE)</f>
        <v>TECO PCNF NMAT PRC  SETC</v>
      </c>
    </row>
    <row r="222" spans="2:11" x14ac:dyDescent="0.25">
      <c r="B222">
        <v>610000004068</v>
      </c>
      <c r="C222" t="s">
        <v>24</v>
      </c>
      <c r="D222">
        <v>199</v>
      </c>
      <c r="E222" t="s">
        <v>129</v>
      </c>
      <c r="F222" t="s">
        <v>12</v>
      </c>
      <c r="G222" t="s">
        <v>13</v>
      </c>
      <c r="H222" t="s">
        <v>14</v>
      </c>
      <c r="I222">
        <v>4882607</v>
      </c>
      <c r="J222" t="s">
        <v>15</v>
      </c>
      <c r="K222" s="1" t="str">
        <f>VLOOKUP(I222,'[1]PC50 Y2018 Status'!$D:$H,5,FALSE)</f>
        <v>TECO PCNF NMAT PRC  SETC</v>
      </c>
    </row>
    <row r="223" spans="2:11" x14ac:dyDescent="0.25">
      <c r="B223">
        <v>610000004077</v>
      </c>
      <c r="C223" t="s">
        <v>39</v>
      </c>
      <c r="D223">
        <v>99</v>
      </c>
      <c r="E223" t="s">
        <v>129</v>
      </c>
      <c r="F223" t="s">
        <v>12</v>
      </c>
      <c r="G223" t="s">
        <v>13</v>
      </c>
      <c r="H223" t="s">
        <v>14</v>
      </c>
      <c r="I223">
        <v>4881783</v>
      </c>
      <c r="J223" t="s">
        <v>15</v>
      </c>
      <c r="K223" s="1" t="str">
        <f>VLOOKUP(I223,'[1]PC50 Y2018 Status'!$D:$H,5,FALSE)</f>
        <v>TECO PCNF NMAT PRC  SETC</v>
      </c>
    </row>
    <row r="224" spans="2:11" x14ac:dyDescent="0.25">
      <c r="B224">
        <v>610000004085</v>
      </c>
      <c r="C224" t="s">
        <v>18</v>
      </c>
      <c r="D224">
        <v>99</v>
      </c>
      <c r="E224" t="s">
        <v>129</v>
      </c>
      <c r="F224" t="s">
        <v>12</v>
      </c>
      <c r="G224" t="s">
        <v>13</v>
      </c>
      <c r="H224" t="s">
        <v>14</v>
      </c>
      <c r="I224">
        <v>4881750</v>
      </c>
      <c r="J224" t="s">
        <v>15</v>
      </c>
      <c r="K224" s="1" t="str">
        <f>VLOOKUP(I224,'[1]PC50 Y2018 Status'!$D:$H,5,FALSE)</f>
        <v>TECO PCNF NMAT PRC  SETC</v>
      </c>
    </row>
    <row r="225" spans="2:11" x14ac:dyDescent="0.25">
      <c r="B225">
        <v>610000004086</v>
      </c>
      <c r="C225" t="s">
        <v>18</v>
      </c>
      <c r="D225">
        <v>99</v>
      </c>
      <c r="E225" t="s">
        <v>129</v>
      </c>
      <c r="F225" t="s">
        <v>12</v>
      </c>
      <c r="G225" t="s">
        <v>13</v>
      </c>
      <c r="H225" t="s">
        <v>14</v>
      </c>
      <c r="I225">
        <v>4881820</v>
      </c>
      <c r="J225" t="s">
        <v>15</v>
      </c>
      <c r="K225" s="1" t="str">
        <f>VLOOKUP(I225,'[1]PC50 Y2018 Status'!$D:$H,5,FALSE)</f>
        <v>TECO PCNF NMAT PRC  SETC</v>
      </c>
    </row>
    <row r="226" spans="2:11" x14ac:dyDescent="0.25">
      <c r="B226">
        <v>347716</v>
      </c>
      <c r="C226" t="s">
        <v>28</v>
      </c>
      <c r="D226">
        <v>5</v>
      </c>
      <c r="E226" t="s">
        <v>130</v>
      </c>
      <c r="F226" t="s">
        <v>12</v>
      </c>
      <c r="G226" t="s">
        <v>13</v>
      </c>
      <c r="H226" t="s">
        <v>14</v>
      </c>
      <c r="I226">
        <v>4881856</v>
      </c>
      <c r="J226" t="s">
        <v>22</v>
      </c>
      <c r="K226" s="1" t="str">
        <f>VLOOKUP(I226,'[1]PC50 Y2018 Status'!$D:$H,5,FALSE)</f>
        <v>TECO PCNF NMAT PRC  SETC</v>
      </c>
    </row>
    <row r="227" spans="2:11" x14ac:dyDescent="0.25">
      <c r="B227">
        <v>347741</v>
      </c>
      <c r="C227" t="s">
        <v>28</v>
      </c>
      <c r="D227">
        <v>5</v>
      </c>
      <c r="E227" t="s">
        <v>130</v>
      </c>
      <c r="F227" t="s">
        <v>12</v>
      </c>
      <c r="G227" t="s">
        <v>13</v>
      </c>
      <c r="H227" t="s">
        <v>14</v>
      </c>
      <c r="I227">
        <v>4881865</v>
      </c>
      <c r="J227" t="s">
        <v>22</v>
      </c>
      <c r="K227" s="1" t="str">
        <f>VLOOKUP(I227,'[1]PC50 Y2018 Status'!$D:$H,5,FALSE)</f>
        <v>TECO PCNF NMAT PRC  SETC</v>
      </c>
    </row>
    <row r="228" spans="2:11" x14ac:dyDescent="0.25">
      <c r="B228">
        <v>610000004025</v>
      </c>
      <c r="C228" t="s">
        <v>44</v>
      </c>
      <c r="D228">
        <v>98</v>
      </c>
      <c r="E228" t="s">
        <v>130</v>
      </c>
      <c r="F228" t="s">
        <v>12</v>
      </c>
      <c r="G228" t="s">
        <v>13</v>
      </c>
      <c r="H228" t="s">
        <v>14</v>
      </c>
      <c r="I228">
        <v>4881747</v>
      </c>
      <c r="J228" t="s">
        <v>15</v>
      </c>
      <c r="K228" s="1" t="str">
        <f>VLOOKUP(I228,'[1]PC50 Y2018 Status'!$D:$H,5,FALSE)</f>
        <v>TECO PCNF NMAT PRC  SETC</v>
      </c>
    </row>
    <row r="229" spans="2:11" x14ac:dyDescent="0.25">
      <c r="B229">
        <v>610000004091</v>
      </c>
      <c r="C229" t="s">
        <v>47</v>
      </c>
      <c r="D229">
        <v>98</v>
      </c>
      <c r="E229" t="s">
        <v>130</v>
      </c>
      <c r="F229" t="s">
        <v>12</v>
      </c>
      <c r="G229" t="s">
        <v>13</v>
      </c>
      <c r="H229" t="s">
        <v>14</v>
      </c>
      <c r="I229">
        <v>4881571</v>
      </c>
      <c r="J229" t="s">
        <v>15</v>
      </c>
      <c r="K229" s="1" t="str">
        <f>VLOOKUP(I229,'[1]PC50 Y2018 Status'!$D:$H,5,FALSE)</f>
        <v>TECO PCNF NMAT PRC  SETC</v>
      </c>
    </row>
    <row r="230" spans="2:11" x14ac:dyDescent="0.25">
      <c r="B230">
        <v>610000004126</v>
      </c>
      <c r="C230" t="s">
        <v>131</v>
      </c>
      <c r="D230">
        <v>16</v>
      </c>
      <c r="E230" t="s">
        <v>130</v>
      </c>
      <c r="F230" t="s">
        <v>12</v>
      </c>
      <c r="G230" t="s">
        <v>13</v>
      </c>
      <c r="H230" t="s">
        <v>14</v>
      </c>
      <c r="I230">
        <v>4880892</v>
      </c>
      <c r="J230" t="s">
        <v>22</v>
      </c>
      <c r="K230" s="1" t="str">
        <f>VLOOKUP(I230,'[1]PC50 Y2018 Status'!$D:$H,5,FALSE)</f>
        <v>TECO PCNF NMAT PRC  SETC</v>
      </c>
    </row>
    <row r="231" spans="2:11" x14ac:dyDescent="0.25">
      <c r="B231">
        <v>610000004127</v>
      </c>
      <c r="C231" t="s">
        <v>131</v>
      </c>
      <c r="D231">
        <v>16</v>
      </c>
      <c r="E231" t="s">
        <v>130</v>
      </c>
      <c r="F231" t="s">
        <v>12</v>
      </c>
      <c r="G231" t="s">
        <v>13</v>
      </c>
      <c r="H231" t="s">
        <v>14</v>
      </c>
      <c r="I231">
        <v>4880872</v>
      </c>
      <c r="J231" t="s">
        <v>22</v>
      </c>
      <c r="K231" s="1" t="str">
        <f>VLOOKUP(I231,'[1]PC50 Y2018 Status'!$D:$H,5,FALSE)</f>
        <v>TECO PCNF NMAT PRC  SETC</v>
      </c>
    </row>
    <row r="232" spans="2:11" x14ac:dyDescent="0.25">
      <c r="B232">
        <v>610000004161</v>
      </c>
      <c r="C232" t="s">
        <v>48</v>
      </c>
      <c r="D232">
        <v>100</v>
      </c>
      <c r="E232" t="s">
        <v>130</v>
      </c>
      <c r="F232" t="s">
        <v>12</v>
      </c>
      <c r="G232" t="s">
        <v>13</v>
      </c>
      <c r="H232" t="s">
        <v>14</v>
      </c>
      <c r="I232">
        <v>4881575</v>
      </c>
      <c r="J232" t="s">
        <v>22</v>
      </c>
      <c r="K232" s="1" t="str">
        <f>VLOOKUP(I232,'[1]PC50 Y2018 Status'!$D:$H,5,FALSE)</f>
        <v>TECO PCNF NMAT PRC  SETC</v>
      </c>
    </row>
    <row r="233" spans="2:11" x14ac:dyDescent="0.25">
      <c r="B233">
        <v>610000004165</v>
      </c>
      <c r="C233" t="s">
        <v>31</v>
      </c>
      <c r="D233">
        <v>25</v>
      </c>
      <c r="E233" t="s">
        <v>130</v>
      </c>
      <c r="F233" t="s">
        <v>12</v>
      </c>
      <c r="G233" t="s">
        <v>13</v>
      </c>
      <c r="H233" t="s">
        <v>14</v>
      </c>
      <c r="I233">
        <v>4881576</v>
      </c>
      <c r="J233" t="s">
        <v>22</v>
      </c>
      <c r="K233" s="1" t="str">
        <f>VLOOKUP(I233,'[1]PC50 Y2018 Status'!$D:$H,5,FALSE)</f>
        <v>TECO PCNF NMAT PRC  SETC</v>
      </c>
    </row>
    <row r="234" spans="2:11" x14ac:dyDescent="0.25">
      <c r="B234">
        <v>610000004166</v>
      </c>
      <c r="C234" t="s">
        <v>31</v>
      </c>
      <c r="D234">
        <v>25</v>
      </c>
      <c r="E234" t="s">
        <v>130</v>
      </c>
      <c r="F234" t="s">
        <v>12</v>
      </c>
      <c r="G234" t="s">
        <v>13</v>
      </c>
      <c r="H234" t="s">
        <v>14</v>
      </c>
      <c r="I234">
        <v>4881577</v>
      </c>
      <c r="J234" t="s">
        <v>22</v>
      </c>
      <c r="K234" s="1" t="str">
        <f>VLOOKUP(I234,'[1]PC50 Y2018 Status'!$D:$H,5,FALSE)</f>
        <v>TECO PCNF NMAT PRC  SETC</v>
      </c>
    </row>
    <row r="235" spans="2:11" x14ac:dyDescent="0.25">
      <c r="B235">
        <v>342257</v>
      </c>
      <c r="C235" t="s">
        <v>25</v>
      </c>
      <c r="D235">
        <v>164</v>
      </c>
      <c r="E235" t="s">
        <v>132</v>
      </c>
      <c r="F235" t="s">
        <v>12</v>
      </c>
      <c r="G235" t="s">
        <v>13</v>
      </c>
      <c r="H235" t="s">
        <v>14</v>
      </c>
      <c r="I235">
        <v>4882620</v>
      </c>
      <c r="J235" t="s">
        <v>15</v>
      </c>
      <c r="K235" s="1" t="str">
        <f>VLOOKUP(I235,'[1]PC50 Y2018 Status'!$D:$H,5,FALSE)</f>
        <v>TECO PCNF NMAT PRC  SETC</v>
      </c>
    </row>
    <row r="236" spans="2:11" x14ac:dyDescent="0.25">
      <c r="B236">
        <v>342596</v>
      </c>
      <c r="C236" t="s">
        <v>74</v>
      </c>
      <c r="D236">
        <v>6</v>
      </c>
      <c r="E236" t="s">
        <v>132</v>
      </c>
      <c r="F236" t="s">
        <v>12</v>
      </c>
      <c r="G236" t="s">
        <v>13</v>
      </c>
      <c r="H236" t="s">
        <v>14</v>
      </c>
      <c r="I236">
        <v>4877810</v>
      </c>
      <c r="J236" t="s">
        <v>15</v>
      </c>
      <c r="K236" s="1" t="str">
        <f>VLOOKUP(I236,'[1]PC50 Y2018 Status'!$D:$H,5,FALSE)</f>
        <v>TECO PCNF GMPS MANC PRC  SETC</v>
      </c>
    </row>
    <row r="237" spans="2:11" x14ac:dyDescent="0.25">
      <c r="B237">
        <v>342694</v>
      </c>
      <c r="C237" t="s">
        <v>32</v>
      </c>
      <c r="D237">
        <v>31</v>
      </c>
      <c r="E237" t="s">
        <v>132</v>
      </c>
      <c r="F237" t="s">
        <v>12</v>
      </c>
      <c r="G237" t="s">
        <v>13</v>
      </c>
      <c r="H237" t="s">
        <v>14</v>
      </c>
      <c r="I237">
        <v>4881845</v>
      </c>
      <c r="J237" t="s">
        <v>15</v>
      </c>
      <c r="K237" s="1" t="str">
        <f>VLOOKUP(I237,'[1]PC50 Y2018 Status'!$D:$H,5,FALSE)</f>
        <v>TECO PCNF NMAT PRC  SETC</v>
      </c>
    </row>
    <row r="238" spans="2:11" x14ac:dyDescent="0.25">
      <c r="B238">
        <v>347637</v>
      </c>
      <c r="C238" t="s">
        <v>27</v>
      </c>
      <c r="D238">
        <v>22</v>
      </c>
      <c r="E238" t="s">
        <v>132</v>
      </c>
      <c r="F238" t="s">
        <v>12</v>
      </c>
      <c r="G238" t="s">
        <v>13</v>
      </c>
      <c r="H238" t="s">
        <v>14</v>
      </c>
      <c r="I238">
        <v>4883347</v>
      </c>
      <c r="J238" t="s">
        <v>15</v>
      </c>
      <c r="K238" s="1" t="str">
        <f>VLOOKUP(I238,'[1]PC50 Y2018 Status'!$D:$H,5,FALSE)</f>
        <v>TECO PCNF NMAT PRC  SETC</v>
      </c>
    </row>
    <row r="239" spans="2:11" x14ac:dyDescent="0.25">
      <c r="B239">
        <v>610000004022</v>
      </c>
      <c r="C239" t="s">
        <v>10</v>
      </c>
      <c r="D239">
        <v>45</v>
      </c>
      <c r="E239" t="s">
        <v>132</v>
      </c>
      <c r="F239" t="s">
        <v>12</v>
      </c>
      <c r="G239" t="s">
        <v>13</v>
      </c>
      <c r="H239" t="s">
        <v>14</v>
      </c>
      <c r="I239">
        <v>4881813</v>
      </c>
      <c r="J239" t="s">
        <v>15</v>
      </c>
      <c r="K239" s="1" t="str">
        <f>VLOOKUP(I239,'[1]PC50 Y2018 Status'!$D:$H,5,FALSE)</f>
        <v>TECO PCNF NMAT PRC  SETC</v>
      </c>
    </row>
    <row r="240" spans="2:11" x14ac:dyDescent="0.25">
      <c r="B240">
        <v>610000004027</v>
      </c>
      <c r="C240" t="s">
        <v>44</v>
      </c>
      <c r="D240">
        <v>47</v>
      </c>
      <c r="E240" t="s">
        <v>132</v>
      </c>
      <c r="F240" t="s">
        <v>12</v>
      </c>
      <c r="G240" t="s">
        <v>13</v>
      </c>
      <c r="H240" t="s">
        <v>14</v>
      </c>
      <c r="I240">
        <v>4881831</v>
      </c>
      <c r="J240" t="s">
        <v>15</v>
      </c>
      <c r="K240" s="1" t="str">
        <f>VLOOKUP(I240,'[1]PC50 Y2018 Status'!$D:$H,5,FALSE)</f>
        <v>TECO PCNF NMAT PRC  SETC</v>
      </c>
    </row>
    <row r="241" spans="2:11" x14ac:dyDescent="0.25">
      <c r="B241">
        <v>610000004030</v>
      </c>
      <c r="C241" t="s">
        <v>133</v>
      </c>
      <c r="D241">
        <v>5</v>
      </c>
      <c r="E241" t="s">
        <v>132</v>
      </c>
      <c r="F241" t="s">
        <v>12</v>
      </c>
      <c r="G241" t="s">
        <v>13</v>
      </c>
      <c r="H241" t="s">
        <v>14</v>
      </c>
      <c r="I241">
        <v>4869901</v>
      </c>
      <c r="J241" t="s">
        <v>15</v>
      </c>
      <c r="K241" s="1" t="str">
        <f>VLOOKUP(I241,'[1]PC50 Y2018 Status'!$D:$H,5,FALSE)</f>
        <v>TECO PCNF GMPS MANC PRC  SETC</v>
      </c>
    </row>
    <row r="242" spans="2:11" x14ac:dyDescent="0.25">
      <c r="B242">
        <v>610000004033</v>
      </c>
      <c r="C242" t="s">
        <v>32</v>
      </c>
      <c r="D242">
        <v>44</v>
      </c>
      <c r="E242" t="s">
        <v>132</v>
      </c>
      <c r="F242" t="s">
        <v>12</v>
      </c>
      <c r="G242" t="s">
        <v>13</v>
      </c>
      <c r="H242" t="s">
        <v>14</v>
      </c>
      <c r="I242">
        <v>4881814</v>
      </c>
      <c r="J242" t="s">
        <v>15</v>
      </c>
      <c r="K242" s="1" t="str">
        <f>VLOOKUP(I242,'[1]PC50 Y2018 Status'!$D:$H,5,FALSE)</f>
        <v>TECO PCNF NMAT PRC  SETC</v>
      </c>
    </row>
    <row r="243" spans="2:11" x14ac:dyDescent="0.25">
      <c r="B243">
        <v>610000004053</v>
      </c>
      <c r="C243" t="s">
        <v>46</v>
      </c>
      <c r="D243">
        <v>46</v>
      </c>
      <c r="E243" t="s">
        <v>132</v>
      </c>
      <c r="F243" t="s">
        <v>12</v>
      </c>
      <c r="G243" t="s">
        <v>13</v>
      </c>
      <c r="H243" t="s">
        <v>14</v>
      </c>
      <c r="I243">
        <v>4881841</v>
      </c>
      <c r="J243" t="s">
        <v>15</v>
      </c>
      <c r="K243" s="1" t="str">
        <f>VLOOKUP(I243,'[1]PC50 Y2018 Status'!$D:$H,5,FALSE)</f>
        <v>TECO PCNF NMAT PRC  SETC</v>
      </c>
    </row>
    <row r="244" spans="2:11" x14ac:dyDescent="0.25">
      <c r="B244">
        <v>610000004054</v>
      </c>
      <c r="C244" t="s">
        <v>46</v>
      </c>
      <c r="D244">
        <v>46</v>
      </c>
      <c r="E244" t="s">
        <v>132</v>
      </c>
      <c r="F244" t="s">
        <v>12</v>
      </c>
      <c r="G244" t="s">
        <v>13</v>
      </c>
      <c r="H244" t="s">
        <v>14</v>
      </c>
      <c r="I244">
        <v>4881748</v>
      </c>
      <c r="J244" t="s">
        <v>15</v>
      </c>
      <c r="K244" s="1" t="str">
        <f>VLOOKUP(I244,'[1]PC50 Y2018 Status'!$D:$H,5,FALSE)</f>
        <v>TECO PCNF NMAT PRC  SETC</v>
      </c>
    </row>
    <row r="245" spans="2:11" x14ac:dyDescent="0.25">
      <c r="B245">
        <v>610000004055</v>
      </c>
      <c r="C245" t="s">
        <v>87</v>
      </c>
      <c r="D245">
        <v>46</v>
      </c>
      <c r="E245" t="s">
        <v>132</v>
      </c>
      <c r="F245" t="s">
        <v>12</v>
      </c>
      <c r="G245" t="s">
        <v>13</v>
      </c>
      <c r="H245" t="s">
        <v>14</v>
      </c>
      <c r="I245">
        <v>4881573</v>
      </c>
      <c r="J245" t="s">
        <v>15</v>
      </c>
      <c r="K245" s="1" t="str">
        <f>VLOOKUP(I245,'[1]PC50 Y2018 Status'!$D:$H,5,FALSE)</f>
        <v>TECO PCNF NMAT PRC  SETC</v>
      </c>
    </row>
    <row r="246" spans="2:11" x14ac:dyDescent="0.25">
      <c r="B246">
        <v>610000004079</v>
      </c>
      <c r="C246" t="s">
        <v>71</v>
      </c>
      <c r="D246">
        <v>45</v>
      </c>
      <c r="E246" t="s">
        <v>132</v>
      </c>
      <c r="F246" t="s">
        <v>12</v>
      </c>
      <c r="G246" t="s">
        <v>13</v>
      </c>
      <c r="H246" t="s">
        <v>14</v>
      </c>
      <c r="I246">
        <v>4881574</v>
      </c>
      <c r="J246" t="s">
        <v>15</v>
      </c>
      <c r="K246" s="1" t="str">
        <f>VLOOKUP(I246,'[1]PC50 Y2018 Status'!$D:$H,5,FALSE)</f>
        <v>TECO PCNF NMAT PRC  SETC</v>
      </c>
    </row>
    <row r="247" spans="2:11" x14ac:dyDescent="0.25">
      <c r="B247">
        <v>610000004080</v>
      </c>
      <c r="C247" t="s">
        <v>71</v>
      </c>
      <c r="D247">
        <v>46</v>
      </c>
      <c r="E247" t="s">
        <v>132</v>
      </c>
      <c r="F247" t="s">
        <v>12</v>
      </c>
      <c r="G247" t="s">
        <v>13</v>
      </c>
      <c r="H247" t="s">
        <v>14</v>
      </c>
      <c r="I247">
        <v>4881842</v>
      </c>
      <c r="J247" t="s">
        <v>15</v>
      </c>
      <c r="K247" s="1" t="str">
        <f>VLOOKUP(I247,'[1]PC50 Y2018 Status'!$D:$H,5,FALSE)</f>
        <v>TECO PCNF NMAT PRC  SETC</v>
      </c>
    </row>
    <row r="248" spans="2:11" x14ac:dyDescent="0.25">
      <c r="B248">
        <v>610000004087</v>
      </c>
      <c r="C248" t="s">
        <v>72</v>
      </c>
      <c r="D248">
        <v>44</v>
      </c>
      <c r="E248" t="s">
        <v>132</v>
      </c>
      <c r="F248" t="s">
        <v>12</v>
      </c>
      <c r="G248" t="s">
        <v>13</v>
      </c>
      <c r="H248" t="s">
        <v>14</v>
      </c>
      <c r="I248">
        <v>4881787</v>
      </c>
      <c r="J248" t="s">
        <v>15</v>
      </c>
      <c r="K248" s="1" t="str">
        <f>VLOOKUP(I248,'[1]PC50 Y2018 Status'!$D:$H,5,FALSE)</f>
        <v>TECO PCNF NMAT PRC  SETC</v>
      </c>
    </row>
    <row r="249" spans="2:11" x14ac:dyDescent="0.25">
      <c r="B249">
        <v>610000004088</v>
      </c>
      <c r="C249" t="s">
        <v>72</v>
      </c>
      <c r="D249">
        <v>44</v>
      </c>
      <c r="E249" t="s">
        <v>132</v>
      </c>
      <c r="F249" t="s">
        <v>12</v>
      </c>
      <c r="G249" t="s">
        <v>13</v>
      </c>
      <c r="H249" t="s">
        <v>14</v>
      </c>
      <c r="I249">
        <v>4881776</v>
      </c>
      <c r="J249" t="s">
        <v>15</v>
      </c>
      <c r="K249" s="1" t="str">
        <f>VLOOKUP(I249,'[1]PC50 Y2018 Status'!$D:$H,5,FALSE)</f>
        <v>TECO PCNF NMAT PRC  SETC</v>
      </c>
    </row>
    <row r="250" spans="2:11" x14ac:dyDescent="0.25">
      <c r="B250">
        <v>610000004089</v>
      </c>
      <c r="C250" t="s">
        <v>74</v>
      </c>
      <c r="D250">
        <v>8</v>
      </c>
      <c r="E250" t="s">
        <v>132</v>
      </c>
      <c r="F250" t="s">
        <v>12</v>
      </c>
      <c r="G250" t="s">
        <v>13</v>
      </c>
      <c r="H250" t="s">
        <v>14</v>
      </c>
      <c r="I250">
        <v>4875091</v>
      </c>
      <c r="J250" t="s">
        <v>15</v>
      </c>
      <c r="K250" s="1" t="str">
        <f>VLOOKUP(I250,'[1]PC50 Y2018 Status'!$D:$H,5,FALSE)</f>
        <v>TECO PCNF NMAT PRC  SETC</v>
      </c>
    </row>
    <row r="251" spans="2:11" x14ac:dyDescent="0.25">
      <c r="B251">
        <v>610000004092</v>
      </c>
      <c r="C251" t="s">
        <v>73</v>
      </c>
      <c r="D251">
        <v>44</v>
      </c>
      <c r="E251" t="s">
        <v>132</v>
      </c>
      <c r="F251" t="s">
        <v>12</v>
      </c>
      <c r="G251" t="s">
        <v>13</v>
      </c>
      <c r="H251" t="s">
        <v>14</v>
      </c>
      <c r="I251">
        <v>4881843</v>
      </c>
      <c r="J251" t="s">
        <v>15</v>
      </c>
      <c r="K251" s="1" t="str">
        <f>VLOOKUP(I251,'[1]PC50 Y2018 Status'!$D:$H,5,FALSE)</f>
        <v>TECO PCNF NMAT PRC  SETC</v>
      </c>
    </row>
    <row r="252" spans="2:11" x14ac:dyDescent="0.25">
      <c r="B252">
        <v>610000004050</v>
      </c>
      <c r="C252" t="s">
        <v>17</v>
      </c>
      <c r="D252">
        <v>99</v>
      </c>
      <c r="E252" t="s">
        <v>134</v>
      </c>
      <c r="F252" t="s">
        <v>12</v>
      </c>
      <c r="G252" t="s">
        <v>13</v>
      </c>
      <c r="H252" t="s">
        <v>14</v>
      </c>
      <c r="I252">
        <v>4881773</v>
      </c>
      <c r="J252" t="s">
        <v>15</v>
      </c>
      <c r="K252" s="1" t="str">
        <f>VLOOKUP(I252,'[1]PC50 Y2018 Status'!$D:$H,5,FALSE)</f>
        <v>TECO PCNF NMAT PRC  SETC</v>
      </c>
    </row>
    <row r="253" spans="2:11" x14ac:dyDescent="0.25">
      <c r="B253">
        <v>610000004177</v>
      </c>
      <c r="C253" t="s">
        <v>37</v>
      </c>
      <c r="D253">
        <v>48</v>
      </c>
      <c r="E253" t="s">
        <v>134</v>
      </c>
      <c r="F253" t="s">
        <v>12</v>
      </c>
      <c r="G253" t="s">
        <v>13</v>
      </c>
      <c r="H253" t="s">
        <v>14</v>
      </c>
      <c r="I253">
        <v>4881766</v>
      </c>
      <c r="J253" t="s">
        <v>22</v>
      </c>
      <c r="K253" s="1" t="str">
        <f>VLOOKUP(I253,'[1]PC50 Y2018 Status'!$D:$H,5,FALSE)</f>
        <v>TECO PCNF NMAT PRC  SETC</v>
      </c>
    </row>
    <row r="254" spans="2:11" x14ac:dyDescent="0.25">
      <c r="B254">
        <v>610000004095</v>
      </c>
      <c r="C254" t="s">
        <v>40</v>
      </c>
      <c r="D254">
        <v>48</v>
      </c>
      <c r="E254" t="s">
        <v>135</v>
      </c>
      <c r="F254" t="s">
        <v>12</v>
      </c>
      <c r="G254" t="s">
        <v>13</v>
      </c>
      <c r="H254" t="s">
        <v>14</v>
      </c>
      <c r="I254">
        <v>4881788</v>
      </c>
      <c r="J254" t="s">
        <v>22</v>
      </c>
      <c r="K254" s="1" t="str">
        <f>VLOOKUP(I254,'[1]PC50 Y2018 Status'!$D:$H,5,FALSE)</f>
        <v>TECO PCNF NMAT PRC  SETC</v>
      </c>
    </row>
    <row r="255" spans="2:11" x14ac:dyDescent="0.25">
      <c r="B255">
        <v>610000004163</v>
      </c>
      <c r="C255" t="s">
        <v>43</v>
      </c>
      <c r="D255">
        <v>48</v>
      </c>
      <c r="E255" t="s">
        <v>135</v>
      </c>
      <c r="F255" t="s">
        <v>12</v>
      </c>
      <c r="G255" t="s">
        <v>13</v>
      </c>
      <c r="H255" t="s">
        <v>14</v>
      </c>
      <c r="I255">
        <v>4881789</v>
      </c>
      <c r="J255" t="s">
        <v>22</v>
      </c>
      <c r="K255" s="1" t="str">
        <f>VLOOKUP(I255,'[1]PC50 Y2018 Status'!$D:$H,5,FALSE)</f>
        <v>TECO PCNF NMAT PRC  SETC</v>
      </c>
    </row>
    <row r="256" spans="2:11" x14ac:dyDescent="0.25">
      <c r="B256">
        <v>610000004167</v>
      </c>
      <c r="C256" t="s">
        <v>115</v>
      </c>
      <c r="D256">
        <v>16</v>
      </c>
      <c r="E256" t="s">
        <v>135</v>
      </c>
      <c r="F256" t="s">
        <v>12</v>
      </c>
      <c r="G256" t="s">
        <v>13</v>
      </c>
      <c r="H256" t="s">
        <v>14</v>
      </c>
      <c r="I256">
        <v>4881790</v>
      </c>
      <c r="J256" t="s">
        <v>22</v>
      </c>
      <c r="K256" s="1" t="str">
        <f>VLOOKUP(I256,'[1]PC50 Y2018 Status'!$D:$H,5,FALSE)</f>
        <v>TECO PCNF NMAT PRC  SETC</v>
      </c>
    </row>
    <row r="257" spans="2:11" x14ac:dyDescent="0.25">
      <c r="B257">
        <v>342350</v>
      </c>
      <c r="C257" t="s">
        <v>100</v>
      </c>
      <c r="D257">
        <v>4</v>
      </c>
      <c r="E257" t="s">
        <v>136</v>
      </c>
      <c r="F257" t="s">
        <v>12</v>
      </c>
      <c r="G257" t="s">
        <v>13</v>
      </c>
      <c r="H257" t="s">
        <v>14</v>
      </c>
      <c r="I257">
        <v>4875795</v>
      </c>
      <c r="J257" t="s">
        <v>15</v>
      </c>
      <c r="K257" s="1" t="str">
        <f>VLOOKUP(I257,'[1]PC50 Y2018 Status'!$D:$H,5,FALSE)</f>
        <v>TECO PCNF NMAT PRC  SETC</v>
      </c>
    </row>
    <row r="258" spans="2:11" x14ac:dyDescent="0.25">
      <c r="B258">
        <v>342595</v>
      </c>
      <c r="C258" t="s">
        <v>137</v>
      </c>
      <c r="D258">
        <v>12</v>
      </c>
      <c r="E258" t="s">
        <v>136</v>
      </c>
      <c r="F258" t="s">
        <v>12</v>
      </c>
      <c r="G258" t="s">
        <v>13</v>
      </c>
      <c r="H258" t="s">
        <v>14</v>
      </c>
      <c r="I258">
        <v>4881846</v>
      </c>
      <c r="J258" t="s">
        <v>15</v>
      </c>
      <c r="K258" s="1" t="str">
        <f>VLOOKUP(I258,'[1]PC50 Y2018 Status'!$D:$H,5,FALSE)</f>
        <v>TECO PCNF NMAT PRC  SETC</v>
      </c>
    </row>
    <row r="259" spans="2:11" x14ac:dyDescent="0.25">
      <c r="B259">
        <v>610000004021</v>
      </c>
      <c r="C259" t="s">
        <v>10</v>
      </c>
      <c r="D259">
        <v>99</v>
      </c>
      <c r="E259" t="s">
        <v>136</v>
      </c>
      <c r="F259" t="s">
        <v>12</v>
      </c>
      <c r="G259" t="s">
        <v>13</v>
      </c>
      <c r="H259" t="s">
        <v>14</v>
      </c>
      <c r="I259">
        <v>4882610</v>
      </c>
      <c r="J259" t="s">
        <v>15</v>
      </c>
      <c r="K259" s="1" t="str">
        <f>VLOOKUP(I259,'[1]PC50 Y2018 Status'!$D:$H,5,FALSE)</f>
        <v>TECO PCNF NMAT PRC  SETC</v>
      </c>
    </row>
    <row r="260" spans="2:11" x14ac:dyDescent="0.25">
      <c r="B260">
        <v>610000004031</v>
      </c>
      <c r="C260" t="s">
        <v>16</v>
      </c>
      <c r="D260">
        <v>98</v>
      </c>
      <c r="E260" t="s">
        <v>136</v>
      </c>
      <c r="F260" t="s">
        <v>12</v>
      </c>
      <c r="G260" t="s">
        <v>13</v>
      </c>
      <c r="H260" t="s">
        <v>14</v>
      </c>
      <c r="I260">
        <v>4882635</v>
      </c>
      <c r="J260" t="s">
        <v>15</v>
      </c>
      <c r="K260" s="1" t="str">
        <f>VLOOKUP(I260,'[1]PC50 Y2018 Status'!$D:$H,5,FALSE)</f>
        <v>TECO PCNF NMAT PRC  SETC</v>
      </c>
    </row>
    <row r="261" spans="2:11" x14ac:dyDescent="0.25">
      <c r="B261">
        <v>610000004051</v>
      </c>
      <c r="C261" t="s">
        <v>17</v>
      </c>
      <c r="D261">
        <v>99</v>
      </c>
      <c r="E261" t="s">
        <v>136</v>
      </c>
      <c r="F261" t="s">
        <v>12</v>
      </c>
      <c r="G261" t="s">
        <v>13</v>
      </c>
      <c r="H261" t="s">
        <v>14</v>
      </c>
      <c r="I261">
        <v>4882604</v>
      </c>
      <c r="J261" t="s">
        <v>15</v>
      </c>
      <c r="K261" s="1" t="str">
        <f>VLOOKUP(I261,'[1]PC50 Y2018 Status'!$D:$H,5,FALSE)</f>
        <v>TECO PCNF NMAT PRC  SETC</v>
      </c>
    </row>
    <row r="262" spans="2:11" x14ac:dyDescent="0.25">
      <c r="B262">
        <v>610000004052</v>
      </c>
      <c r="C262" t="s">
        <v>46</v>
      </c>
      <c r="D262">
        <v>46</v>
      </c>
      <c r="E262" t="s">
        <v>136</v>
      </c>
      <c r="F262" t="s">
        <v>12</v>
      </c>
      <c r="G262" t="s">
        <v>13</v>
      </c>
      <c r="H262" t="s">
        <v>14</v>
      </c>
      <c r="I262">
        <v>4882624</v>
      </c>
      <c r="J262" t="s">
        <v>15</v>
      </c>
      <c r="K262" s="1" t="str">
        <f>VLOOKUP(I262,'[1]PC50 Y2018 Status'!$D:$H,5,FALSE)</f>
        <v>TECO PCNF NMAT PRC  SETC</v>
      </c>
    </row>
    <row r="263" spans="2:11" x14ac:dyDescent="0.25">
      <c r="B263">
        <v>610000004074</v>
      </c>
      <c r="C263" t="s">
        <v>138</v>
      </c>
      <c r="D263">
        <v>15</v>
      </c>
      <c r="E263" t="s">
        <v>136</v>
      </c>
      <c r="F263" t="s">
        <v>12</v>
      </c>
      <c r="G263" t="s">
        <v>13</v>
      </c>
      <c r="H263" t="s">
        <v>14</v>
      </c>
      <c r="I263">
        <v>4877738</v>
      </c>
      <c r="J263" t="s">
        <v>15</v>
      </c>
      <c r="K263" s="1" t="str">
        <f>VLOOKUP(I263,'[1]PC50 Y2018 Status'!$D:$H,5,FALSE)</f>
        <v>TECO PCNF NMAT PRC  SETC</v>
      </c>
    </row>
    <row r="264" spans="2:11" x14ac:dyDescent="0.25">
      <c r="B264">
        <v>610000004081</v>
      </c>
      <c r="C264" t="s">
        <v>71</v>
      </c>
      <c r="D264">
        <v>17</v>
      </c>
      <c r="E264" t="s">
        <v>136</v>
      </c>
      <c r="F264" t="s">
        <v>12</v>
      </c>
      <c r="G264" t="s">
        <v>13</v>
      </c>
      <c r="H264" t="s">
        <v>14</v>
      </c>
      <c r="I264">
        <v>4881749</v>
      </c>
      <c r="J264" t="s">
        <v>15</v>
      </c>
      <c r="K264" s="1" t="str">
        <f>VLOOKUP(I264,'[1]PC50 Y2018 Status'!$D:$H,5,FALSE)</f>
        <v>TECO PCNF GMPS MANC PRC  SETC</v>
      </c>
    </row>
    <row r="265" spans="2:11" x14ac:dyDescent="0.25">
      <c r="B265">
        <v>610000004082</v>
      </c>
      <c r="C265" t="s">
        <v>123</v>
      </c>
      <c r="D265">
        <v>8</v>
      </c>
      <c r="E265" t="s">
        <v>136</v>
      </c>
      <c r="F265" t="s">
        <v>12</v>
      </c>
      <c r="G265" t="s">
        <v>13</v>
      </c>
      <c r="H265" t="s">
        <v>14</v>
      </c>
      <c r="I265">
        <v>4875598</v>
      </c>
      <c r="J265" t="s">
        <v>15</v>
      </c>
      <c r="K265" s="1" t="str">
        <f>VLOOKUP(I265,'[1]PC50 Y2018 Status'!$D:$H,5,FALSE)</f>
        <v>TECO PCNF NMAT PRC  SETC</v>
      </c>
    </row>
    <row r="266" spans="2:11" x14ac:dyDescent="0.25">
      <c r="B266">
        <v>342258</v>
      </c>
      <c r="C266" t="s">
        <v>18</v>
      </c>
      <c r="D266">
        <v>82</v>
      </c>
      <c r="E266" t="s">
        <v>139</v>
      </c>
      <c r="F266" t="s">
        <v>12</v>
      </c>
      <c r="G266" t="s">
        <v>13</v>
      </c>
      <c r="H266" t="s">
        <v>14</v>
      </c>
      <c r="I266">
        <v>4882623</v>
      </c>
      <c r="J266" t="s">
        <v>15</v>
      </c>
      <c r="K266" s="1" t="str">
        <f>VLOOKUP(I266,'[1]PC50 Y2018 Status'!$D:$H,5,FALSE)</f>
        <v>TECO PCNF NMAT PRC  SETC</v>
      </c>
    </row>
    <row r="267" spans="2:11" x14ac:dyDescent="0.25">
      <c r="B267">
        <v>610000004068</v>
      </c>
      <c r="C267" t="s">
        <v>24</v>
      </c>
      <c r="D267">
        <v>200</v>
      </c>
      <c r="E267" t="s">
        <v>140</v>
      </c>
      <c r="F267" t="s">
        <v>12</v>
      </c>
      <c r="G267" t="s">
        <v>13</v>
      </c>
      <c r="H267" t="s">
        <v>14</v>
      </c>
      <c r="I267">
        <v>4884226</v>
      </c>
      <c r="J267" t="s">
        <v>15</v>
      </c>
      <c r="K267" s="1" t="str">
        <f>VLOOKUP(I267,'[1]PC50 Y2018 Status'!$D:$H,5,FALSE)</f>
        <v>TECO PCNF NMAT PRC  SETC</v>
      </c>
    </row>
    <row r="268" spans="2:11" x14ac:dyDescent="0.25">
      <c r="B268">
        <v>610000004101</v>
      </c>
      <c r="C268" t="s">
        <v>51</v>
      </c>
      <c r="D268">
        <v>57</v>
      </c>
      <c r="E268" t="s">
        <v>141</v>
      </c>
      <c r="F268" t="s">
        <v>12</v>
      </c>
      <c r="G268" t="s">
        <v>13</v>
      </c>
      <c r="H268" t="s">
        <v>14</v>
      </c>
      <c r="I268">
        <v>4883325</v>
      </c>
      <c r="J268" t="s">
        <v>22</v>
      </c>
      <c r="K268" s="1" t="str">
        <f>VLOOKUP(I268,'[1]PC50 Y2018 Status'!$D:$H,5,FALSE)</f>
        <v>TECO PCNF NMAT PRC  SETC</v>
      </c>
    </row>
    <row r="269" spans="2:11" x14ac:dyDescent="0.25">
      <c r="B269">
        <v>610000004121</v>
      </c>
      <c r="C269" t="s">
        <v>54</v>
      </c>
      <c r="D269">
        <v>57</v>
      </c>
      <c r="E269" t="s">
        <v>141</v>
      </c>
      <c r="F269" t="s">
        <v>12</v>
      </c>
      <c r="G269" t="s">
        <v>13</v>
      </c>
      <c r="H269" t="s">
        <v>14</v>
      </c>
      <c r="I269">
        <v>4883338</v>
      </c>
      <c r="J269" t="s">
        <v>22</v>
      </c>
      <c r="K269" s="1" t="str">
        <f>VLOOKUP(I269,'[1]PC50 Y2018 Status'!$D:$H,5,FALSE)</f>
        <v>TECO PCNF NMAT PRC  SETC</v>
      </c>
    </row>
    <row r="270" spans="2:11" x14ac:dyDescent="0.25">
      <c r="B270">
        <v>610000004143</v>
      </c>
      <c r="C270" t="s">
        <v>55</v>
      </c>
      <c r="D270">
        <v>25</v>
      </c>
      <c r="E270" t="s">
        <v>141</v>
      </c>
      <c r="F270" t="s">
        <v>12</v>
      </c>
      <c r="G270" t="s">
        <v>13</v>
      </c>
      <c r="H270" t="s">
        <v>14</v>
      </c>
      <c r="I270">
        <v>4883326</v>
      </c>
      <c r="J270" t="s">
        <v>22</v>
      </c>
      <c r="K270" s="1" t="str">
        <f>VLOOKUP(I270,'[1]PC50 Y2018 Status'!$D:$H,5,FALSE)</f>
        <v>TECO PCNF NMAT PRC  SETC</v>
      </c>
    </row>
    <row r="271" spans="2:11" x14ac:dyDescent="0.25">
      <c r="B271">
        <v>610000004153</v>
      </c>
      <c r="C271" t="s">
        <v>56</v>
      </c>
      <c r="D271">
        <v>25</v>
      </c>
      <c r="E271" t="s">
        <v>141</v>
      </c>
      <c r="F271" t="s">
        <v>12</v>
      </c>
      <c r="G271" t="s">
        <v>13</v>
      </c>
      <c r="H271" t="s">
        <v>14</v>
      </c>
      <c r="I271">
        <v>4883304</v>
      </c>
      <c r="J271" t="s">
        <v>22</v>
      </c>
      <c r="K271" s="1" t="str">
        <f>VLOOKUP(I271,'[1]PC50 Y2018 Status'!$D:$H,5,FALSE)</f>
        <v>TECO PCNF NMAT PRC  SETC</v>
      </c>
    </row>
    <row r="272" spans="2:11" x14ac:dyDescent="0.25">
      <c r="B272">
        <v>342257</v>
      </c>
      <c r="C272" t="s">
        <v>25</v>
      </c>
      <c r="D272">
        <v>165</v>
      </c>
      <c r="E272" t="s">
        <v>142</v>
      </c>
      <c r="F272" t="s">
        <v>12</v>
      </c>
      <c r="G272" t="s">
        <v>13</v>
      </c>
      <c r="H272" t="s">
        <v>14</v>
      </c>
      <c r="I272">
        <v>4884239</v>
      </c>
      <c r="J272" t="s">
        <v>15</v>
      </c>
      <c r="K272" s="1" t="str">
        <f>VLOOKUP(I272,'[1]PC50 Y2018 Status'!$D:$H,5,FALSE)</f>
        <v>TECO PCNF NMAT PRC  SETC</v>
      </c>
    </row>
    <row r="273" spans="2:11" x14ac:dyDescent="0.25">
      <c r="B273">
        <v>347637</v>
      </c>
      <c r="C273" t="s">
        <v>27</v>
      </c>
      <c r="D273">
        <v>23</v>
      </c>
      <c r="E273" t="s">
        <v>142</v>
      </c>
      <c r="F273" t="s">
        <v>12</v>
      </c>
      <c r="G273" t="s">
        <v>13</v>
      </c>
      <c r="H273" t="s">
        <v>14</v>
      </c>
      <c r="I273">
        <v>4884946</v>
      </c>
      <c r="J273" t="s">
        <v>15</v>
      </c>
      <c r="K273" s="1" t="str">
        <f>VLOOKUP(I273,'[1]PC50 Y2018 Status'!$D:$H,5,FALSE)</f>
        <v>TECO PCNF NMAT PRC  SETC</v>
      </c>
    </row>
    <row r="274" spans="2:11" x14ac:dyDescent="0.25">
      <c r="B274">
        <v>347638</v>
      </c>
      <c r="C274" t="s">
        <v>16</v>
      </c>
      <c r="D274">
        <v>12</v>
      </c>
      <c r="E274" t="s">
        <v>142</v>
      </c>
      <c r="F274" t="s">
        <v>12</v>
      </c>
      <c r="G274" t="s">
        <v>13</v>
      </c>
      <c r="H274" t="s">
        <v>14</v>
      </c>
      <c r="I274">
        <v>4883352</v>
      </c>
      <c r="J274" t="s">
        <v>15</v>
      </c>
      <c r="K274" s="1" t="str">
        <f>VLOOKUP(I274,'[1]PC50 Y2018 Status'!$D:$H,5,FALSE)</f>
        <v>TECO PCNF NMAT PRC  SETC</v>
      </c>
    </row>
    <row r="275" spans="2:11" x14ac:dyDescent="0.25">
      <c r="B275">
        <v>610000004178</v>
      </c>
      <c r="C275" t="s">
        <v>59</v>
      </c>
      <c r="D275">
        <v>25</v>
      </c>
      <c r="E275" t="s">
        <v>142</v>
      </c>
      <c r="F275" t="s">
        <v>12</v>
      </c>
      <c r="G275" t="s">
        <v>13</v>
      </c>
      <c r="H275" t="s">
        <v>14</v>
      </c>
      <c r="I275">
        <v>4884278</v>
      </c>
      <c r="J275" t="s">
        <v>22</v>
      </c>
      <c r="K275" s="1" t="str">
        <f>VLOOKUP(I275,'[1]PC50 Y2018 Status'!$D:$H,5,FALSE)</f>
        <v>TECO PCNF NMAT PRC  SETC</v>
      </c>
    </row>
    <row r="276" spans="2:11" x14ac:dyDescent="0.25">
      <c r="B276">
        <v>610000004128</v>
      </c>
      <c r="C276" t="s">
        <v>61</v>
      </c>
      <c r="D276">
        <v>58</v>
      </c>
      <c r="E276" t="s">
        <v>143</v>
      </c>
      <c r="F276" t="s">
        <v>12</v>
      </c>
      <c r="G276" t="s">
        <v>13</v>
      </c>
      <c r="H276" t="s">
        <v>14</v>
      </c>
      <c r="I276">
        <v>4883209</v>
      </c>
      <c r="J276" t="s">
        <v>22</v>
      </c>
      <c r="K276" s="1" t="str">
        <f>VLOOKUP(I276,'[1]PC50 Y2018 Status'!$D:$H,5,FALSE)</f>
        <v>TECO PCNF NMAT PRC  SETC</v>
      </c>
    </row>
    <row r="277" spans="2:11" x14ac:dyDescent="0.25">
      <c r="B277">
        <v>610000004142</v>
      </c>
      <c r="C277" t="s">
        <v>55</v>
      </c>
      <c r="D277">
        <v>57</v>
      </c>
      <c r="E277" t="s">
        <v>143</v>
      </c>
      <c r="F277" t="s">
        <v>12</v>
      </c>
      <c r="G277" t="s">
        <v>13</v>
      </c>
      <c r="H277" t="s">
        <v>14</v>
      </c>
      <c r="I277">
        <v>4883337</v>
      </c>
      <c r="J277" t="s">
        <v>22</v>
      </c>
      <c r="K277" s="1" t="str">
        <f>VLOOKUP(I277,'[1]PC50 Y2018 Status'!$D:$H,5,FALSE)</f>
        <v>TECO PCNF NMAT PRC  SETC</v>
      </c>
    </row>
    <row r="278" spans="2:11" x14ac:dyDescent="0.25">
      <c r="B278">
        <v>610000004151</v>
      </c>
      <c r="C278" t="s">
        <v>62</v>
      </c>
      <c r="D278">
        <v>57</v>
      </c>
      <c r="E278" t="s">
        <v>143</v>
      </c>
      <c r="F278" t="s">
        <v>12</v>
      </c>
      <c r="G278" t="s">
        <v>13</v>
      </c>
      <c r="H278" t="s">
        <v>14</v>
      </c>
      <c r="I278">
        <v>4883327</v>
      </c>
      <c r="J278" t="s">
        <v>22</v>
      </c>
      <c r="K278" s="1" t="str">
        <f>VLOOKUP(I278,'[1]PC50 Y2018 Status'!$D:$H,5,FALSE)</f>
        <v>TECO PCNF NMAT PRC  SETC</v>
      </c>
    </row>
    <row r="279" spans="2:11" x14ac:dyDescent="0.25">
      <c r="B279">
        <v>342279</v>
      </c>
      <c r="C279" t="s">
        <v>64</v>
      </c>
      <c r="D279">
        <v>38</v>
      </c>
      <c r="E279" t="s">
        <v>144</v>
      </c>
      <c r="F279" t="s">
        <v>12</v>
      </c>
      <c r="G279" t="s">
        <v>13</v>
      </c>
      <c r="H279" t="s">
        <v>14</v>
      </c>
      <c r="I279">
        <v>4884283</v>
      </c>
      <c r="J279" t="s">
        <v>15</v>
      </c>
      <c r="K279" s="1" t="str">
        <f>VLOOKUP(I279,'[1]PC50 Y2018 Status'!$D:$H,5,FALSE)</f>
        <v>TECO PCNF NMAT PRC  SETC</v>
      </c>
    </row>
    <row r="280" spans="2:11" x14ac:dyDescent="0.25">
      <c r="B280">
        <v>610000004032</v>
      </c>
      <c r="C280" t="s">
        <v>32</v>
      </c>
      <c r="D280">
        <v>54</v>
      </c>
      <c r="E280" t="s">
        <v>144</v>
      </c>
      <c r="F280" t="s">
        <v>12</v>
      </c>
      <c r="G280" t="s">
        <v>13</v>
      </c>
      <c r="H280" t="s">
        <v>14</v>
      </c>
      <c r="I280">
        <v>4884229</v>
      </c>
      <c r="J280" t="s">
        <v>15</v>
      </c>
      <c r="K280" s="1" t="str">
        <f>VLOOKUP(I280,'[1]PC50 Y2018 Status'!$D:$H,5,FALSE)</f>
        <v>TECO PCNF NMAT PRC  SETC</v>
      </c>
    </row>
    <row r="281" spans="2:11" x14ac:dyDescent="0.25">
      <c r="B281">
        <v>610000004084</v>
      </c>
      <c r="C281" t="s">
        <v>123</v>
      </c>
      <c r="D281">
        <v>8</v>
      </c>
      <c r="E281" t="s">
        <v>144</v>
      </c>
      <c r="F281" t="s">
        <v>12</v>
      </c>
      <c r="G281" t="s">
        <v>13</v>
      </c>
      <c r="H281" t="s">
        <v>14</v>
      </c>
      <c r="I281">
        <v>4877808</v>
      </c>
      <c r="J281" t="s">
        <v>15</v>
      </c>
      <c r="K281" s="1" t="str">
        <f>VLOOKUP(I281,'[1]PC50 Y2018 Status'!$D:$H,5,FALSE)</f>
        <v>TECO PCNF NMAT PRC  SETC</v>
      </c>
    </row>
    <row r="282" spans="2:11" x14ac:dyDescent="0.25">
      <c r="B282">
        <v>610000004168</v>
      </c>
      <c r="C282" t="s">
        <v>115</v>
      </c>
      <c r="D282">
        <v>16</v>
      </c>
      <c r="E282" t="s">
        <v>144</v>
      </c>
      <c r="F282" t="s">
        <v>12</v>
      </c>
      <c r="G282" t="s">
        <v>13</v>
      </c>
      <c r="H282" t="s">
        <v>14</v>
      </c>
      <c r="I282">
        <v>4883339</v>
      </c>
      <c r="J282" t="s">
        <v>22</v>
      </c>
      <c r="K282" s="1" t="str">
        <f>VLOOKUP(I282,'[1]PC50 Y2018 Status'!$D:$H,5,FALSE)</f>
        <v>TECO PCNF NMAT PRC  SETC</v>
      </c>
    </row>
    <row r="283" spans="2:11" x14ac:dyDescent="0.25">
      <c r="B283">
        <v>610000004175</v>
      </c>
      <c r="C283" t="s">
        <v>34</v>
      </c>
      <c r="D283">
        <v>99</v>
      </c>
      <c r="E283" t="s">
        <v>144</v>
      </c>
      <c r="F283" t="s">
        <v>12</v>
      </c>
      <c r="G283" t="s">
        <v>13</v>
      </c>
      <c r="H283" t="s">
        <v>14</v>
      </c>
      <c r="I283">
        <v>4884270</v>
      </c>
      <c r="J283" t="s">
        <v>22</v>
      </c>
      <c r="K283" s="1" t="str">
        <f>VLOOKUP(I283,'[1]PC50 Y2018 Status'!$D:$H,5,FALSE)</f>
        <v>TECO PCNF NMAT PRC  SETC</v>
      </c>
    </row>
    <row r="284" spans="2:11" x14ac:dyDescent="0.25">
      <c r="B284">
        <v>347639</v>
      </c>
      <c r="C284" t="s">
        <v>32</v>
      </c>
      <c r="D284">
        <v>6</v>
      </c>
      <c r="E284" t="s">
        <v>145</v>
      </c>
      <c r="F284" t="s">
        <v>12</v>
      </c>
      <c r="G284" t="s">
        <v>13</v>
      </c>
      <c r="H284" t="s">
        <v>14</v>
      </c>
      <c r="I284">
        <v>4884292</v>
      </c>
      <c r="J284" t="s">
        <v>15</v>
      </c>
      <c r="K284" s="1" t="str">
        <f>VLOOKUP(I284,'[1]PC50 Y2018 Status'!$D:$H,5,FALSE)</f>
        <v>TECO PCNF NMAT PRC  SETC</v>
      </c>
    </row>
    <row r="285" spans="2:11" x14ac:dyDescent="0.25">
      <c r="B285">
        <v>610000004069</v>
      </c>
      <c r="C285" t="s">
        <v>35</v>
      </c>
      <c r="D285">
        <v>100</v>
      </c>
      <c r="E285" t="s">
        <v>145</v>
      </c>
      <c r="F285" t="s">
        <v>12</v>
      </c>
      <c r="G285" t="s">
        <v>13</v>
      </c>
      <c r="H285" t="s">
        <v>14</v>
      </c>
      <c r="I285">
        <v>4884237</v>
      </c>
      <c r="J285" t="s">
        <v>15</v>
      </c>
      <c r="K285" s="1" t="str">
        <f>VLOOKUP(I285,'[1]PC50 Y2018 Status'!$D:$H,5,FALSE)</f>
        <v>TECO PCNF NMAT PRC  SETC</v>
      </c>
    </row>
    <row r="286" spans="2:11" x14ac:dyDescent="0.25">
      <c r="B286">
        <v>610000004070</v>
      </c>
      <c r="C286" t="s">
        <v>35</v>
      </c>
      <c r="D286">
        <v>100</v>
      </c>
      <c r="E286" t="s">
        <v>145</v>
      </c>
      <c r="F286" t="s">
        <v>12</v>
      </c>
      <c r="G286" t="s">
        <v>13</v>
      </c>
      <c r="H286" t="s">
        <v>14</v>
      </c>
      <c r="I286">
        <v>4884264</v>
      </c>
      <c r="J286" t="s">
        <v>15</v>
      </c>
      <c r="K286" s="1" t="str">
        <f>VLOOKUP(I286,'[1]PC50 Y2018 Status'!$D:$H,5,FALSE)</f>
        <v>TECO PCNF NMAT PRC  SETC</v>
      </c>
    </row>
    <row r="287" spans="2:11" x14ac:dyDescent="0.25">
      <c r="B287">
        <v>610000004102</v>
      </c>
      <c r="C287" t="s">
        <v>67</v>
      </c>
      <c r="D287">
        <v>47</v>
      </c>
      <c r="E287" t="s">
        <v>145</v>
      </c>
      <c r="F287" t="s">
        <v>12</v>
      </c>
      <c r="G287" t="s">
        <v>13</v>
      </c>
      <c r="H287" t="s">
        <v>14</v>
      </c>
      <c r="I287">
        <v>4884282</v>
      </c>
      <c r="J287" t="s">
        <v>22</v>
      </c>
      <c r="K287" s="1" t="str">
        <f>VLOOKUP(I287,'[1]PC50 Y2018 Status'!$D:$H,5,FALSE)</f>
        <v>TECO PCNF NMAT PRC  SETC</v>
      </c>
    </row>
    <row r="288" spans="2:11" x14ac:dyDescent="0.25">
      <c r="B288">
        <v>610000004129</v>
      </c>
      <c r="C288" t="s">
        <v>68</v>
      </c>
      <c r="D288">
        <v>47</v>
      </c>
      <c r="E288" t="s">
        <v>145</v>
      </c>
      <c r="F288" t="s">
        <v>12</v>
      </c>
      <c r="G288" t="s">
        <v>13</v>
      </c>
      <c r="H288" t="s">
        <v>14</v>
      </c>
      <c r="I288">
        <v>4884287</v>
      </c>
      <c r="J288" t="s">
        <v>22</v>
      </c>
      <c r="K288" s="1" t="str">
        <f>VLOOKUP(I288,'[1]PC50 Y2018 Status'!$D:$H,5,FALSE)</f>
        <v>TECO PCNF NMAT PRC  SETC</v>
      </c>
    </row>
    <row r="289" spans="2:11" x14ac:dyDescent="0.25">
      <c r="B289">
        <v>610000004068</v>
      </c>
      <c r="C289" t="s">
        <v>24</v>
      </c>
      <c r="D289">
        <v>201</v>
      </c>
      <c r="E289" t="s">
        <v>146</v>
      </c>
      <c r="F289" t="s">
        <v>12</v>
      </c>
      <c r="G289" t="s">
        <v>13</v>
      </c>
      <c r="H289" t="s">
        <v>14</v>
      </c>
      <c r="I289">
        <v>4885797</v>
      </c>
      <c r="J289" t="s">
        <v>15</v>
      </c>
      <c r="K289" s="1" t="str">
        <f>VLOOKUP(I289,'[1]PC50 Y2018 Status'!$D:$H,5,FALSE)</f>
        <v>TECO PCNF NMAT PRC  SETC</v>
      </c>
    </row>
    <row r="290" spans="2:11" x14ac:dyDescent="0.25">
      <c r="B290">
        <v>610000004077</v>
      </c>
      <c r="C290" t="s">
        <v>39</v>
      </c>
      <c r="D290">
        <v>100</v>
      </c>
      <c r="E290" t="s">
        <v>146</v>
      </c>
      <c r="F290" t="s">
        <v>12</v>
      </c>
      <c r="G290" t="s">
        <v>13</v>
      </c>
      <c r="H290" t="s">
        <v>14</v>
      </c>
      <c r="I290">
        <v>4884918</v>
      </c>
      <c r="J290" t="s">
        <v>15</v>
      </c>
      <c r="K290" s="1" t="str">
        <f>VLOOKUP(I290,'[1]PC50 Y2018 Status'!$D:$H,5,FALSE)</f>
        <v>TECO PCNF NMAT PRC  SETC</v>
      </c>
    </row>
    <row r="291" spans="2:11" x14ac:dyDescent="0.25">
      <c r="B291">
        <v>610000004085</v>
      </c>
      <c r="C291" t="s">
        <v>18</v>
      </c>
      <c r="D291">
        <v>100</v>
      </c>
      <c r="E291" t="s">
        <v>146</v>
      </c>
      <c r="F291" t="s">
        <v>12</v>
      </c>
      <c r="G291" t="s">
        <v>13</v>
      </c>
      <c r="H291" t="s">
        <v>14</v>
      </c>
      <c r="I291">
        <v>4884904</v>
      </c>
      <c r="J291" t="s">
        <v>15</v>
      </c>
      <c r="K291" s="1" t="str">
        <f>VLOOKUP(I291,'[1]PC50 Y2018 Status'!$D:$H,5,FALSE)</f>
        <v>TECO PCNF NMAT PRC  SETC</v>
      </c>
    </row>
    <row r="292" spans="2:11" x14ac:dyDescent="0.25">
      <c r="B292">
        <v>610000004086</v>
      </c>
      <c r="C292" t="s">
        <v>18</v>
      </c>
      <c r="D292">
        <v>100</v>
      </c>
      <c r="E292" t="s">
        <v>146</v>
      </c>
      <c r="F292" t="s">
        <v>12</v>
      </c>
      <c r="G292" t="s">
        <v>13</v>
      </c>
      <c r="H292" t="s">
        <v>14</v>
      </c>
      <c r="I292">
        <v>4884925</v>
      </c>
      <c r="J292" t="s">
        <v>15</v>
      </c>
      <c r="K292" s="1" t="str">
        <f>VLOOKUP(I292,'[1]PC50 Y2018 Status'!$D:$H,5,FALSE)</f>
        <v>TECO PCNF NMAT PRC  SETC</v>
      </c>
    </row>
    <row r="293" spans="2:11" x14ac:dyDescent="0.25">
      <c r="B293">
        <v>342743</v>
      </c>
      <c r="C293" t="s">
        <v>77</v>
      </c>
      <c r="D293">
        <v>6</v>
      </c>
      <c r="E293" t="s">
        <v>147</v>
      </c>
      <c r="F293" t="s">
        <v>12</v>
      </c>
      <c r="G293" t="s">
        <v>13</v>
      </c>
      <c r="H293" t="s">
        <v>14</v>
      </c>
      <c r="I293">
        <v>4881017</v>
      </c>
      <c r="J293" t="s">
        <v>22</v>
      </c>
      <c r="K293" s="1" t="str">
        <f>VLOOKUP(I293,'[1]PC50 Y2018 Status'!$D:$H,5,FALSE)</f>
        <v>TECO PCNF NMAT PRC  SETC</v>
      </c>
    </row>
    <row r="294" spans="2:11" x14ac:dyDescent="0.25">
      <c r="B294">
        <v>610000004025</v>
      </c>
      <c r="C294" t="s">
        <v>44</v>
      </c>
      <c r="D294">
        <v>99</v>
      </c>
      <c r="E294" t="s">
        <v>147</v>
      </c>
      <c r="F294" t="s">
        <v>12</v>
      </c>
      <c r="G294" t="s">
        <v>13</v>
      </c>
      <c r="H294" t="s">
        <v>14</v>
      </c>
      <c r="I294">
        <v>4884902</v>
      </c>
      <c r="J294" t="s">
        <v>15</v>
      </c>
      <c r="K294" s="1" t="str">
        <f>VLOOKUP(I294,'[1]PC50 Y2018 Status'!$D:$H,5,FALSE)</f>
        <v>TECO NMAT PRC  SETC</v>
      </c>
    </row>
    <row r="295" spans="2:11" x14ac:dyDescent="0.25">
      <c r="B295">
        <v>610000004091</v>
      </c>
      <c r="C295" t="s">
        <v>47</v>
      </c>
      <c r="D295">
        <v>99</v>
      </c>
      <c r="E295" t="s">
        <v>147</v>
      </c>
      <c r="F295" t="s">
        <v>12</v>
      </c>
      <c r="G295" t="s">
        <v>13</v>
      </c>
      <c r="H295" t="s">
        <v>14</v>
      </c>
      <c r="I295">
        <v>4884854</v>
      </c>
      <c r="J295" t="s">
        <v>15</v>
      </c>
      <c r="K295" s="1" t="str">
        <f>VLOOKUP(I295,'[1]PC50 Y2018 Status'!$D:$H,5,FALSE)</f>
        <v>TECO PCNF NMAT PRC  SETC</v>
      </c>
    </row>
    <row r="296" spans="2:11" x14ac:dyDescent="0.25">
      <c r="B296">
        <v>610000004161</v>
      </c>
      <c r="C296" t="s">
        <v>48</v>
      </c>
      <c r="D296">
        <v>101</v>
      </c>
      <c r="E296" t="s">
        <v>147</v>
      </c>
      <c r="F296" t="s">
        <v>12</v>
      </c>
      <c r="G296" t="s">
        <v>13</v>
      </c>
      <c r="H296" t="s">
        <v>14</v>
      </c>
      <c r="I296">
        <v>4884856</v>
      </c>
      <c r="J296" t="s">
        <v>22</v>
      </c>
      <c r="K296" s="1" t="str">
        <f>VLOOKUP(I296,'[1]PC50 Y2018 Status'!$D:$H,5,FALSE)</f>
        <v>TECO PCNF NMAT PRC  SETC</v>
      </c>
    </row>
    <row r="297" spans="2:11" x14ac:dyDescent="0.25">
      <c r="B297">
        <v>342257</v>
      </c>
      <c r="C297" t="s">
        <v>25</v>
      </c>
      <c r="D297">
        <v>166</v>
      </c>
      <c r="E297" t="s">
        <v>148</v>
      </c>
      <c r="F297" t="s">
        <v>12</v>
      </c>
      <c r="G297" t="s">
        <v>13</v>
      </c>
      <c r="H297" t="s">
        <v>14</v>
      </c>
      <c r="I297">
        <v>4885905</v>
      </c>
      <c r="J297" t="s">
        <v>15</v>
      </c>
      <c r="K297" s="1" t="str">
        <f>VLOOKUP(I297,'[1]PC50 Y2018 Status'!$D:$H,5,FALSE)</f>
        <v>TECO PCNF NMAT PRC  SETC</v>
      </c>
    </row>
    <row r="298" spans="2:11" x14ac:dyDescent="0.25">
      <c r="B298">
        <v>347637</v>
      </c>
      <c r="C298" t="s">
        <v>27</v>
      </c>
      <c r="D298">
        <v>24</v>
      </c>
      <c r="E298" t="s">
        <v>148</v>
      </c>
      <c r="F298" t="s">
        <v>12</v>
      </c>
      <c r="G298" t="s">
        <v>13</v>
      </c>
      <c r="H298" t="s">
        <v>14</v>
      </c>
      <c r="I298">
        <v>4886683</v>
      </c>
      <c r="J298" t="s">
        <v>15</v>
      </c>
      <c r="K298" s="1" t="str">
        <f>VLOOKUP(I298,'[1]PC50 Y2018 Status'!$D:$H,5,FALSE)</f>
        <v>TECO PCNF NMAT PRC  SETC</v>
      </c>
    </row>
    <row r="299" spans="2:11" x14ac:dyDescent="0.25">
      <c r="B299">
        <v>347678</v>
      </c>
      <c r="C299" t="s">
        <v>28</v>
      </c>
      <c r="D299">
        <v>6</v>
      </c>
      <c r="E299" t="s">
        <v>148</v>
      </c>
      <c r="F299" t="s">
        <v>12</v>
      </c>
      <c r="G299" t="s">
        <v>13</v>
      </c>
      <c r="H299" t="s">
        <v>14</v>
      </c>
      <c r="I299">
        <v>4884952</v>
      </c>
      <c r="J299" t="s">
        <v>22</v>
      </c>
      <c r="K299" s="1" t="str">
        <f>VLOOKUP(I299,'[1]PC50 Y2018 Status'!$D:$H,5,FALSE)</f>
        <v>TECO PCNF NMAT PRC  SETC</v>
      </c>
    </row>
    <row r="300" spans="2:11" x14ac:dyDescent="0.25">
      <c r="B300">
        <v>347679</v>
      </c>
      <c r="C300" t="s">
        <v>78</v>
      </c>
      <c r="D300">
        <v>3</v>
      </c>
      <c r="E300" t="s">
        <v>148</v>
      </c>
      <c r="F300" t="s">
        <v>12</v>
      </c>
      <c r="G300" t="s">
        <v>13</v>
      </c>
      <c r="H300" t="s">
        <v>14</v>
      </c>
      <c r="I300">
        <v>4881864</v>
      </c>
      <c r="J300" t="s">
        <v>22</v>
      </c>
      <c r="K300" s="1" t="str">
        <f>VLOOKUP(I300,'[1]PC50 Y2018 Status'!$D:$H,5,FALSE)</f>
        <v>TECO PCNF NMAT PRC  SETC</v>
      </c>
    </row>
    <row r="301" spans="2:11" x14ac:dyDescent="0.25">
      <c r="B301">
        <v>610000004162</v>
      </c>
      <c r="C301" t="s">
        <v>43</v>
      </c>
      <c r="D301">
        <v>47</v>
      </c>
      <c r="E301" t="s">
        <v>148</v>
      </c>
      <c r="F301" t="s">
        <v>12</v>
      </c>
      <c r="G301" t="s">
        <v>13</v>
      </c>
      <c r="H301" t="s">
        <v>14</v>
      </c>
      <c r="I301">
        <v>4884926</v>
      </c>
      <c r="J301" t="s">
        <v>22</v>
      </c>
      <c r="K301" s="1" t="str">
        <f>VLOOKUP(I301,'[1]PC50 Y2018 Status'!$D:$H,5,FALSE)</f>
        <v>TECO PCNF NMAT PRC  SETC</v>
      </c>
    </row>
    <row r="302" spans="2:11" x14ac:dyDescent="0.25">
      <c r="B302">
        <v>610000004050</v>
      </c>
      <c r="C302" t="s">
        <v>17</v>
      </c>
      <c r="D302">
        <v>100</v>
      </c>
      <c r="E302" t="s">
        <v>149</v>
      </c>
      <c r="F302" t="s">
        <v>12</v>
      </c>
      <c r="G302" t="s">
        <v>13</v>
      </c>
      <c r="H302" t="s">
        <v>14</v>
      </c>
      <c r="I302">
        <v>4884912</v>
      </c>
      <c r="J302" t="s">
        <v>15</v>
      </c>
      <c r="K302" s="1" t="str">
        <f>VLOOKUP(I302,'[1]PC50 Y2018 Status'!$D:$H,5,FALSE)</f>
        <v>TECO PCNF NMAT PRC  SETC</v>
      </c>
    </row>
    <row r="303" spans="2:11" x14ac:dyDescent="0.25">
      <c r="B303">
        <v>610000004065</v>
      </c>
      <c r="C303" t="s">
        <v>150</v>
      </c>
      <c r="D303">
        <v>16</v>
      </c>
      <c r="E303" t="s">
        <v>149</v>
      </c>
      <c r="F303" t="s">
        <v>12</v>
      </c>
      <c r="G303" t="s">
        <v>13</v>
      </c>
      <c r="H303" t="s">
        <v>14</v>
      </c>
      <c r="I303">
        <v>4881771</v>
      </c>
      <c r="J303" t="s">
        <v>15</v>
      </c>
      <c r="K303" s="1" t="str">
        <f>VLOOKUP(I303,'[1]PC50 Y2018 Status'!$D:$H,5,FALSE)</f>
        <v>TECO PCNF NMAT PRC  SETC</v>
      </c>
    </row>
    <row r="304" spans="2:11" x14ac:dyDescent="0.25">
      <c r="B304">
        <v>342586</v>
      </c>
      <c r="C304" t="s">
        <v>82</v>
      </c>
      <c r="D304">
        <v>34</v>
      </c>
      <c r="E304" t="s">
        <v>151</v>
      </c>
      <c r="F304" t="s">
        <v>12</v>
      </c>
      <c r="G304" t="s">
        <v>13</v>
      </c>
      <c r="H304" t="s">
        <v>14</v>
      </c>
      <c r="I304">
        <v>4884930</v>
      </c>
      <c r="J304" t="s">
        <v>22</v>
      </c>
      <c r="K304" s="1" t="str">
        <f>VLOOKUP(I304,'[1]PC50 Y2018 Status'!$D:$H,5,FALSE)</f>
        <v>TECO PCNF NMAT PRC  SETC</v>
      </c>
    </row>
    <row r="305" spans="2:11" x14ac:dyDescent="0.25">
      <c r="B305">
        <v>342631</v>
      </c>
      <c r="C305" t="s">
        <v>115</v>
      </c>
      <c r="D305">
        <v>12</v>
      </c>
      <c r="E305" t="s">
        <v>152</v>
      </c>
      <c r="F305" t="s">
        <v>12</v>
      </c>
      <c r="G305" t="s">
        <v>13</v>
      </c>
      <c r="H305" t="s">
        <v>14</v>
      </c>
      <c r="I305">
        <v>4884942</v>
      </c>
      <c r="J305" t="s">
        <v>22</v>
      </c>
      <c r="K305" s="1" t="str">
        <f>VLOOKUP(I305,'[1]PC50 Y2018 Status'!$D:$H,5,FALSE)</f>
        <v>TECO PCNF NMAT PRC  SETC</v>
      </c>
    </row>
    <row r="306" spans="2:11" x14ac:dyDescent="0.25">
      <c r="B306">
        <v>610000004021</v>
      </c>
      <c r="C306" t="s">
        <v>10</v>
      </c>
      <c r="D306">
        <v>100</v>
      </c>
      <c r="E306" t="s">
        <v>152</v>
      </c>
      <c r="F306" t="s">
        <v>12</v>
      </c>
      <c r="G306" t="s">
        <v>13</v>
      </c>
      <c r="H306" t="s">
        <v>14</v>
      </c>
      <c r="I306">
        <v>4885883</v>
      </c>
      <c r="J306" t="s">
        <v>15</v>
      </c>
      <c r="K306" s="1" t="str">
        <f>VLOOKUP(I306,'[1]PC50 Y2018 Status'!$D:$H,5,FALSE)</f>
        <v>TECO PCNF NMAT PRC  SETC</v>
      </c>
    </row>
    <row r="307" spans="2:11" x14ac:dyDescent="0.25">
      <c r="B307">
        <v>610000004031</v>
      </c>
      <c r="C307" t="s">
        <v>16</v>
      </c>
      <c r="D307">
        <v>99</v>
      </c>
      <c r="E307" t="s">
        <v>152</v>
      </c>
      <c r="F307" t="s">
        <v>12</v>
      </c>
      <c r="G307" t="s">
        <v>13</v>
      </c>
      <c r="H307" t="s">
        <v>14</v>
      </c>
      <c r="I307">
        <v>4885930</v>
      </c>
      <c r="J307" t="s">
        <v>15</v>
      </c>
      <c r="K307" s="1" t="str">
        <f>VLOOKUP(I307,'[1]PC50 Y2018 Status'!$D:$H,5,FALSE)</f>
        <v>TECO PCNF NMAT PRC  SETC</v>
      </c>
    </row>
    <row r="308" spans="2:11" x14ac:dyDescent="0.25">
      <c r="B308">
        <v>610000004051</v>
      </c>
      <c r="C308" t="s">
        <v>17</v>
      </c>
      <c r="D308">
        <v>100</v>
      </c>
      <c r="E308" t="s">
        <v>152</v>
      </c>
      <c r="F308" t="s">
        <v>12</v>
      </c>
      <c r="G308" t="s">
        <v>13</v>
      </c>
      <c r="H308" t="s">
        <v>14</v>
      </c>
      <c r="I308">
        <v>4885796</v>
      </c>
      <c r="J308" t="s">
        <v>15</v>
      </c>
      <c r="K308" s="1" t="str">
        <f>VLOOKUP(I308,'[1]PC50 Y2018 Status'!$D:$H,5,FALSE)</f>
        <v>TECO PCNF NMAT PRC  SETC</v>
      </c>
    </row>
    <row r="309" spans="2:11" x14ac:dyDescent="0.25">
      <c r="B309">
        <v>610000004152</v>
      </c>
      <c r="C309" t="s">
        <v>82</v>
      </c>
      <c r="D309">
        <v>47</v>
      </c>
      <c r="E309" t="s">
        <v>152</v>
      </c>
      <c r="F309" t="s">
        <v>12</v>
      </c>
      <c r="G309" t="s">
        <v>13</v>
      </c>
      <c r="H309" t="s">
        <v>14</v>
      </c>
      <c r="I309">
        <v>4885915</v>
      </c>
      <c r="J309" t="s">
        <v>22</v>
      </c>
      <c r="K309" s="1" t="str">
        <f>VLOOKUP(I309,'[1]PC50 Y2018 Status'!$D:$H,5,FALSE)</f>
        <v>TECO PCNF NMAT PRC  SETC</v>
      </c>
    </row>
    <row r="310" spans="2:11" x14ac:dyDescent="0.25">
      <c r="B310">
        <v>342258</v>
      </c>
      <c r="C310" t="s">
        <v>18</v>
      </c>
      <c r="D310">
        <v>83</v>
      </c>
      <c r="E310" t="s">
        <v>153</v>
      </c>
      <c r="F310" t="s">
        <v>12</v>
      </c>
      <c r="G310" t="s">
        <v>13</v>
      </c>
      <c r="H310" t="s">
        <v>14</v>
      </c>
      <c r="I310">
        <v>4885912</v>
      </c>
      <c r="J310" t="s">
        <v>15</v>
      </c>
      <c r="K310" s="1" t="str">
        <f>VLOOKUP(I310,'[1]PC50 Y2018 Status'!$D:$H,5,FALSE)</f>
        <v>TECO PCNF NMAT PRC  SETC</v>
      </c>
    </row>
    <row r="311" spans="2:11" x14ac:dyDescent="0.25">
      <c r="B311">
        <v>342299</v>
      </c>
      <c r="C311" t="s">
        <v>95</v>
      </c>
      <c r="D311">
        <v>13</v>
      </c>
      <c r="E311" t="s">
        <v>153</v>
      </c>
      <c r="F311" t="s">
        <v>12</v>
      </c>
      <c r="G311" t="s">
        <v>13</v>
      </c>
      <c r="H311" t="s">
        <v>14</v>
      </c>
      <c r="I311">
        <v>4885914</v>
      </c>
      <c r="J311" t="s">
        <v>22</v>
      </c>
      <c r="K311" s="1" t="str">
        <f>VLOOKUP(I311,'[1]PC50 Y2018 Status'!$D:$H,5,FALSE)</f>
        <v>TECO PCNF NMAT PRC  SETC</v>
      </c>
    </row>
    <row r="312" spans="2:11" x14ac:dyDescent="0.25">
      <c r="B312">
        <v>610000004068</v>
      </c>
      <c r="C312" t="s">
        <v>24</v>
      </c>
      <c r="D312">
        <v>202</v>
      </c>
      <c r="E312" t="s">
        <v>154</v>
      </c>
      <c r="F312" t="s">
        <v>12</v>
      </c>
      <c r="G312" t="s">
        <v>13</v>
      </c>
      <c r="H312" t="s">
        <v>14</v>
      </c>
      <c r="I312">
        <v>4887689</v>
      </c>
      <c r="J312" t="s">
        <v>15</v>
      </c>
      <c r="K312" s="1" t="str">
        <f>VLOOKUP(I312,'[1]PC50 Y2018 Status'!$D:$H,5,FALSE)</f>
        <v>TECO PCNF NMAT PRC  SETC</v>
      </c>
    </row>
    <row r="313" spans="2:11" x14ac:dyDescent="0.25">
      <c r="B313">
        <v>342588</v>
      </c>
      <c r="C313" t="s">
        <v>82</v>
      </c>
      <c r="D313">
        <v>35</v>
      </c>
      <c r="E313" t="s">
        <v>155</v>
      </c>
      <c r="F313" t="s">
        <v>12</v>
      </c>
      <c r="G313" t="s">
        <v>13</v>
      </c>
      <c r="H313" t="s">
        <v>14</v>
      </c>
      <c r="I313">
        <v>4886680</v>
      </c>
      <c r="J313" t="s">
        <v>22</v>
      </c>
      <c r="K313" s="1" t="str">
        <f>VLOOKUP(I313,'[1]PC50 Y2018 Status'!$D:$H,5,FALSE)</f>
        <v>TECO PCNF NMAT PRC  SETC</v>
      </c>
    </row>
    <row r="314" spans="2:11" x14ac:dyDescent="0.25">
      <c r="B314">
        <v>342257</v>
      </c>
      <c r="C314" t="s">
        <v>25</v>
      </c>
      <c r="D314">
        <v>167</v>
      </c>
      <c r="E314" t="s">
        <v>156</v>
      </c>
      <c r="F314" t="s">
        <v>12</v>
      </c>
      <c r="G314" t="s">
        <v>13</v>
      </c>
      <c r="H314" t="s">
        <v>14</v>
      </c>
      <c r="I314">
        <v>4887713</v>
      </c>
      <c r="J314" t="s">
        <v>15</v>
      </c>
      <c r="K314" s="1" t="str">
        <f>VLOOKUP(I314,'[1]PC50 Y2018 Status'!$D:$H,5,FALSE)</f>
        <v>TECO PCNF NMAT PRC  SETC</v>
      </c>
    </row>
    <row r="315" spans="2:11" x14ac:dyDescent="0.25">
      <c r="B315">
        <v>347637</v>
      </c>
      <c r="C315" t="s">
        <v>27</v>
      </c>
      <c r="D315">
        <v>25</v>
      </c>
      <c r="E315" t="s">
        <v>156</v>
      </c>
      <c r="F315" t="s">
        <v>12</v>
      </c>
      <c r="G315" t="s">
        <v>13</v>
      </c>
      <c r="H315" t="s">
        <v>14</v>
      </c>
      <c r="I315">
        <v>4888841</v>
      </c>
      <c r="J315" t="s">
        <v>15</v>
      </c>
      <c r="K315" s="1" t="str">
        <f>VLOOKUP(I315,'[1]PC50 Y2018 Status'!$D:$H,5,FALSE)</f>
        <v>TECO PCNF NMAT PRC  SETC</v>
      </c>
    </row>
    <row r="316" spans="2:11" x14ac:dyDescent="0.25">
      <c r="B316">
        <v>347638</v>
      </c>
      <c r="C316" t="s">
        <v>16</v>
      </c>
      <c r="D316">
        <v>13</v>
      </c>
      <c r="E316" t="s">
        <v>156</v>
      </c>
      <c r="F316" t="s">
        <v>12</v>
      </c>
      <c r="G316" t="s">
        <v>13</v>
      </c>
      <c r="H316" t="s">
        <v>14</v>
      </c>
      <c r="I316">
        <v>4886693</v>
      </c>
      <c r="J316" t="s">
        <v>15</v>
      </c>
      <c r="K316" s="1" t="str">
        <f>VLOOKUP(I316,'[1]PC50 Y2018 Status'!$D:$H,5,FALSE)</f>
        <v>TECO PCNF NMAT PRC  SETC</v>
      </c>
    </row>
    <row r="317" spans="2:11" x14ac:dyDescent="0.25">
      <c r="B317">
        <v>610000004104</v>
      </c>
      <c r="C317" t="s">
        <v>51</v>
      </c>
      <c r="D317">
        <v>24</v>
      </c>
      <c r="E317" t="s">
        <v>156</v>
      </c>
      <c r="F317" t="s">
        <v>12</v>
      </c>
      <c r="G317" t="s">
        <v>13</v>
      </c>
      <c r="H317" t="s">
        <v>14</v>
      </c>
      <c r="I317">
        <v>4887696</v>
      </c>
      <c r="J317" t="s">
        <v>22</v>
      </c>
      <c r="K317" s="1" t="str">
        <f>VLOOKUP(I317,'[1]PC50 Y2018 Status'!$D:$H,5,FALSE)</f>
        <v>TECO PCNF NMAT PRC  SETC</v>
      </c>
    </row>
    <row r="318" spans="2:11" x14ac:dyDescent="0.25">
      <c r="B318">
        <v>610000004132</v>
      </c>
      <c r="C318" t="s">
        <v>61</v>
      </c>
      <c r="D318">
        <v>23</v>
      </c>
      <c r="E318" t="s">
        <v>156</v>
      </c>
      <c r="F318" t="s">
        <v>12</v>
      </c>
      <c r="G318" t="s">
        <v>13</v>
      </c>
      <c r="H318" t="s">
        <v>14</v>
      </c>
      <c r="I318">
        <v>4882625</v>
      </c>
      <c r="J318" t="s">
        <v>22</v>
      </c>
      <c r="K318" s="1" t="str">
        <f>VLOOKUP(I318,'[1]PC50 Y2018 Status'!$D:$H,5,FALSE)</f>
        <v>TECO PCNF NMAT PRC  SETC</v>
      </c>
    </row>
    <row r="319" spans="2:11" x14ac:dyDescent="0.25">
      <c r="B319">
        <v>610000004106</v>
      </c>
      <c r="C319" t="s">
        <v>51</v>
      </c>
      <c r="D319">
        <v>24</v>
      </c>
      <c r="E319" t="s">
        <v>157</v>
      </c>
      <c r="F319" t="s">
        <v>12</v>
      </c>
      <c r="G319" t="s">
        <v>13</v>
      </c>
      <c r="H319" t="s">
        <v>14</v>
      </c>
      <c r="I319">
        <v>4887697</v>
      </c>
      <c r="J319" t="s">
        <v>22</v>
      </c>
      <c r="K319" s="1" t="str">
        <f>VLOOKUP(I319,'[1]PC50 Y2018 Status'!$D:$H,5,FALSE)</f>
        <v>TECO PCNF NMAT PRC  SETC</v>
      </c>
    </row>
    <row r="320" spans="2:11" x14ac:dyDescent="0.25">
      <c r="B320">
        <v>610000004171</v>
      </c>
      <c r="C320" t="s">
        <v>77</v>
      </c>
      <c r="D320">
        <v>8</v>
      </c>
      <c r="E320" t="s">
        <v>157</v>
      </c>
      <c r="F320" t="s">
        <v>12</v>
      </c>
      <c r="G320" t="s">
        <v>13</v>
      </c>
      <c r="H320" t="s">
        <v>14</v>
      </c>
      <c r="I320">
        <v>4883319</v>
      </c>
      <c r="J320" t="s">
        <v>22</v>
      </c>
      <c r="K320" s="1" t="str">
        <f>VLOOKUP(I320,'[1]PC50 Y2018 Status'!$D:$H,5,FALSE)</f>
        <v>TECO PCNF NMAT PRC  SETC</v>
      </c>
    </row>
    <row r="321" spans="2:11" x14ac:dyDescent="0.25">
      <c r="B321">
        <v>610000004175</v>
      </c>
      <c r="C321" t="s">
        <v>34</v>
      </c>
      <c r="D321">
        <v>100</v>
      </c>
      <c r="E321" t="s">
        <v>158</v>
      </c>
      <c r="F321" t="s">
        <v>12</v>
      </c>
      <c r="G321" t="s">
        <v>13</v>
      </c>
      <c r="H321" t="s">
        <v>14</v>
      </c>
      <c r="I321">
        <v>4887729</v>
      </c>
      <c r="J321" t="s">
        <v>22</v>
      </c>
      <c r="K321" s="1" t="str">
        <f>VLOOKUP(I321,'[1]PC50 Y2018 Status'!$D:$H,5,FALSE)</f>
        <v>TECO PCNF NMAT PRC  SETC</v>
      </c>
    </row>
    <row r="322" spans="2:11" x14ac:dyDescent="0.25">
      <c r="B322">
        <v>610000004069</v>
      </c>
      <c r="C322" t="s">
        <v>35</v>
      </c>
      <c r="D322">
        <v>101</v>
      </c>
      <c r="E322" t="s">
        <v>159</v>
      </c>
      <c r="F322" t="s">
        <v>12</v>
      </c>
      <c r="G322" t="s">
        <v>13</v>
      </c>
      <c r="H322" t="s">
        <v>14</v>
      </c>
      <c r="I322">
        <v>4887709</v>
      </c>
      <c r="J322" t="s">
        <v>15</v>
      </c>
      <c r="K322" s="1" t="str">
        <f>VLOOKUP(I322,'[1]PC50 Y2018 Status'!$D:$H,5,FALSE)</f>
        <v>TECO PCNF NMAT PRC  SETC</v>
      </c>
    </row>
    <row r="323" spans="2:11" x14ac:dyDescent="0.25">
      <c r="B323">
        <v>610000004070</v>
      </c>
      <c r="C323" t="s">
        <v>35</v>
      </c>
      <c r="D323">
        <v>101</v>
      </c>
      <c r="E323" t="s">
        <v>159</v>
      </c>
      <c r="F323" t="s">
        <v>12</v>
      </c>
      <c r="G323" t="s">
        <v>13</v>
      </c>
      <c r="H323" t="s">
        <v>14</v>
      </c>
      <c r="I323">
        <v>4887721</v>
      </c>
      <c r="J323" t="s">
        <v>15</v>
      </c>
      <c r="K323" s="1" t="str">
        <f>VLOOKUP(I323,'[1]PC50 Y2018 Status'!$D:$H,5,FALSE)</f>
        <v>TECO PCNF NMAT PRC  SETC</v>
      </c>
    </row>
    <row r="324" spans="2:11" x14ac:dyDescent="0.25">
      <c r="B324">
        <v>610000004097</v>
      </c>
      <c r="C324" t="s">
        <v>93</v>
      </c>
      <c r="D324">
        <v>24</v>
      </c>
      <c r="E324" t="s">
        <v>159</v>
      </c>
      <c r="F324" t="s">
        <v>12</v>
      </c>
      <c r="G324" t="s">
        <v>13</v>
      </c>
      <c r="H324" t="s">
        <v>14</v>
      </c>
      <c r="I324">
        <v>4888786</v>
      </c>
      <c r="J324" t="s">
        <v>22</v>
      </c>
      <c r="K324" s="1" t="str">
        <f>VLOOKUP(I324,'[1]PC50 Y2018 Status'!$D:$H,5,FALSE)</f>
        <v>TECO PCNF NMAT PRC  SETC</v>
      </c>
    </row>
    <row r="325" spans="2:11" x14ac:dyDescent="0.25">
      <c r="B325">
        <v>610000004026</v>
      </c>
      <c r="C325" t="s">
        <v>44</v>
      </c>
      <c r="D325">
        <v>47</v>
      </c>
      <c r="E325" t="s">
        <v>160</v>
      </c>
      <c r="F325" t="s">
        <v>12</v>
      </c>
      <c r="G325" t="s">
        <v>13</v>
      </c>
      <c r="H325" t="s">
        <v>14</v>
      </c>
      <c r="I325">
        <v>4887752</v>
      </c>
      <c r="J325" t="s">
        <v>15</v>
      </c>
      <c r="K325" s="1" t="str">
        <f>VLOOKUP(I325,'[1]PC50 Y2018 Status'!$D:$H,5,FALSE)</f>
        <v>TECO PCNF NMAT PRC  SETC</v>
      </c>
    </row>
    <row r="326" spans="2:11" x14ac:dyDescent="0.25">
      <c r="B326">
        <v>610000004028</v>
      </c>
      <c r="C326" t="s">
        <v>44</v>
      </c>
      <c r="D326">
        <v>45</v>
      </c>
      <c r="E326" t="s">
        <v>160</v>
      </c>
      <c r="F326" t="s">
        <v>12</v>
      </c>
      <c r="G326" t="s">
        <v>13</v>
      </c>
      <c r="H326" t="s">
        <v>14</v>
      </c>
      <c r="I326">
        <v>4887698</v>
      </c>
      <c r="J326" t="s">
        <v>15</v>
      </c>
      <c r="K326" s="1" t="str">
        <f>VLOOKUP(I326,'[1]PC50 Y2018 Status'!$D:$H,5,FALSE)</f>
        <v>TECO PCNF NMAT PRC  SETC</v>
      </c>
    </row>
    <row r="327" spans="2:11" x14ac:dyDescent="0.25">
      <c r="B327">
        <v>610000004061</v>
      </c>
      <c r="C327" t="s">
        <v>64</v>
      </c>
      <c r="D327">
        <v>47</v>
      </c>
      <c r="E327" t="s">
        <v>160</v>
      </c>
      <c r="F327" t="s">
        <v>12</v>
      </c>
      <c r="G327" t="s">
        <v>13</v>
      </c>
      <c r="H327" t="s">
        <v>14</v>
      </c>
      <c r="I327">
        <v>4887706</v>
      </c>
      <c r="J327" t="s">
        <v>15</v>
      </c>
      <c r="K327" s="1" t="str">
        <f>VLOOKUP(I327,'[1]PC50 Y2018 Status'!$D:$H,5,FALSE)</f>
        <v>TECO PCNF NMAT PRC  SETC</v>
      </c>
    </row>
    <row r="328" spans="2:11" x14ac:dyDescent="0.25">
      <c r="B328">
        <v>610000004062</v>
      </c>
      <c r="C328" t="s">
        <v>64</v>
      </c>
      <c r="D328">
        <v>47</v>
      </c>
      <c r="E328" t="s">
        <v>160</v>
      </c>
      <c r="F328" t="s">
        <v>12</v>
      </c>
      <c r="G328" t="s">
        <v>13</v>
      </c>
      <c r="H328" t="s">
        <v>14</v>
      </c>
      <c r="I328">
        <v>4887720</v>
      </c>
      <c r="J328" t="s">
        <v>15</v>
      </c>
      <c r="K328" s="1" t="str">
        <f>VLOOKUP(I328,'[1]PC50 Y2018 Status'!$D:$H,5,FALSE)</f>
        <v>TECO PCNF NMAT PRC  SETC</v>
      </c>
    </row>
    <row r="329" spans="2:11" x14ac:dyDescent="0.25">
      <c r="B329">
        <v>610000004063</v>
      </c>
      <c r="C329" t="s">
        <v>64</v>
      </c>
      <c r="D329">
        <v>45</v>
      </c>
      <c r="E329" t="s">
        <v>160</v>
      </c>
      <c r="F329" t="s">
        <v>12</v>
      </c>
      <c r="G329" t="s">
        <v>13</v>
      </c>
      <c r="H329" t="s">
        <v>14</v>
      </c>
      <c r="I329">
        <v>4887731</v>
      </c>
      <c r="J329" t="s">
        <v>15</v>
      </c>
      <c r="K329" s="1" t="str">
        <f>VLOOKUP(I329,'[1]PC50 Y2018 Status'!$D:$H,5,FALSE)</f>
        <v>TECO PCNF NMAT PRC  SETC</v>
      </c>
    </row>
    <row r="330" spans="2:11" x14ac:dyDescent="0.25">
      <c r="B330">
        <v>610000004064</v>
      </c>
      <c r="C330" t="s">
        <v>64</v>
      </c>
      <c r="D330">
        <v>45</v>
      </c>
      <c r="E330" t="s">
        <v>160</v>
      </c>
      <c r="F330" t="s">
        <v>12</v>
      </c>
      <c r="G330" t="s">
        <v>13</v>
      </c>
      <c r="H330" t="s">
        <v>14</v>
      </c>
      <c r="I330">
        <v>4887707</v>
      </c>
      <c r="J330" t="s">
        <v>15</v>
      </c>
      <c r="K330" s="1" t="str">
        <f>VLOOKUP(I330,'[1]PC50 Y2018 Status'!$D:$H,5,FALSE)</f>
        <v>TECO PCNF NMAT PRC  SETC</v>
      </c>
    </row>
    <row r="331" spans="2:11" x14ac:dyDescent="0.25">
      <c r="B331">
        <v>610000004068</v>
      </c>
      <c r="C331" t="s">
        <v>24</v>
      </c>
      <c r="D331">
        <v>203</v>
      </c>
      <c r="E331" t="s">
        <v>160</v>
      </c>
      <c r="F331" t="s">
        <v>12</v>
      </c>
      <c r="G331" t="s">
        <v>13</v>
      </c>
      <c r="H331" t="s">
        <v>14</v>
      </c>
      <c r="I331">
        <v>4891930</v>
      </c>
      <c r="J331" t="s">
        <v>15</v>
      </c>
      <c r="K331" s="1" t="str">
        <f>VLOOKUP(I331,'[1]PC50 Y2018 Status'!$D:$H,5,FALSE)</f>
        <v>TECO PCNF NMAT PRC  SETC</v>
      </c>
    </row>
    <row r="332" spans="2:11" x14ac:dyDescent="0.25">
      <c r="B332">
        <v>610000004071</v>
      </c>
      <c r="C332" t="s">
        <v>70</v>
      </c>
      <c r="D332">
        <v>57</v>
      </c>
      <c r="E332" t="s">
        <v>160</v>
      </c>
      <c r="F332" t="s">
        <v>12</v>
      </c>
      <c r="G332" t="s">
        <v>13</v>
      </c>
      <c r="H332" t="s">
        <v>14</v>
      </c>
      <c r="I332">
        <v>4887736</v>
      </c>
      <c r="J332" t="s">
        <v>15</v>
      </c>
      <c r="K332" s="1" t="str">
        <f>VLOOKUP(I332,'[1]PC50 Y2018 Status'!$D:$H,5,FALSE)</f>
        <v>TECO PCNF NMAT PRC  SETC</v>
      </c>
    </row>
    <row r="333" spans="2:11" x14ac:dyDescent="0.25">
      <c r="B333">
        <v>610000004072</v>
      </c>
      <c r="C333" t="s">
        <v>70</v>
      </c>
      <c r="D333">
        <v>45</v>
      </c>
      <c r="E333" t="s">
        <v>160</v>
      </c>
      <c r="F333" t="s">
        <v>12</v>
      </c>
      <c r="G333" t="s">
        <v>13</v>
      </c>
      <c r="H333" t="s">
        <v>14</v>
      </c>
      <c r="I333">
        <v>4887710</v>
      </c>
      <c r="J333" t="s">
        <v>15</v>
      </c>
      <c r="K333" s="1" t="str">
        <f>VLOOKUP(I333,'[1]PC50 Y2018 Status'!$D:$H,5,FALSE)</f>
        <v>TECO PCNF NMAT PRC  SETC</v>
      </c>
    </row>
    <row r="334" spans="2:11" x14ac:dyDescent="0.25">
      <c r="B334">
        <v>610000004073</v>
      </c>
      <c r="C334" t="s">
        <v>70</v>
      </c>
      <c r="D334">
        <v>44</v>
      </c>
      <c r="E334" t="s">
        <v>160</v>
      </c>
      <c r="F334" t="s">
        <v>12</v>
      </c>
      <c r="G334" t="s">
        <v>13</v>
      </c>
      <c r="H334" t="s">
        <v>14</v>
      </c>
      <c r="I334">
        <v>4887711</v>
      </c>
      <c r="J334" t="s">
        <v>15</v>
      </c>
      <c r="K334" s="1" t="str">
        <f>VLOOKUP(I334,'[1]PC50 Y2018 Status'!$D:$H,5,FALSE)</f>
        <v>TECO PCNF NMAT PRC  SETC</v>
      </c>
    </row>
    <row r="335" spans="2:11" x14ac:dyDescent="0.25">
      <c r="B335">
        <v>610000004077</v>
      </c>
      <c r="C335" t="s">
        <v>39</v>
      </c>
      <c r="D335">
        <v>101</v>
      </c>
      <c r="E335" t="s">
        <v>160</v>
      </c>
      <c r="F335" t="s">
        <v>12</v>
      </c>
      <c r="G335" t="s">
        <v>13</v>
      </c>
      <c r="H335" t="s">
        <v>14</v>
      </c>
      <c r="I335">
        <v>4888758</v>
      </c>
      <c r="J335" t="s">
        <v>15</v>
      </c>
      <c r="K335" s="1" t="str">
        <f>VLOOKUP(I335,'[1]PC50 Y2018 Status'!$D:$H,5,FALSE)</f>
        <v>TECO PCNF NMAT PRC  SETC</v>
      </c>
    </row>
    <row r="336" spans="2:11" x14ac:dyDescent="0.25">
      <c r="B336">
        <v>610000004078</v>
      </c>
      <c r="C336" t="s">
        <v>71</v>
      </c>
      <c r="D336">
        <v>45</v>
      </c>
      <c r="E336" t="s">
        <v>160</v>
      </c>
      <c r="F336" t="s">
        <v>12</v>
      </c>
      <c r="G336" t="s">
        <v>13</v>
      </c>
      <c r="H336" t="s">
        <v>14</v>
      </c>
      <c r="I336">
        <v>4887700</v>
      </c>
      <c r="J336" t="s">
        <v>15</v>
      </c>
      <c r="K336" s="1" t="str">
        <f>VLOOKUP(I336,'[1]PC50 Y2018 Status'!$D:$H,5,FALSE)</f>
        <v>TECO PCNF NMAT PRC  SETC</v>
      </c>
    </row>
    <row r="337" spans="2:11" x14ac:dyDescent="0.25">
      <c r="B337">
        <v>610000004085</v>
      </c>
      <c r="C337" t="s">
        <v>18</v>
      </c>
      <c r="D337">
        <v>101</v>
      </c>
      <c r="E337" t="s">
        <v>160</v>
      </c>
      <c r="F337" t="s">
        <v>12</v>
      </c>
      <c r="G337" t="s">
        <v>13</v>
      </c>
      <c r="H337" t="s">
        <v>14</v>
      </c>
      <c r="I337">
        <v>4888710</v>
      </c>
      <c r="J337" t="s">
        <v>15</v>
      </c>
      <c r="K337" s="1" t="str">
        <f>VLOOKUP(I337,'[1]PC50 Y2018 Status'!$D:$H,5,FALSE)</f>
        <v>TECO PCNF NMAT PRC  SETC</v>
      </c>
    </row>
    <row r="338" spans="2:11" x14ac:dyDescent="0.25">
      <c r="B338">
        <v>610000004086</v>
      </c>
      <c r="C338" t="s">
        <v>18</v>
      </c>
      <c r="D338">
        <v>101</v>
      </c>
      <c r="E338" t="s">
        <v>160</v>
      </c>
      <c r="F338" t="s">
        <v>12</v>
      </c>
      <c r="G338" t="s">
        <v>13</v>
      </c>
      <c r="H338" t="s">
        <v>14</v>
      </c>
      <c r="I338">
        <v>4888795</v>
      </c>
      <c r="J338" t="s">
        <v>15</v>
      </c>
      <c r="K338" s="1" t="str">
        <f>VLOOKUP(I338,'[1]PC50 Y2018 Status'!$D:$H,5,FALSE)</f>
        <v>TECO PCNF NMAT PRC  SETC</v>
      </c>
    </row>
    <row r="339" spans="2:11" x14ac:dyDescent="0.25">
      <c r="B339">
        <v>610000004113</v>
      </c>
      <c r="C339" t="s">
        <v>78</v>
      </c>
      <c r="D339">
        <v>24</v>
      </c>
      <c r="E339" t="s">
        <v>160</v>
      </c>
      <c r="F339" t="s">
        <v>12</v>
      </c>
      <c r="G339" t="s">
        <v>13</v>
      </c>
      <c r="H339" t="s">
        <v>14</v>
      </c>
      <c r="I339">
        <v>4888749</v>
      </c>
      <c r="J339" t="s">
        <v>22</v>
      </c>
      <c r="K339" s="1" t="str">
        <f>VLOOKUP(I339,'[1]PC50 Y2018 Status'!$D:$H,5,FALSE)</f>
        <v>TECO PCNF NMAT PRC  SETC</v>
      </c>
    </row>
    <row r="340" spans="2:11" x14ac:dyDescent="0.25">
      <c r="B340">
        <v>610000004025</v>
      </c>
      <c r="C340" t="s">
        <v>44</v>
      </c>
      <c r="D340">
        <v>100</v>
      </c>
      <c r="E340" t="s">
        <v>161</v>
      </c>
      <c r="F340" t="s">
        <v>12</v>
      </c>
      <c r="G340" t="s">
        <v>13</v>
      </c>
      <c r="H340" t="s">
        <v>14</v>
      </c>
      <c r="I340">
        <v>4888704</v>
      </c>
      <c r="J340" t="s">
        <v>15</v>
      </c>
      <c r="K340" s="1" t="str">
        <f>VLOOKUP(I340,'[1]PC50 Y2018 Status'!$D:$H,5,FALSE)</f>
        <v>TECO PCNF NMAT PRC  SETC</v>
      </c>
    </row>
    <row r="341" spans="2:11" x14ac:dyDescent="0.25">
      <c r="B341">
        <v>610000004091</v>
      </c>
      <c r="C341" t="s">
        <v>47</v>
      </c>
      <c r="D341">
        <v>100</v>
      </c>
      <c r="E341" t="s">
        <v>161</v>
      </c>
      <c r="F341" t="s">
        <v>12</v>
      </c>
      <c r="G341" t="s">
        <v>13</v>
      </c>
      <c r="H341" t="s">
        <v>14</v>
      </c>
      <c r="I341">
        <v>4888637</v>
      </c>
      <c r="J341" t="s">
        <v>15</v>
      </c>
      <c r="K341" s="1" t="str">
        <f>VLOOKUP(I341,'[1]PC50 Y2018 Status'!$D:$H,5,FALSE)</f>
        <v>TECO PCNF NMAT PRC  SETC</v>
      </c>
    </row>
    <row r="342" spans="2:11" x14ac:dyDescent="0.25">
      <c r="B342">
        <v>610000004161</v>
      </c>
      <c r="C342" t="s">
        <v>48</v>
      </c>
      <c r="D342">
        <v>102</v>
      </c>
      <c r="E342" t="s">
        <v>161</v>
      </c>
      <c r="F342" t="s">
        <v>12</v>
      </c>
      <c r="G342" t="s">
        <v>13</v>
      </c>
      <c r="H342" t="s">
        <v>14</v>
      </c>
      <c r="I342">
        <v>4888684</v>
      </c>
      <c r="J342" t="s">
        <v>22</v>
      </c>
      <c r="K342" s="1" t="str">
        <f>VLOOKUP(I342,'[1]PC50 Y2018 Status'!$D:$H,5,FALSE)</f>
        <v>TECO PCNF NMAT PRC  SETC</v>
      </c>
    </row>
    <row r="343" spans="2:11" x14ac:dyDescent="0.25">
      <c r="B343">
        <v>342257</v>
      </c>
      <c r="C343" t="s">
        <v>25</v>
      </c>
      <c r="D343">
        <v>168</v>
      </c>
      <c r="E343" t="s">
        <v>162</v>
      </c>
      <c r="F343" t="s">
        <v>12</v>
      </c>
      <c r="G343" t="s">
        <v>13</v>
      </c>
      <c r="H343" t="s">
        <v>14</v>
      </c>
      <c r="I343">
        <v>4894060</v>
      </c>
      <c r="J343" t="s">
        <v>15</v>
      </c>
      <c r="K343" s="1" t="str">
        <f>VLOOKUP(I343,'[1]PC50 Y2018 Status'!$D:$H,5,FALSE)</f>
        <v>TECO PCNF NMAT PRC  SETC</v>
      </c>
    </row>
    <row r="344" spans="2:11" x14ac:dyDescent="0.25">
      <c r="B344">
        <v>347637</v>
      </c>
      <c r="C344" t="s">
        <v>27</v>
      </c>
      <c r="D344">
        <v>26</v>
      </c>
      <c r="E344" t="s">
        <v>162</v>
      </c>
      <c r="F344" t="s">
        <v>12</v>
      </c>
      <c r="G344" t="s">
        <v>13</v>
      </c>
      <c r="H344" t="s">
        <v>14</v>
      </c>
      <c r="I344">
        <v>4894679</v>
      </c>
      <c r="J344" t="s">
        <v>15</v>
      </c>
      <c r="K344" s="1" t="str">
        <f>VLOOKUP(I344,'[1]PC50 Y2018 Status'!$D:$H,5,FALSE)</f>
        <v>TECO PCNF NMAT PRC  SETC</v>
      </c>
    </row>
    <row r="345" spans="2:11" x14ac:dyDescent="0.25">
      <c r="B345">
        <v>610000004115</v>
      </c>
      <c r="C345" t="s">
        <v>78</v>
      </c>
      <c r="D345">
        <v>24</v>
      </c>
      <c r="E345" t="s">
        <v>162</v>
      </c>
      <c r="F345" t="s">
        <v>12</v>
      </c>
      <c r="G345" t="s">
        <v>13</v>
      </c>
      <c r="H345" t="s">
        <v>14</v>
      </c>
      <c r="I345">
        <v>4894064</v>
      </c>
      <c r="J345" t="s">
        <v>22</v>
      </c>
      <c r="K345" s="1" t="str">
        <f>VLOOKUP(I345,'[1]PC50 Y2018 Status'!$D:$H,5,FALSE)</f>
        <v>TECO PCNF NMAT PRC  SETC</v>
      </c>
    </row>
    <row r="346" spans="2:11" x14ac:dyDescent="0.25">
      <c r="B346">
        <v>347716</v>
      </c>
      <c r="C346" t="s">
        <v>28</v>
      </c>
      <c r="D346">
        <v>6</v>
      </c>
      <c r="E346" t="s">
        <v>163</v>
      </c>
      <c r="F346" t="s">
        <v>12</v>
      </c>
      <c r="G346" t="s">
        <v>13</v>
      </c>
      <c r="H346" t="s">
        <v>14</v>
      </c>
      <c r="I346">
        <v>4888840</v>
      </c>
      <c r="J346" t="s">
        <v>22</v>
      </c>
      <c r="K346" s="1" t="str">
        <f>VLOOKUP(I346,'[1]PC50 Y2018 Status'!$D:$H,5,FALSE)</f>
        <v>TECO PCNF NMAT PRC  SETC</v>
      </c>
    </row>
    <row r="347" spans="2:11" x14ac:dyDescent="0.25">
      <c r="B347">
        <v>347741</v>
      </c>
      <c r="C347" t="s">
        <v>28</v>
      </c>
      <c r="D347">
        <v>6</v>
      </c>
      <c r="E347" t="s">
        <v>163</v>
      </c>
      <c r="F347" t="s">
        <v>12</v>
      </c>
      <c r="G347" t="s">
        <v>13</v>
      </c>
      <c r="H347" t="s">
        <v>14</v>
      </c>
      <c r="I347">
        <v>4888843</v>
      </c>
      <c r="J347" t="s">
        <v>22</v>
      </c>
      <c r="K347" s="1" t="str">
        <f>VLOOKUP(I347,'[1]PC50 Y2018 Status'!$D:$H,5,FALSE)</f>
        <v>TECO PCNF NMAT PRC  SETC</v>
      </c>
    </row>
    <row r="348" spans="2:11" x14ac:dyDescent="0.25">
      <c r="B348">
        <v>610000004050</v>
      </c>
      <c r="C348" t="s">
        <v>17</v>
      </c>
      <c r="D348">
        <v>101</v>
      </c>
      <c r="E348" t="s">
        <v>163</v>
      </c>
      <c r="F348" t="s">
        <v>12</v>
      </c>
      <c r="G348" t="s">
        <v>13</v>
      </c>
      <c r="H348" t="s">
        <v>14</v>
      </c>
      <c r="I348">
        <v>4888735</v>
      </c>
      <c r="J348" t="s">
        <v>15</v>
      </c>
      <c r="K348" s="1" t="str">
        <f>VLOOKUP(I348,'[1]PC50 Y2018 Status'!$D:$H,5,FALSE)</f>
        <v>TECO PCNF NMAT PRC  SETC</v>
      </c>
    </row>
    <row r="349" spans="2:11" x14ac:dyDescent="0.25">
      <c r="B349">
        <v>342694</v>
      </c>
      <c r="C349" t="s">
        <v>32</v>
      </c>
      <c r="D349">
        <v>32</v>
      </c>
      <c r="E349" t="s">
        <v>164</v>
      </c>
      <c r="F349" t="s">
        <v>12</v>
      </c>
      <c r="G349" t="s">
        <v>13</v>
      </c>
      <c r="H349" t="s">
        <v>14</v>
      </c>
      <c r="I349">
        <v>4888823</v>
      </c>
      <c r="J349" t="s">
        <v>15</v>
      </c>
      <c r="K349" s="1" t="str">
        <f>VLOOKUP(I349,'[1]PC50 Y2018 Status'!$D:$H,5,FALSE)</f>
        <v>TECO PCNF NMAT PRC  SETC</v>
      </c>
    </row>
    <row r="350" spans="2:11" x14ac:dyDescent="0.25">
      <c r="B350">
        <v>610000004022</v>
      </c>
      <c r="C350" t="s">
        <v>10</v>
      </c>
      <c r="D350">
        <v>46</v>
      </c>
      <c r="E350" t="s">
        <v>164</v>
      </c>
      <c r="F350" t="s">
        <v>12</v>
      </c>
      <c r="G350" t="s">
        <v>13</v>
      </c>
      <c r="H350" t="s">
        <v>14</v>
      </c>
      <c r="I350">
        <v>4888787</v>
      </c>
      <c r="J350" t="s">
        <v>15</v>
      </c>
      <c r="K350" s="1" t="str">
        <f>VLOOKUP(I350,'[1]PC50 Y2018 Status'!$D:$H,5,FALSE)</f>
        <v>TECO PCNF NMAT PRC  SETC</v>
      </c>
    </row>
    <row r="351" spans="2:11" x14ac:dyDescent="0.25">
      <c r="B351">
        <v>610000004027</v>
      </c>
      <c r="C351" t="s">
        <v>44</v>
      </c>
      <c r="D351">
        <v>48</v>
      </c>
      <c r="E351" t="s">
        <v>164</v>
      </c>
      <c r="F351" t="s">
        <v>12</v>
      </c>
      <c r="G351" t="s">
        <v>13</v>
      </c>
      <c r="H351" t="s">
        <v>14</v>
      </c>
      <c r="I351">
        <v>4888797</v>
      </c>
      <c r="J351" t="s">
        <v>15</v>
      </c>
      <c r="K351" s="1" t="str">
        <f>VLOOKUP(I351,'[1]PC50 Y2018 Status'!$D:$H,5,FALSE)</f>
        <v>TECO PCNF NMAT PRC  SETC</v>
      </c>
    </row>
    <row r="352" spans="2:11" x14ac:dyDescent="0.25">
      <c r="B352">
        <v>610000004033</v>
      </c>
      <c r="C352" t="s">
        <v>32</v>
      </c>
      <c r="D352">
        <v>45</v>
      </c>
      <c r="E352" t="s">
        <v>164</v>
      </c>
      <c r="F352" t="s">
        <v>12</v>
      </c>
      <c r="G352" t="s">
        <v>13</v>
      </c>
      <c r="H352" t="s">
        <v>14</v>
      </c>
      <c r="I352">
        <v>4888788</v>
      </c>
      <c r="J352" t="s">
        <v>15</v>
      </c>
      <c r="K352" s="1" t="str">
        <f>VLOOKUP(I352,'[1]PC50 Y2018 Status'!$D:$H,5,FALSE)</f>
        <v>TECO PCNF NMAT PRC  SETC</v>
      </c>
    </row>
    <row r="353" spans="2:11" x14ac:dyDescent="0.25">
      <c r="B353">
        <v>610000004053</v>
      </c>
      <c r="C353" t="s">
        <v>46</v>
      </c>
      <c r="D353">
        <v>47</v>
      </c>
      <c r="E353" t="s">
        <v>164</v>
      </c>
      <c r="F353" t="s">
        <v>12</v>
      </c>
      <c r="G353" t="s">
        <v>13</v>
      </c>
      <c r="H353" t="s">
        <v>14</v>
      </c>
      <c r="I353">
        <v>4888818</v>
      </c>
      <c r="J353" t="s">
        <v>15</v>
      </c>
      <c r="K353" s="1" t="str">
        <f>VLOOKUP(I353,'[1]PC50 Y2018 Status'!$D:$H,5,FALSE)</f>
        <v>TECO PCNF NMAT PRC  SETC</v>
      </c>
    </row>
    <row r="354" spans="2:11" x14ac:dyDescent="0.25">
      <c r="B354">
        <v>610000004054</v>
      </c>
      <c r="C354" t="s">
        <v>46</v>
      </c>
      <c r="D354">
        <v>47</v>
      </c>
      <c r="E354" t="s">
        <v>164</v>
      </c>
      <c r="F354" t="s">
        <v>12</v>
      </c>
      <c r="G354" t="s">
        <v>13</v>
      </c>
      <c r="H354" t="s">
        <v>14</v>
      </c>
      <c r="I354">
        <v>4888709</v>
      </c>
      <c r="J354" t="s">
        <v>15</v>
      </c>
      <c r="K354" s="1" t="str">
        <f>VLOOKUP(I354,'[1]PC50 Y2018 Status'!$D:$H,5,FALSE)</f>
        <v>TECO PCNF NMAT PRC  SETC</v>
      </c>
    </row>
    <row r="355" spans="2:11" x14ac:dyDescent="0.25">
      <c r="B355">
        <v>610000004055</v>
      </c>
      <c r="C355" t="s">
        <v>87</v>
      </c>
      <c r="D355">
        <v>47</v>
      </c>
      <c r="E355" t="s">
        <v>164</v>
      </c>
      <c r="F355" t="s">
        <v>12</v>
      </c>
      <c r="G355" t="s">
        <v>13</v>
      </c>
      <c r="H355" t="s">
        <v>14</v>
      </c>
      <c r="I355">
        <v>4888682</v>
      </c>
      <c r="J355" t="s">
        <v>15</v>
      </c>
      <c r="K355" s="1" t="str">
        <f>VLOOKUP(I355,'[1]PC50 Y2018 Status'!$D:$H,5,FALSE)</f>
        <v>TECO PCNF NMAT PRC  SETC</v>
      </c>
    </row>
    <row r="356" spans="2:11" x14ac:dyDescent="0.25">
      <c r="B356">
        <v>610000004079</v>
      </c>
      <c r="C356" t="s">
        <v>71</v>
      </c>
      <c r="D356">
        <v>46</v>
      </c>
      <c r="E356" t="s">
        <v>164</v>
      </c>
      <c r="F356" t="s">
        <v>12</v>
      </c>
      <c r="G356" t="s">
        <v>13</v>
      </c>
      <c r="H356" t="s">
        <v>14</v>
      </c>
      <c r="I356">
        <v>4888683</v>
      </c>
      <c r="J356" t="s">
        <v>15</v>
      </c>
      <c r="K356" s="1" t="str">
        <f>VLOOKUP(I356,'[1]PC50 Y2018 Status'!$D:$H,5,FALSE)</f>
        <v>TECO PCNF NMAT PRC  SETC</v>
      </c>
    </row>
    <row r="357" spans="2:11" x14ac:dyDescent="0.25">
      <c r="B357">
        <v>610000004080</v>
      </c>
      <c r="C357" t="s">
        <v>71</v>
      </c>
      <c r="D357">
        <v>47</v>
      </c>
      <c r="E357" t="s">
        <v>164</v>
      </c>
      <c r="F357" t="s">
        <v>12</v>
      </c>
      <c r="G357" t="s">
        <v>13</v>
      </c>
      <c r="H357" t="s">
        <v>14</v>
      </c>
      <c r="I357">
        <v>4888819</v>
      </c>
      <c r="J357" t="s">
        <v>15</v>
      </c>
      <c r="K357" s="1" t="str">
        <f>VLOOKUP(I357,'[1]PC50 Y2018 Status'!$D:$H,5,FALSE)</f>
        <v>TECO PCNF NMAT PRC  SETC</v>
      </c>
    </row>
    <row r="358" spans="2:11" x14ac:dyDescent="0.25">
      <c r="B358">
        <v>610000004087</v>
      </c>
      <c r="C358" t="s">
        <v>72</v>
      </c>
      <c r="D358">
        <v>45</v>
      </c>
      <c r="E358" t="s">
        <v>164</v>
      </c>
      <c r="F358" t="s">
        <v>12</v>
      </c>
      <c r="G358" t="s">
        <v>13</v>
      </c>
      <c r="H358" t="s">
        <v>14</v>
      </c>
      <c r="I358">
        <v>4888765</v>
      </c>
      <c r="J358" t="s">
        <v>15</v>
      </c>
      <c r="K358" s="1" t="str">
        <f>VLOOKUP(I358,'[1]PC50 Y2018 Status'!$D:$H,5,FALSE)</f>
        <v>TECO PCNF NMAT PRC  SETC</v>
      </c>
    </row>
    <row r="359" spans="2:11" x14ac:dyDescent="0.25">
      <c r="B359">
        <v>610000004088</v>
      </c>
      <c r="C359" t="s">
        <v>72</v>
      </c>
      <c r="D359">
        <v>45</v>
      </c>
      <c r="E359" t="s">
        <v>164</v>
      </c>
      <c r="F359" t="s">
        <v>12</v>
      </c>
      <c r="G359" t="s">
        <v>13</v>
      </c>
      <c r="H359" t="s">
        <v>14</v>
      </c>
      <c r="I359">
        <v>4888738</v>
      </c>
      <c r="J359" t="s">
        <v>15</v>
      </c>
      <c r="K359" s="1" t="str">
        <f>VLOOKUP(I359,'[1]PC50 Y2018 Status'!$D:$H,5,FALSE)</f>
        <v>TECO PCNF NMAT PRC  SETC</v>
      </c>
    </row>
    <row r="360" spans="2:11" x14ac:dyDescent="0.25">
      <c r="B360">
        <v>610000004092</v>
      </c>
      <c r="C360" t="s">
        <v>73</v>
      </c>
      <c r="D360">
        <v>45</v>
      </c>
      <c r="E360" t="s">
        <v>164</v>
      </c>
      <c r="F360" t="s">
        <v>12</v>
      </c>
      <c r="G360" t="s">
        <v>13</v>
      </c>
      <c r="H360" t="s">
        <v>14</v>
      </c>
      <c r="I360">
        <v>4888820</v>
      </c>
      <c r="J360" t="s">
        <v>15</v>
      </c>
      <c r="K360" s="1" t="str">
        <f>VLOOKUP(I360,'[1]PC50 Y2018 Status'!$D:$H,5,FALSE)</f>
        <v>TECO PCNF NMAT PRC  SETC</v>
      </c>
    </row>
    <row r="361" spans="2:11" x14ac:dyDescent="0.25">
      <c r="B361">
        <v>610000004096</v>
      </c>
      <c r="C361" t="s">
        <v>93</v>
      </c>
      <c r="D361">
        <v>37</v>
      </c>
      <c r="E361" t="s">
        <v>164</v>
      </c>
      <c r="F361" t="s">
        <v>12</v>
      </c>
      <c r="G361" t="s">
        <v>13</v>
      </c>
      <c r="H361" t="s">
        <v>14</v>
      </c>
      <c r="I361">
        <v>4888821</v>
      </c>
      <c r="J361" t="s">
        <v>22</v>
      </c>
      <c r="K361" s="1" t="str">
        <f>VLOOKUP(I361,'[1]PC50 Y2018 Status'!$D:$H,5,FALSE)</f>
        <v>TECO PCNF NMAT PRC  SETC</v>
      </c>
    </row>
    <row r="362" spans="2:11" x14ac:dyDescent="0.25">
      <c r="B362">
        <v>610000004116</v>
      </c>
      <c r="C362" t="s">
        <v>78</v>
      </c>
      <c r="D362">
        <v>24</v>
      </c>
      <c r="E362" t="s">
        <v>164</v>
      </c>
      <c r="F362" t="s">
        <v>12</v>
      </c>
      <c r="G362" t="s">
        <v>13</v>
      </c>
      <c r="H362" t="s">
        <v>14</v>
      </c>
      <c r="I362">
        <v>4894067</v>
      </c>
      <c r="J362" t="s">
        <v>22</v>
      </c>
      <c r="K362" s="1" t="str">
        <f>VLOOKUP(I362,'[1]PC50 Y2018 Status'!$D:$H,5,FALSE)</f>
        <v>TECO PCNF NMAT PRC  SETC</v>
      </c>
    </row>
    <row r="363" spans="2:11" x14ac:dyDescent="0.25">
      <c r="B363">
        <v>610000004021</v>
      </c>
      <c r="C363" t="s">
        <v>10</v>
      </c>
      <c r="D363">
        <v>101</v>
      </c>
      <c r="E363" t="s">
        <v>165</v>
      </c>
      <c r="F363" t="s">
        <v>12</v>
      </c>
      <c r="G363" t="s">
        <v>13</v>
      </c>
      <c r="H363" t="s">
        <v>14</v>
      </c>
      <c r="I363">
        <v>4891931</v>
      </c>
      <c r="J363" t="s">
        <v>15</v>
      </c>
      <c r="K363" s="1" t="str">
        <f>VLOOKUP(I363,'[1]PC50 Y2018 Status'!$D:$H,5,FALSE)</f>
        <v>TECO PCNF NMAT PRC  SETC</v>
      </c>
    </row>
    <row r="364" spans="2:11" x14ac:dyDescent="0.25">
      <c r="B364">
        <v>610000004031</v>
      </c>
      <c r="C364" t="s">
        <v>16</v>
      </c>
      <c r="D364">
        <v>100</v>
      </c>
      <c r="E364" t="s">
        <v>165</v>
      </c>
      <c r="F364" t="s">
        <v>12</v>
      </c>
      <c r="G364" t="s">
        <v>13</v>
      </c>
      <c r="H364" t="s">
        <v>14</v>
      </c>
      <c r="I364">
        <v>4894077</v>
      </c>
      <c r="J364" t="s">
        <v>15</v>
      </c>
      <c r="K364" s="1" t="str">
        <f>VLOOKUP(I364,'[1]PC50 Y2018 Status'!$D:$H,5,FALSE)</f>
        <v>TECO PCNF NMAT PRC  SETC</v>
      </c>
    </row>
    <row r="365" spans="2:11" x14ac:dyDescent="0.25">
      <c r="B365">
        <v>610000004051</v>
      </c>
      <c r="C365" t="s">
        <v>17</v>
      </c>
      <c r="D365">
        <v>101</v>
      </c>
      <c r="E365" t="s">
        <v>165</v>
      </c>
      <c r="F365" t="s">
        <v>12</v>
      </c>
      <c r="G365" t="s">
        <v>13</v>
      </c>
      <c r="H365" t="s">
        <v>14</v>
      </c>
      <c r="I365">
        <v>4891929</v>
      </c>
      <c r="J365" t="s">
        <v>15</v>
      </c>
      <c r="K365" s="1" t="str">
        <f>VLOOKUP(I365,'[1]PC50 Y2018 Status'!$D:$H,5,FALSE)</f>
        <v>TECO PCNF NMAT PRC  SETC</v>
      </c>
    </row>
    <row r="366" spans="2:11" x14ac:dyDescent="0.25">
      <c r="B366">
        <v>610000004177</v>
      </c>
      <c r="C366" t="s">
        <v>37</v>
      </c>
      <c r="D366">
        <v>49</v>
      </c>
      <c r="E366" t="s">
        <v>165</v>
      </c>
      <c r="F366" t="s">
        <v>12</v>
      </c>
      <c r="G366" t="s">
        <v>13</v>
      </c>
      <c r="H366" t="s">
        <v>14</v>
      </c>
      <c r="I366">
        <v>4891934</v>
      </c>
      <c r="J366" t="s">
        <v>22</v>
      </c>
      <c r="K366" s="1" t="str">
        <f>VLOOKUP(I366,'[1]PC50 Y2018 Status'!$D:$H,5,FALSE)</f>
        <v>TECO PCNF NMAT PRC  SETC</v>
      </c>
    </row>
    <row r="367" spans="2:11" x14ac:dyDescent="0.25">
      <c r="B367">
        <v>342258</v>
      </c>
      <c r="C367" t="s">
        <v>18</v>
      </c>
      <c r="D367">
        <v>84</v>
      </c>
      <c r="E367" t="s">
        <v>166</v>
      </c>
      <c r="F367" t="s">
        <v>12</v>
      </c>
      <c r="G367" t="s">
        <v>13</v>
      </c>
      <c r="H367" t="s">
        <v>14</v>
      </c>
      <c r="I367">
        <v>4894063</v>
      </c>
      <c r="J367" t="s">
        <v>15</v>
      </c>
      <c r="K367" s="1" t="str">
        <f>VLOOKUP(I367,'[1]PC50 Y2018 Status'!$D:$H,5,FALSE)</f>
        <v>TECO PCNF NMAT PRC  SETC</v>
      </c>
    </row>
    <row r="368" spans="2:11" x14ac:dyDescent="0.25">
      <c r="B368">
        <v>610000004095</v>
      </c>
      <c r="C368" t="s">
        <v>40</v>
      </c>
      <c r="D368">
        <v>49</v>
      </c>
      <c r="E368" t="s">
        <v>166</v>
      </c>
      <c r="F368" t="s">
        <v>12</v>
      </c>
      <c r="G368" t="s">
        <v>13</v>
      </c>
      <c r="H368" t="s">
        <v>14</v>
      </c>
      <c r="I368">
        <v>4894066</v>
      </c>
      <c r="J368" t="s">
        <v>22</v>
      </c>
      <c r="K368" s="1" t="str">
        <f>VLOOKUP(I368,'[1]PC50 Y2018 Status'!$D:$H,5,FALSE)</f>
        <v>TECO PCNF NMAT PRC  SETC</v>
      </c>
    </row>
    <row r="369" spans="2:11" x14ac:dyDescent="0.25">
      <c r="B369">
        <v>610000004146</v>
      </c>
      <c r="C369" t="s">
        <v>41</v>
      </c>
      <c r="D369">
        <v>16</v>
      </c>
      <c r="E369" t="s">
        <v>166</v>
      </c>
      <c r="F369" t="s">
        <v>12</v>
      </c>
      <c r="G369" t="s">
        <v>13</v>
      </c>
      <c r="H369" t="s">
        <v>14</v>
      </c>
      <c r="I369">
        <v>4891933</v>
      </c>
      <c r="J369" t="s">
        <v>22</v>
      </c>
      <c r="K369" s="1" t="str">
        <f>VLOOKUP(I369,'[1]PC50 Y2018 Status'!$D:$H,5,FALSE)</f>
        <v>TECO PCNF NMAT PRC  SETC</v>
      </c>
    </row>
    <row r="370" spans="2:11" x14ac:dyDescent="0.25">
      <c r="B370">
        <v>610000004156</v>
      </c>
      <c r="C370" t="s">
        <v>42</v>
      </c>
      <c r="D370">
        <v>16</v>
      </c>
      <c r="E370" t="s">
        <v>166</v>
      </c>
      <c r="F370" t="s">
        <v>12</v>
      </c>
      <c r="G370" t="s">
        <v>13</v>
      </c>
      <c r="H370" t="s">
        <v>14</v>
      </c>
      <c r="I370">
        <v>4894068</v>
      </c>
      <c r="J370" t="s">
        <v>22</v>
      </c>
      <c r="K370" s="1" t="str">
        <f>VLOOKUP(I370,'[1]PC50 Y2018 Status'!$D:$H,5,FALSE)</f>
        <v>TECO PCNF NMAT PRC  SETC</v>
      </c>
    </row>
    <row r="371" spans="2:11" x14ac:dyDescent="0.25">
      <c r="B371">
        <v>610000004163</v>
      </c>
      <c r="C371" t="s">
        <v>43</v>
      </c>
      <c r="D371">
        <v>49</v>
      </c>
      <c r="E371" t="s">
        <v>166</v>
      </c>
      <c r="F371" t="s">
        <v>12</v>
      </c>
      <c r="G371" t="s">
        <v>13</v>
      </c>
      <c r="H371" t="s">
        <v>14</v>
      </c>
      <c r="I371">
        <v>4894069</v>
      </c>
      <c r="J371" t="s">
        <v>22</v>
      </c>
      <c r="K371" s="1" t="str">
        <f>VLOOKUP(I371,'[1]PC50 Y2018 Status'!$D:$H,5,FALSE)</f>
        <v>TECO PCNF NMAT PRC  SETC</v>
      </c>
    </row>
    <row r="372" spans="2:11" x14ac:dyDescent="0.25">
      <c r="B372">
        <v>610000004052</v>
      </c>
      <c r="C372" t="s">
        <v>46</v>
      </c>
      <c r="D372">
        <v>47</v>
      </c>
      <c r="E372" t="s">
        <v>167</v>
      </c>
      <c r="F372" t="s">
        <v>12</v>
      </c>
      <c r="G372" t="s">
        <v>13</v>
      </c>
      <c r="H372" t="s">
        <v>14</v>
      </c>
      <c r="I372">
        <v>4894065</v>
      </c>
      <c r="J372" t="s">
        <v>15</v>
      </c>
      <c r="K372" s="1" t="str">
        <f>VLOOKUP(I372,'[1]PC50 Y2018 Status'!$D:$H,5,FALSE)</f>
        <v>TECO PCNF NMAT PRC  SETC</v>
      </c>
    </row>
    <row r="373" spans="2:11" x14ac:dyDescent="0.25">
      <c r="B373">
        <v>610000004068</v>
      </c>
      <c r="C373" t="s">
        <v>24</v>
      </c>
      <c r="D373">
        <v>204</v>
      </c>
      <c r="E373" t="s">
        <v>167</v>
      </c>
      <c r="F373" t="s">
        <v>12</v>
      </c>
      <c r="G373" t="s">
        <v>13</v>
      </c>
      <c r="H373" t="s">
        <v>14</v>
      </c>
      <c r="I373">
        <v>4895897</v>
      </c>
      <c r="J373" t="s">
        <v>15</v>
      </c>
      <c r="K373" s="1" t="str">
        <f>VLOOKUP(I373,'[1]PC50 Y2018 Status'!$D:$H,5,FALSE)</f>
        <v>TECO PCNF NMAT PRC  SETC</v>
      </c>
    </row>
    <row r="374" spans="2:11" x14ac:dyDescent="0.25">
      <c r="B374">
        <v>342257</v>
      </c>
      <c r="C374" t="s">
        <v>25</v>
      </c>
      <c r="D374">
        <v>169</v>
      </c>
      <c r="E374" t="s">
        <v>168</v>
      </c>
      <c r="F374" t="s">
        <v>12</v>
      </c>
      <c r="G374" t="s">
        <v>13</v>
      </c>
      <c r="H374" t="s">
        <v>14</v>
      </c>
      <c r="I374">
        <v>4895937</v>
      </c>
      <c r="J374" t="s">
        <v>15</v>
      </c>
      <c r="K374" s="1" t="str">
        <f>VLOOKUP(I374,'[1]PC50 Y2018 Status'!$D:$H,5,FALSE)</f>
        <v>TECO PCNF NMAT PRC  SETC</v>
      </c>
    </row>
    <row r="375" spans="2:11" x14ac:dyDescent="0.25">
      <c r="B375">
        <v>347637</v>
      </c>
      <c r="C375" t="s">
        <v>27</v>
      </c>
      <c r="D375">
        <v>27</v>
      </c>
      <c r="E375" t="s">
        <v>168</v>
      </c>
      <c r="F375" t="s">
        <v>12</v>
      </c>
      <c r="G375" t="s">
        <v>13</v>
      </c>
      <c r="H375" t="s">
        <v>14</v>
      </c>
      <c r="I375">
        <v>4896709</v>
      </c>
      <c r="J375" t="s">
        <v>15</v>
      </c>
      <c r="K375" s="1" t="str">
        <f>VLOOKUP(I375,'[1]PC50 Y2018 Status'!$D:$H,5,FALSE)</f>
        <v>TECO PCNF NMAT PRC  SETC</v>
      </c>
    </row>
    <row r="376" spans="2:11" x14ac:dyDescent="0.25">
      <c r="B376">
        <v>347638</v>
      </c>
      <c r="C376" t="s">
        <v>16</v>
      </c>
      <c r="D376">
        <v>14</v>
      </c>
      <c r="E376" t="s">
        <v>168</v>
      </c>
      <c r="F376" t="s">
        <v>12</v>
      </c>
      <c r="G376" t="s">
        <v>13</v>
      </c>
      <c r="H376" t="s">
        <v>14</v>
      </c>
      <c r="I376">
        <v>4894686</v>
      </c>
      <c r="J376" t="s">
        <v>15</v>
      </c>
      <c r="K376" s="1" t="str">
        <f>VLOOKUP(I376,'[1]PC50 Y2018 Status'!$D:$H,5,FALSE)</f>
        <v>TECO PCNF NMAT PRC  SETC</v>
      </c>
    </row>
    <row r="377" spans="2:11" x14ac:dyDescent="0.25">
      <c r="B377">
        <v>610000004131</v>
      </c>
      <c r="C377" t="s">
        <v>61</v>
      </c>
      <c r="D377">
        <v>35</v>
      </c>
      <c r="E377" t="s">
        <v>169</v>
      </c>
      <c r="F377" t="s">
        <v>12</v>
      </c>
      <c r="G377" t="s">
        <v>13</v>
      </c>
      <c r="H377" t="s">
        <v>14</v>
      </c>
      <c r="I377">
        <v>4887687</v>
      </c>
      <c r="J377" t="s">
        <v>22</v>
      </c>
      <c r="K377" s="1" t="str">
        <f>VLOOKUP(I377,'[1]PC50 Y2018 Status'!$D:$H,5,FALSE)</f>
        <v>TECO PCNF NMAT PRC  SETC</v>
      </c>
    </row>
    <row r="378" spans="2:11" x14ac:dyDescent="0.25">
      <c r="B378">
        <v>610000004175</v>
      </c>
      <c r="C378" t="s">
        <v>34</v>
      </c>
      <c r="D378">
        <v>101</v>
      </c>
      <c r="E378" t="s">
        <v>170</v>
      </c>
      <c r="F378" t="s">
        <v>12</v>
      </c>
      <c r="G378" t="s">
        <v>13</v>
      </c>
      <c r="H378" t="s">
        <v>14</v>
      </c>
      <c r="I378">
        <v>4895961</v>
      </c>
      <c r="J378" t="s">
        <v>22</v>
      </c>
      <c r="K378" s="1" t="str">
        <f>VLOOKUP(I378,'[1]PC50 Y2018 Status'!$D:$H,5,FALSE)</f>
        <v>TECO PCNF NMAT PRC  SETC</v>
      </c>
    </row>
    <row r="379" spans="2:11" x14ac:dyDescent="0.25">
      <c r="B379">
        <v>610000004069</v>
      </c>
      <c r="C379" t="s">
        <v>35</v>
      </c>
      <c r="D379">
        <v>102</v>
      </c>
      <c r="E379" t="s">
        <v>171</v>
      </c>
      <c r="F379" t="s">
        <v>12</v>
      </c>
      <c r="G379" t="s">
        <v>13</v>
      </c>
      <c r="H379" t="s">
        <v>14</v>
      </c>
      <c r="I379">
        <v>4895932</v>
      </c>
      <c r="J379" t="s">
        <v>15</v>
      </c>
      <c r="K379" s="1" t="str">
        <f>VLOOKUP(I379,'[1]PC50 Y2018 Status'!$D:$H,5,FALSE)</f>
        <v>TECO PCNF NMAT PRC  SETC</v>
      </c>
    </row>
    <row r="380" spans="2:11" x14ac:dyDescent="0.25">
      <c r="B380">
        <v>610000004070</v>
      </c>
      <c r="C380" t="s">
        <v>35</v>
      </c>
      <c r="D380">
        <v>102</v>
      </c>
      <c r="E380" t="s">
        <v>171</v>
      </c>
      <c r="F380" t="s">
        <v>12</v>
      </c>
      <c r="G380" t="s">
        <v>13</v>
      </c>
      <c r="H380" t="s">
        <v>14</v>
      </c>
      <c r="I380">
        <v>4895949</v>
      </c>
      <c r="J380" t="s">
        <v>15</v>
      </c>
      <c r="K380" s="1" t="str">
        <f>VLOOKUP(I380,'[1]PC50 Y2018 Status'!$D:$H,5,FALSE)</f>
        <v>TECO PCNF NMAT PRC  SETC</v>
      </c>
    </row>
    <row r="381" spans="2:11" x14ac:dyDescent="0.25">
      <c r="B381">
        <v>610000004103</v>
      </c>
      <c r="C381" t="s">
        <v>51</v>
      </c>
      <c r="D381">
        <v>34</v>
      </c>
      <c r="E381" t="s">
        <v>171</v>
      </c>
      <c r="F381" t="s">
        <v>12</v>
      </c>
      <c r="G381" t="s">
        <v>13</v>
      </c>
      <c r="H381" t="s">
        <v>14</v>
      </c>
      <c r="I381">
        <v>4895928</v>
      </c>
      <c r="J381" t="s">
        <v>22</v>
      </c>
      <c r="K381" s="1" t="str">
        <f>VLOOKUP(I381,'[1]PC50 Y2018 Status'!$D:$H,5,FALSE)</f>
        <v>TECO PCNF NMAT PRC  SETC</v>
      </c>
    </row>
    <row r="382" spans="2:11" x14ac:dyDescent="0.25">
      <c r="B382">
        <v>342279</v>
      </c>
      <c r="C382" t="s">
        <v>64</v>
      </c>
      <c r="D382">
        <v>39</v>
      </c>
      <c r="E382" t="s">
        <v>172</v>
      </c>
      <c r="F382" t="s">
        <v>12</v>
      </c>
      <c r="G382" t="s">
        <v>13</v>
      </c>
      <c r="H382" t="s">
        <v>14</v>
      </c>
      <c r="I382">
        <v>4895972</v>
      </c>
      <c r="J382" t="s">
        <v>15</v>
      </c>
      <c r="K382" s="1" t="str">
        <f>VLOOKUP(I382,'[1]PC50 Y2018 Status'!$D:$H,5,FALSE)</f>
        <v>TECO PCNF NMAT PRC  SETC</v>
      </c>
    </row>
    <row r="383" spans="2:11" x14ac:dyDescent="0.25">
      <c r="B383">
        <v>610000004032</v>
      </c>
      <c r="C383" t="s">
        <v>32</v>
      </c>
      <c r="D383">
        <v>55</v>
      </c>
      <c r="E383" t="s">
        <v>172</v>
      </c>
      <c r="F383" t="s">
        <v>12</v>
      </c>
      <c r="G383" t="s">
        <v>13</v>
      </c>
      <c r="H383" t="s">
        <v>14</v>
      </c>
      <c r="I383">
        <v>4895929</v>
      </c>
      <c r="J383" t="s">
        <v>15</v>
      </c>
      <c r="K383" s="1" t="str">
        <f>VLOOKUP(I383,'[1]PC50 Y2018 Status'!$D:$H,5,FALSE)</f>
        <v>TECO PCNF NMAT PRC  SETC</v>
      </c>
    </row>
    <row r="384" spans="2:11" x14ac:dyDescent="0.25">
      <c r="B384">
        <v>610000004068</v>
      </c>
      <c r="C384" t="s">
        <v>24</v>
      </c>
      <c r="D384">
        <v>205</v>
      </c>
      <c r="E384" t="s">
        <v>172</v>
      </c>
      <c r="F384" t="s">
        <v>12</v>
      </c>
      <c r="G384" t="s">
        <v>13</v>
      </c>
      <c r="H384" t="s">
        <v>14</v>
      </c>
      <c r="I384">
        <v>4897355</v>
      </c>
      <c r="J384" t="s">
        <v>15</v>
      </c>
      <c r="K384" s="1" t="str">
        <f>VLOOKUP(I384,'[1]PC50 Y2018 Status'!$D:$H,5,FALSE)</f>
        <v>TECO PCNF NMAT PRC  SETC</v>
      </c>
    </row>
    <row r="385" spans="2:11" x14ac:dyDescent="0.25">
      <c r="B385">
        <v>610000004077</v>
      </c>
      <c r="C385" t="s">
        <v>39</v>
      </c>
      <c r="D385">
        <v>102</v>
      </c>
      <c r="E385" t="s">
        <v>172</v>
      </c>
      <c r="F385" t="s">
        <v>12</v>
      </c>
      <c r="G385" t="s">
        <v>13</v>
      </c>
      <c r="H385" t="s">
        <v>14</v>
      </c>
      <c r="I385">
        <v>4896685</v>
      </c>
      <c r="J385" t="s">
        <v>15</v>
      </c>
      <c r="K385" s="1" t="str">
        <f>VLOOKUP(I385,'[1]PC50 Y2018 Status'!$D:$H,5,FALSE)</f>
        <v>TECO PCNF NMAT PRC  SETC</v>
      </c>
    </row>
    <row r="386" spans="2:11" x14ac:dyDescent="0.25">
      <c r="B386">
        <v>610000004085</v>
      </c>
      <c r="C386" t="s">
        <v>18</v>
      </c>
      <c r="D386">
        <v>102</v>
      </c>
      <c r="E386" t="s">
        <v>172</v>
      </c>
      <c r="F386" t="s">
        <v>12</v>
      </c>
      <c r="G386" t="s">
        <v>13</v>
      </c>
      <c r="H386" t="s">
        <v>14</v>
      </c>
      <c r="I386">
        <v>4896667</v>
      </c>
      <c r="J386" t="s">
        <v>15</v>
      </c>
      <c r="K386" s="1" t="str">
        <f>VLOOKUP(I386,'[1]PC50 Y2018 Status'!$D:$H,5,FALSE)</f>
        <v>TECO PCNF NMAT PRC  SETC</v>
      </c>
    </row>
    <row r="387" spans="2:11" x14ac:dyDescent="0.25">
      <c r="B387">
        <v>610000004086</v>
      </c>
      <c r="C387" t="s">
        <v>18</v>
      </c>
      <c r="D387">
        <v>102</v>
      </c>
      <c r="E387" t="s">
        <v>172</v>
      </c>
      <c r="F387" t="s">
        <v>12</v>
      </c>
      <c r="G387" t="s">
        <v>13</v>
      </c>
      <c r="H387" t="s">
        <v>14</v>
      </c>
      <c r="I387">
        <v>4896696</v>
      </c>
      <c r="J387" t="s">
        <v>15</v>
      </c>
      <c r="K387" s="1" t="str">
        <f>VLOOKUP(I387,'[1]PC50 Y2018 Status'!$D:$H,5,FALSE)</f>
        <v>TECO PCNF NMAT PRC  SETC</v>
      </c>
    </row>
    <row r="388" spans="2:11" x14ac:dyDescent="0.25">
      <c r="B388">
        <v>610000004025</v>
      </c>
      <c r="C388" t="s">
        <v>44</v>
      </c>
      <c r="D388">
        <v>101</v>
      </c>
      <c r="E388" t="s">
        <v>173</v>
      </c>
      <c r="F388" t="s">
        <v>12</v>
      </c>
      <c r="G388" t="s">
        <v>13</v>
      </c>
      <c r="H388" t="s">
        <v>14</v>
      </c>
      <c r="I388">
        <v>4896663</v>
      </c>
      <c r="J388" t="s">
        <v>15</v>
      </c>
      <c r="K388" s="1" t="str">
        <f>VLOOKUP(I388,'[1]PC50 Y2018 Status'!$D:$H,5,FALSE)</f>
        <v>TECO PCNF NMAT PRC  SETC</v>
      </c>
    </row>
    <row r="389" spans="2:11" x14ac:dyDescent="0.25">
      <c r="B389">
        <v>610000004091</v>
      </c>
      <c r="C389" t="s">
        <v>47</v>
      </c>
      <c r="D389">
        <v>101</v>
      </c>
      <c r="E389" t="s">
        <v>173</v>
      </c>
      <c r="F389" t="s">
        <v>12</v>
      </c>
      <c r="G389" t="s">
        <v>13</v>
      </c>
      <c r="H389" t="s">
        <v>14</v>
      </c>
      <c r="I389">
        <v>4896518</v>
      </c>
      <c r="J389" t="s">
        <v>15</v>
      </c>
      <c r="K389" s="1" t="str">
        <f>VLOOKUP(I389,'[1]PC50 Y2018 Status'!$D:$H,5,FALSE)</f>
        <v>TECO PCNF NMAT PRC  SETC</v>
      </c>
    </row>
    <row r="390" spans="2:11" x14ac:dyDescent="0.25">
      <c r="B390">
        <v>610000004102</v>
      </c>
      <c r="C390" t="s">
        <v>67</v>
      </c>
      <c r="D390">
        <v>48</v>
      </c>
      <c r="E390" t="s">
        <v>173</v>
      </c>
      <c r="F390" t="s">
        <v>12</v>
      </c>
      <c r="G390" t="s">
        <v>13</v>
      </c>
      <c r="H390" t="s">
        <v>14</v>
      </c>
      <c r="I390">
        <v>4896698</v>
      </c>
      <c r="J390" t="s">
        <v>22</v>
      </c>
      <c r="K390" s="1" t="str">
        <f>VLOOKUP(I390,'[1]PC50 Y2018 Status'!$D:$H,5,FALSE)</f>
        <v>TECO PCNF NMAT PRC  SETC</v>
      </c>
    </row>
    <row r="391" spans="2:11" x14ac:dyDescent="0.25">
      <c r="B391">
        <v>610000004111</v>
      </c>
      <c r="C391" t="s">
        <v>78</v>
      </c>
      <c r="D391">
        <v>45</v>
      </c>
      <c r="E391" t="s">
        <v>173</v>
      </c>
      <c r="F391" t="s">
        <v>12</v>
      </c>
      <c r="G391" t="s">
        <v>13</v>
      </c>
      <c r="H391" t="s">
        <v>14</v>
      </c>
      <c r="I391">
        <v>4888703</v>
      </c>
      <c r="J391" t="s">
        <v>22</v>
      </c>
      <c r="K391" s="1" t="str">
        <f>VLOOKUP(I391,'[1]PC50 Y2018 Status'!$D:$H,5,FALSE)</f>
        <v>TECO PCNF NMAT PRC  SETC</v>
      </c>
    </row>
    <row r="392" spans="2:11" x14ac:dyDescent="0.25">
      <c r="B392">
        <v>610000004129</v>
      </c>
      <c r="C392" t="s">
        <v>68</v>
      </c>
      <c r="D392">
        <v>48</v>
      </c>
      <c r="E392" t="s">
        <v>173</v>
      </c>
      <c r="F392" t="s">
        <v>12</v>
      </c>
      <c r="G392" t="s">
        <v>13</v>
      </c>
      <c r="H392" t="s">
        <v>14</v>
      </c>
      <c r="I392">
        <v>4896701</v>
      </c>
      <c r="J392" t="s">
        <v>22</v>
      </c>
      <c r="K392" s="1" t="str">
        <f>VLOOKUP(I392,'[1]PC50 Y2018 Status'!$D:$H,5,FALSE)</f>
        <v>TECO PCNF NMAT PRC  SETC</v>
      </c>
    </row>
    <row r="393" spans="2:11" x14ac:dyDescent="0.25">
      <c r="B393">
        <v>610000004161</v>
      </c>
      <c r="C393" t="s">
        <v>48</v>
      </c>
      <c r="D393">
        <v>103</v>
      </c>
      <c r="E393" t="s">
        <v>173</v>
      </c>
      <c r="F393" t="s">
        <v>12</v>
      </c>
      <c r="G393" t="s">
        <v>13</v>
      </c>
      <c r="H393" t="s">
        <v>14</v>
      </c>
      <c r="I393">
        <v>4896660</v>
      </c>
      <c r="J393" t="s">
        <v>22</v>
      </c>
      <c r="K393" s="1" t="str">
        <f>VLOOKUP(I393,'[1]PC50 Y2018 Status'!$D:$H,5,FALSE)</f>
        <v>TECO PCNF NMAT PRC  SETC</v>
      </c>
    </row>
    <row r="394" spans="2:11" x14ac:dyDescent="0.25">
      <c r="B394">
        <v>342257</v>
      </c>
      <c r="C394" t="s">
        <v>25</v>
      </c>
      <c r="D394">
        <v>170</v>
      </c>
      <c r="E394" t="s">
        <v>174</v>
      </c>
      <c r="F394" t="s">
        <v>12</v>
      </c>
      <c r="G394" t="s">
        <v>13</v>
      </c>
      <c r="H394" t="s">
        <v>14</v>
      </c>
      <c r="I394">
        <v>4897508</v>
      </c>
      <c r="J394" t="s">
        <v>15</v>
      </c>
      <c r="K394" s="1" t="str">
        <f>VLOOKUP(I394,'[1]PC50 Y2018 Status'!$D:$H,5,FALSE)</f>
        <v>TECO PCNF NMAT PRC  SETC</v>
      </c>
    </row>
    <row r="395" spans="2:11" x14ac:dyDescent="0.25">
      <c r="B395">
        <v>347637</v>
      </c>
      <c r="C395" t="s">
        <v>27</v>
      </c>
      <c r="D395">
        <v>28</v>
      </c>
      <c r="E395" t="s">
        <v>174</v>
      </c>
      <c r="F395" t="s">
        <v>12</v>
      </c>
      <c r="G395" t="s">
        <v>13</v>
      </c>
      <c r="H395" t="s">
        <v>14</v>
      </c>
      <c r="I395">
        <v>4898174</v>
      </c>
      <c r="J395" t="s">
        <v>15</v>
      </c>
      <c r="K395" s="1" t="str">
        <f>VLOOKUP(I395,'[1]PC50 Y2018 Status'!$D:$H,5,FALSE)</f>
        <v>TECO PCNF NMAT PRC  SETC</v>
      </c>
    </row>
    <row r="396" spans="2:11" x14ac:dyDescent="0.25">
      <c r="B396">
        <v>342744</v>
      </c>
      <c r="C396" t="s">
        <v>77</v>
      </c>
      <c r="D396">
        <v>6</v>
      </c>
      <c r="E396" t="s">
        <v>175</v>
      </c>
      <c r="F396" t="s">
        <v>12</v>
      </c>
      <c r="G396" t="s">
        <v>13</v>
      </c>
      <c r="H396" t="s">
        <v>14</v>
      </c>
      <c r="I396">
        <v>4888825</v>
      </c>
      <c r="J396" t="s">
        <v>22</v>
      </c>
      <c r="K396" s="1" t="str">
        <f>VLOOKUP(I396,'[1]PC50 Y2018 Status'!$D:$H,5,FALSE)</f>
        <v>TECO PCNF NMAT PRC  SETC</v>
      </c>
    </row>
    <row r="397" spans="2:11" x14ac:dyDescent="0.25">
      <c r="B397">
        <v>610000004050</v>
      </c>
      <c r="C397" t="s">
        <v>17</v>
      </c>
      <c r="D397">
        <v>102</v>
      </c>
      <c r="E397" t="s">
        <v>175</v>
      </c>
      <c r="F397" t="s">
        <v>12</v>
      </c>
      <c r="G397" t="s">
        <v>13</v>
      </c>
      <c r="H397" t="s">
        <v>14</v>
      </c>
      <c r="I397">
        <v>4896677</v>
      </c>
      <c r="J397" t="s">
        <v>15</v>
      </c>
      <c r="K397" s="1" t="str">
        <f>VLOOKUP(I397,'[1]PC50 Y2018 Status'!$D:$H,5,FALSE)</f>
        <v>TECO PCNF NMAT PRC  SETC</v>
      </c>
    </row>
    <row r="398" spans="2:11" x14ac:dyDescent="0.25">
      <c r="B398">
        <v>610000004112</v>
      </c>
      <c r="C398" t="s">
        <v>78</v>
      </c>
      <c r="D398">
        <v>36</v>
      </c>
      <c r="E398" t="s">
        <v>175</v>
      </c>
      <c r="F398" t="s">
        <v>12</v>
      </c>
      <c r="G398" t="s">
        <v>13</v>
      </c>
      <c r="H398" t="s">
        <v>14</v>
      </c>
      <c r="I398">
        <v>4896693</v>
      </c>
      <c r="J398" t="s">
        <v>22</v>
      </c>
      <c r="K398" s="1" t="str">
        <f>VLOOKUP(I398,'[1]PC50 Y2018 Status'!$D:$H,5,FALSE)</f>
        <v>TECO PCNF NMAT PRC  SETC</v>
      </c>
    </row>
    <row r="399" spans="2:11" x14ac:dyDescent="0.25">
      <c r="B399">
        <v>610000004122</v>
      </c>
      <c r="C399" t="s">
        <v>54</v>
      </c>
      <c r="D399">
        <v>36</v>
      </c>
      <c r="E399" t="s">
        <v>175</v>
      </c>
      <c r="F399" t="s">
        <v>12</v>
      </c>
      <c r="G399" t="s">
        <v>13</v>
      </c>
      <c r="H399" t="s">
        <v>14</v>
      </c>
      <c r="I399">
        <v>4896686</v>
      </c>
      <c r="J399" t="s">
        <v>22</v>
      </c>
      <c r="K399" s="1" t="str">
        <f>VLOOKUP(I399,'[1]PC50 Y2018 Status'!$D:$H,5,FALSE)</f>
        <v>TECO PCNF NMAT PRC  SETC</v>
      </c>
    </row>
    <row r="400" spans="2:11" x14ac:dyDescent="0.25">
      <c r="B400">
        <v>610000004130</v>
      </c>
      <c r="C400" t="s">
        <v>61</v>
      </c>
      <c r="D400">
        <v>36</v>
      </c>
      <c r="E400" t="s">
        <v>175</v>
      </c>
      <c r="F400" t="s">
        <v>12</v>
      </c>
      <c r="G400" t="s">
        <v>13</v>
      </c>
      <c r="H400" t="s">
        <v>14</v>
      </c>
      <c r="I400">
        <v>4896669</v>
      </c>
      <c r="J400" t="s">
        <v>22</v>
      </c>
      <c r="K400" s="1" t="str">
        <f>VLOOKUP(I400,'[1]PC50 Y2018 Status'!$D:$H,5,FALSE)</f>
        <v>TECO PCNF NMAT PRC  SETC</v>
      </c>
    </row>
    <row r="401" spans="2:11" x14ac:dyDescent="0.25">
      <c r="B401">
        <v>347678</v>
      </c>
      <c r="C401" t="s">
        <v>28</v>
      </c>
      <c r="D401">
        <v>7</v>
      </c>
      <c r="E401" t="s">
        <v>176</v>
      </c>
      <c r="F401" t="s">
        <v>12</v>
      </c>
      <c r="G401" t="s">
        <v>13</v>
      </c>
      <c r="H401" t="s">
        <v>14</v>
      </c>
      <c r="I401">
        <v>4896711</v>
      </c>
      <c r="J401" t="s">
        <v>22</v>
      </c>
      <c r="K401" s="1" t="str">
        <f>VLOOKUP(I401,'[1]PC50 Y2018 Status'!$D:$H,5,FALSE)</f>
        <v>TECO PCNF NMAT PRC  SETC</v>
      </c>
    </row>
    <row r="402" spans="2:11" x14ac:dyDescent="0.25">
      <c r="B402">
        <v>610000004162</v>
      </c>
      <c r="C402" t="s">
        <v>43</v>
      </c>
      <c r="D402">
        <v>48</v>
      </c>
      <c r="E402" t="s">
        <v>176</v>
      </c>
      <c r="F402" t="s">
        <v>12</v>
      </c>
      <c r="G402" t="s">
        <v>13</v>
      </c>
      <c r="H402" t="s">
        <v>14</v>
      </c>
      <c r="I402">
        <v>4896697</v>
      </c>
      <c r="J402" t="s">
        <v>22</v>
      </c>
      <c r="K402" s="1" t="str">
        <f>VLOOKUP(I402,'[1]PC50 Y2018 Status'!$D:$H,5,FALSE)</f>
        <v>TECO PCNF NMAT PRC  SETC</v>
      </c>
    </row>
    <row r="403" spans="2:11" x14ac:dyDescent="0.25">
      <c r="B403">
        <v>610000004021</v>
      </c>
      <c r="C403" t="s">
        <v>10</v>
      </c>
      <c r="D403">
        <v>102</v>
      </c>
      <c r="E403" t="s">
        <v>177</v>
      </c>
      <c r="F403" t="s">
        <v>12</v>
      </c>
      <c r="G403" t="s">
        <v>13</v>
      </c>
      <c r="H403" t="s">
        <v>14</v>
      </c>
      <c r="I403">
        <v>4897358</v>
      </c>
      <c r="J403" t="s">
        <v>15</v>
      </c>
      <c r="K403" s="1" t="str">
        <f>VLOOKUP(I403,'[1]PC50 Y2018 Status'!$D:$H,5,FALSE)</f>
        <v>TECO PCNF NMAT PRC  SETC</v>
      </c>
    </row>
    <row r="404" spans="2:11" x14ac:dyDescent="0.25">
      <c r="B404">
        <v>610000004031</v>
      </c>
      <c r="C404" t="s">
        <v>16</v>
      </c>
      <c r="D404">
        <v>101</v>
      </c>
      <c r="E404" t="s">
        <v>177</v>
      </c>
      <c r="F404" t="s">
        <v>12</v>
      </c>
      <c r="G404" t="s">
        <v>13</v>
      </c>
      <c r="H404" t="s">
        <v>14</v>
      </c>
      <c r="I404">
        <v>4897518</v>
      </c>
      <c r="J404" t="s">
        <v>15</v>
      </c>
      <c r="K404" s="1" t="str">
        <f>VLOOKUP(I404,'[1]PC50 Y2018 Status'!$D:$H,5,FALSE)</f>
        <v>TECO PCNF NMAT PRC  SETC</v>
      </c>
    </row>
    <row r="405" spans="2:11" x14ac:dyDescent="0.25">
      <c r="B405">
        <v>610000004051</v>
      </c>
      <c r="C405" t="s">
        <v>17</v>
      </c>
      <c r="D405">
        <v>102</v>
      </c>
      <c r="E405" t="s">
        <v>177</v>
      </c>
      <c r="F405" t="s">
        <v>12</v>
      </c>
      <c r="G405" t="s">
        <v>13</v>
      </c>
      <c r="H405" t="s">
        <v>14</v>
      </c>
      <c r="I405">
        <v>4897354</v>
      </c>
      <c r="J405" t="s">
        <v>15</v>
      </c>
      <c r="K405" s="1" t="str">
        <f>VLOOKUP(I405,'[1]PC50 Y2018 Status'!$D:$H,5,FALSE)</f>
        <v>TECO PCNF NMAT PRC  SETC</v>
      </c>
    </row>
    <row r="406" spans="2:11" x14ac:dyDescent="0.25">
      <c r="B406">
        <v>610000004176</v>
      </c>
      <c r="C406" t="s">
        <v>59</v>
      </c>
      <c r="D406">
        <v>36</v>
      </c>
      <c r="E406" t="s">
        <v>177</v>
      </c>
      <c r="F406" t="s">
        <v>12</v>
      </c>
      <c r="G406" t="s">
        <v>13</v>
      </c>
      <c r="H406" t="s">
        <v>14</v>
      </c>
      <c r="I406">
        <v>4897504</v>
      </c>
      <c r="J406" t="s">
        <v>22</v>
      </c>
      <c r="K406" s="1" t="str">
        <f>VLOOKUP(I406,'[1]PC50 Y2018 Status'!$D:$H,5,FALSE)</f>
        <v>TECO PCNF NMAT PRC  SETC</v>
      </c>
    </row>
    <row r="407" spans="2:11" x14ac:dyDescent="0.25">
      <c r="B407">
        <v>342258</v>
      </c>
      <c r="C407" t="s">
        <v>18</v>
      </c>
      <c r="D407">
        <v>85</v>
      </c>
      <c r="E407" t="s">
        <v>178</v>
      </c>
      <c r="F407" t="s">
        <v>12</v>
      </c>
      <c r="G407" t="s">
        <v>13</v>
      </c>
      <c r="H407" t="s">
        <v>14</v>
      </c>
      <c r="I407">
        <v>4897510</v>
      </c>
      <c r="J407" t="s">
        <v>15</v>
      </c>
      <c r="K407" s="1" t="str">
        <f>VLOOKUP(I407,'[1]PC50 Y2018 Status'!$D:$H,5,FALSE)</f>
        <v>TECO PCNF NMAT PRC  SETC</v>
      </c>
    </row>
    <row r="408" spans="2:11" x14ac:dyDescent="0.25">
      <c r="B408">
        <v>342586</v>
      </c>
      <c r="C408" t="s">
        <v>82</v>
      </c>
      <c r="D408">
        <v>35</v>
      </c>
      <c r="E408" t="s">
        <v>178</v>
      </c>
      <c r="F408" t="s">
        <v>12</v>
      </c>
      <c r="G408" t="s">
        <v>13</v>
      </c>
      <c r="H408" t="s">
        <v>14</v>
      </c>
      <c r="I408">
        <v>4897519</v>
      </c>
      <c r="J408" t="s">
        <v>22</v>
      </c>
      <c r="K408" s="1" t="str">
        <f>VLOOKUP(I408,'[1]PC50 Y2018 Status'!$D:$H,5,FALSE)</f>
        <v>TECO PCNF NMAT PRC  SETC</v>
      </c>
    </row>
    <row r="409" spans="2:11" x14ac:dyDescent="0.25">
      <c r="B409">
        <v>610000004123</v>
      </c>
      <c r="C409" t="s">
        <v>54</v>
      </c>
      <c r="D409">
        <v>24</v>
      </c>
      <c r="E409" t="s">
        <v>178</v>
      </c>
      <c r="F409" t="s">
        <v>12</v>
      </c>
      <c r="G409" t="s">
        <v>13</v>
      </c>
      <c r="H409" t="s">
        <v>14</v>
      </c>
      <c r="I409">
        <v>4898067</v>
      </c>
      <c r="J409" t="s">
        <v>22</v>
      </c>
      <c r="K409" s="1" t="str">
        <f>VLOOKUP(I409,'[1]PC50 Y2018 Status'!$D:$H,5,FALSE)</f>
        <v>TECO PCNF NMAT PRC  SETC</v>
      </c>
    </row>
    <row r="410" spans="2:11" x14ac:dyDescent="0.25">
      <c r="B410">
        <v>343914</v>
      </c>
      <c r="C410" t="s">
        <v>23</v>
      </c>
      <c r="D410">
        <v>4</v>
      </c>
      <c r="E410" t="s">
        <v>179</v>
      </c>
      <c r="F410" t="s">
        <v>12</v>
      </c>
      <c r="G410" t="s">
        <v>13</v>
      </c>
      <c r="H410" t="s">
        <v>14</v>
      </c>
      <c r="I410">
        <v>4894081</v>
      </c>
      <c r="J410" t="s">
        <v>22</v>
      </c>
      <c r="K410" s="1" t="str">
        <f>VLOOKUP(I410,'[1]PC50 Y2018 Status'!$D:$H,5,FALSE)</f>
        <v>TECO PCNF NMAT PRC  SETC</v>
      </c>
    </row>
    <row r="411" spans="2:11" x14ac:dyDescent="0.25">
      <c r="B411">
        <v>343915</v>
      </c>
      <c r="C411" t="s">
        <v>77</v>
      </c>
      <c r="D411">
        <v>4</v>
      </c>
      <c r="E411" t="s">
        <v>179</v>
      </c>
      <c r="F411" t="s">
        <v>12</v>
      </c>
      <c r="G411" t="s">
        <v>13</v>
      </c>
      <c r="H411" t="s">
        <v>14</v>
      </c>
      <c r="I411">
        <v>4894080</v>
      </c>
      <c r="J411" t="s">
        <v>22</v>
      </c>
      <c r="K411" s="1" t="str">
        <f>VLOOKUP(I411,'[1]PC50 Y2018 Status'!$D:$H,5,FALSE)</f>
        <v>TECO PCNF NMAT PRC  SETC</v>
      </c>
    </row>
    <row r="412" spans="2:11" x14ac:dyDescent="0.25">
      <c r="B412">
        <v>610000004068</v>
      </c>
      <c r="C412" t="s">
        <v>24</v>
      </c>
      <c r="D412">
        <v>206</v>
      </c>
      <c r="E412" t="s">
        <v>179</v>
      </c>
      <c r="F412" t="s">
        <v>12</v>
      </c>
      <c r="G412" t="s">
        <v>13</v>
      </c>
      <c r="H412" t="s">
        <v>14</v>
      </c>
      <c r="I412">
        <v>4899100</v>
      </c>
      <c r="J412" t="s">
        <v>15</v>
      </c>
      <c r="K412" s="1" t="str">
        <f>VLOOKUP(I412,'[1]PC50 Y2018 Status'!$D:$H,5,FALSE)</f>
        <v>TECO PCNF NMAT PRC  SETC</v>
      </c>
    </row>
    <row r="413" spans="2:11" x14ac:dyDescent="0.25">
      <c r="B413">
        <v>610000004152</v>
      </c>
      <c r="C413" t="s">
        <v>82</v>
      </c>
      <c r="D413">
        <v>48</v>
      </c>
      <c r="E413" t="s">
        <v>179</v>
      </c>
      <c r="F413" t="s">
        <v>12</v>
      </c>
      <c r="G413" t="s">
        <v>13</v>
      </c>
      <c r="H413" t="s">
        <v>14</v>
      </c>
      <c r="I413">
        <v>4897511</v>
      </c>
      <c r="J413" t="s">
        <v>22</v>
      </c>
      <c r="K413" s="1" t="str">
        <f>VLOOKUP(I413,'[1]PC50 Y2018 Status'!$D:$H,5,FALSE)</f>
        <v>TECO PCNF NMAT PRC  SETC</v>
      </c>
    </row>
    <row r="414" spans="2:11" x14ac:dyDescent="0.25">
      <c r="B414">
        <v>342257</v>
      </c>
      <c r="C414" t="s">
        <v>25</v>
      </c>
      <c r="D414">
        <v>171</v>
      </c>
      <c r="E414" t="s">
        <v>180</v>
      </c>
      <c r="F414" t="s">
        <v>12</v>
      </c>
      <c r="G414" t="s">
        <v>13</v>
      </c>
      <c r="H414" t="s">
        <v>14</v>
      </c>
      <c r="I414">
        <v>4899115</v>
      </c>
      <c r="J414" t="s">
        <v>15</v>
      </c>
      <c r="K414" s="1" t="str">
        <f>VLOOKUP(I414,'[1]PC50 Y2018 Status'!$D:$H,5,FALSE)</f>
        <v>TECO PCNF NMAT PRC  SETC</v>
      </c>
    </row>
    <row r="415" spans="2:11" x14ac:dyDescent="0.25">
      <c r="B415">
        <v>347637</v>
      </c>
      <c r="C415" t="s">
        <v>27</v>
      </c>
      <c r="D415">
        <v>29</v>
      </c>
      <c r="E415" t="s">
        <v>180</v>
      </c>
      <c r="F415" t="s">
        <v>12</v>
      </c>
      <c r="G415" t="s">
        <v>13</v>
      </c>
      <c r="H415" t="s">
        <v>14</v>
      </c>
      <c r="I415">
        <v>4899952</v>
      </c>
      <c r="J415" t="s">
        <v>15</v>
      </c>
      <c r="K415" s="1" t="str">
        <f>VLOOKUP(I415,'[1]PC50 Y2018 Status'!$D:$H,5,FALSE)</f>
        <v>TECO PCNF NMAT PRC  SETC</v>
      </c>
    </row>
    <row r="416" spans="2:11" x14ac:dyDescent="0.25">
      <c r="B416">
        <v>347638</v>
      </c>
      <c r="C416" t="s">
        <v>16</v>
      </c>
      <c r="D416">
        <v>15</v>
      </c>
      <c r="E416" t="s">
        <v>180</v>
      </c>
      <c r="F416" t="s">
        <v>12</v>
      </c>
      <c r="G416" t="s">
        <v>13</v>
      </c>
      <c r="H416" t="s">
        <v>14</v>
      </c>
      <c r="I416">
        <v>4898184</v>
      </c>
      <c r="J416" t="s">
        <v>15</v>
      </c>
      <c r="K416" s="1" t="str">
        <f>VLOOKUP(I416,'[1]PC50 Y2018 Status'!$D:$H,5,FALSE)</f>
        <v>TECO PCNF NMAT PRC  SETC</v>
      </c>
    </row>
    <row r="417" spans="2:11" x14ac:dyDescent="0.25">
      <c r="B417">
        <v>342588</v>
      </c>
      <c r="C417" t="s">
        <v>82</v>
      </c>
      <c r="D417">
        <v>36</v>
      </c>
      <c r="E417" t="s">
        <v>181</v>
      </c>
      <c r="F417" t="s">
        <v>12</v>
      </c>
      <c r="G417" t="s">
        <v>13</v>
      </c>
      <c r="H417" t="s">
        <v>14</v>
      </c>
      <c r="I417">
        <v>4898170</v>
      </c>
      <c r="J417" t="s">
        <v>22</v>
      </c>
      <c r="K417" s="1" t="str">
        <f>VLOOKUP(I417,'[1]PC50 Y2018 Status'!$D:$H,5,FALSE)</f>
        <v>TECO PCNF NMAT PRC  SETC</v>
      </c>
    </row>
    <row r="418" spans="2:11" x14ac:dyDescent="0.25">
      <c r="B418">
        <v>342348</v>
      </c>
      <c r="C418" t="s">
        <v>100</v>
      </c>
      <c r="D418">
        <v>4</v>
      </c>
      <c r="E418" t="s">
        <v>182</v>
      </c>
      <c r="F418" t="s">
        <v>12</v>
      </c>
      <c r="G418" t="s">
        <v>13</v>
      </c>
      <c r="H418" t="s">
        <v>14</v>
      </c>
      <c r="I418">
        <v>4888785</v>
      </c>
      <c r="J418" t="s">
        <v>15</v>
      </c>
      <c r="K418" s="1" t="str">
        <f>VLOOKUP(I418,'[1]PC50 Y2018 Status'!$D:$H,5,FALSE)</f>
        <v>TECO PCNF NMAT PRC  SETC</v>
      </c>
    </row>
    <row r="419" spans="2:11" x14ac:dyDescent="0.25">
      <c r="B419">
        <v>347639</v>
      </c>
      <c r="C419" t="s">
        <v>32</v>
      </c>
      <c r="D419">
        <v>7</v>
      </c>
      <c r="E419" t="s">
        <v>182</v>
      </c>
      <c r="F419" t="s">
        <v>12</v>
      </c>
      <c r="G419" t="s">
        <v>13</v>
      </c>
      <c r="H419" t="s">
        <v>14</v>
      </c>
      <c r="I419">
        <v>4899143</v>
      </c>
      <c r="J419" t="s">
        <v>15</v>
      </c>
      <c r="K419" s="1" t="str">
        <f>VLOOKUP(I419,'[1]PC50 Y2018 Status'!$D:$H,5,FALSE)</f>
        <v>TECO PCNF NMAT PRC  SETC</v>
      </c>
    </row>
    <row r="420" spans="2:11" x14ac:dyDescent="0.25">
      <c r="B420">
        <v>610000004081</v>
      </c>
      <c r="C420" t="s">
        <v>71</v>
      </c>
      <c r="D420">
        <v>18</v>
      </c>
      <c r="E420" t="s">
        <v>182</v>
      </c>
      <c r="F420" t="s">
        <v>12</v>
      </c>
      <c r="G420" t="s">
        <v>13</v>
      </c>
      <c r="H420" t="s">
        <v>14</v>
      </c>
      <c r="I420">
        <v>4902363</v>
      </c>
      <c r="J420" t="s">
        <v>15</v>
      </c>
      <c r="K420" s="1" t="str">
        <f>VLOOKUP(I420,'[1]PC50 Y2018 Status'!$D:$H,5,FALSE)</f>
        <v>TECO PCNF NMAT PRC  SETC</v>
      </c>
    </row>
    <row r="421" spans="2:11" x14ac:dyDescent="0.25">
      <c r="B421">
        <v>610000004175</v>
      </c>
      <c r="C421" t="s">
        <v>34</v>
      </c>
      <c r="D421">
        <v>102</v>
      </c>
      <c r="E421" t="s">
        <v>182</v>
      </c>
      <c r="F421" t="s">
        <v>12</v>
      </c>
      <c r="G421" t="s">
        <v>13</v>
      </c>
      <c r="H421" t="s">
        <v>14</v>
      </c>
      <c r="I421">
        <v>4899127</v>
      </c>
      <c r="J421" t="s">
        <v>22</v>
      </c>
      <c r="K421" s="1" t="str">
        <f>VLOOKUP(I421,'[1]PC50 Y2018 Status'!$D:$H,5,FALSE)</f>
        <v>TECO PCNF NMAT PRC  SETC</v>
      </c>
    </row>
    <row r="422" spans="2:11" x14ac:dyDescent="0.25">
      <c r="B422">
        <v>610000004069</v>
      </c>
      <c r="C422" t="s">
        <v>35</v>
      </c>
      <c r="D422">
        <v>103</v>
      </c>
      <c r="E422" t="s">
        <v>183</v>
      </c>
      <c r="F422" t="s">
        <v>12</v>
      </c>
      <c r="G422" t="s">
        <v>13</v>
      </c>
      <c r="H422" t="s">
        <v>14</v>
      </c>
      <c r="I422">
        <v>4899113</v>
      </c>
      <c r="J422" t="s">
        <v>15</v>
      </c>
      <c r="K422" s="1" t="str">
        <f>VLOOKUP(I422,'[1]PC50 Y2018 Status'!$D:$H,5,FALSE)</f>
        <v>TECO PCNF NMAT PRC  SETC</v>
      </c>
    </row>
    <row r="423" spans="2:11" x14ac:dyDescent="0.25">
      <c r="B423">
        <v>610000004070</v>
      </c>
      <c r="C423" t="s">
        <v>35</v>
      </c>
      <c r="D423">
        <v>103</v>
      </c>
      <c r="E423" t="s">
        <v>183</v>
      </c>
      <c r="F423" t="s">
        <v>12</v>
      </c>
      <c r="G423" t="s">
        <v>13</v>
      </c>
      <c r="H423" t="s">
        <v>14</v>
      </c>
      <c r="I423">
        <v>4899122</v>
      </c>
      <c r="J423" t="s">
        <v>15</v>
      </c>
      <c r="K423" s="1" t="str">
        <f>VLOOKUP(I423,'[1]PC50 Y2018 Status'!$D:$H,5,FALSE)</f>
        <v>TECO PCNF NMAT PRC  SETC</v>
      </c>
    </row>
    <row r="424" spans="2:11" x14ac:dyDescent="0.25">
      <c r="B424">
        <v>610000004068</v>
      </c>
      <c r="C424" t="s">
        <v>24</v>
      </c>
      <c r="D424">
        <v>207</v>
      </c>
      <c r="E424" t="s">
        <v>184</v>
      </c>
      <c r="F424" t="s">
        <v>12</v>
      </c>
      <c r="G424" t="s">
        <v>13</v>
      </c>
      <c r="H424" t="s">
        <v>14</v>
      </c>
      <c r="I424">
        <v>4900700</v>
      </c>
      <c r="J424" t="s">
        <v>15</v>
      </c>
      <c r="K424" s="1" t="str">
        <f>VLOOKUP(I424,'[1]PC50 Y2018 Status'!$D:$H,5,FALSE)</f>
        <v>TECO PCNF NMAT PRC  SETC</v>
      </c>
    </row>
    <row r="425" spans="2:11" x14ac:dyDescent="0.25">
      <c r="B425">
        <v>610000004077</v>
      </c>
      <c r="C425" t="s">
        <v>39</v>
      </c>
      <c r="D425">
        <v>103</v>
      </c>
      <c r="E425" t="s">
        <v>184</v>
      </c>
      <c r="F425" t="s">
        <v>12</v>
      </c>
      <c r="G425" t="s">
        <v>13</v>
      </c>
      <c r="H425" t="s">
        <v>14</v>
      </c>
      <c r="I425">
        <v>4899874</v>
      </c>
      <c r="J425" t="s">
        <v>15</v>
      </c>
      <c r="K425" s="1" t="str">
        <f>VLOOKUP(I425,'[1]PC50 Y2018 Status'!$D:$H,5,FALSE)</f>
        <v>TECO PCNF NMAT PRC  SETC</v>
      </c>
    </row>
    <row r="426" spans="2:11" x14ac:dyDescent="0.25">
      <c r="B426">
        <v>610000004085</v>
      </c>
      <c r="C426" t="s">
        <v>18</v>
      </c>
      <c r="D426">
        <v>103</v>
      </c>
      <c r="E426" t="s">
        <v>184</v>
      </c>
      <c r="F426" t="s">
        <v>12</v>
      </c>
      <c r="G426" t="s">
        <v>13</v>
      </c>
      <c r="H426" t="s">
        <v>14</v>
      </c>
      <c r="I426">
        <v>4899821</v>
      </c>
      <c r="J426" t="s">
        <v>15</v>
      </c>
      <c r="K426" s="1" t="str">
        <f>VLOOKUP(I426,'[1]PC50 Y2018 Status'!$D:$H,5,FALSE)</f>
        <v>TECO PCNF NMAT PRC  SETC</v>
      </c>
    </row>
    <row r="427" spans="2:11" x14ac:dyDescent="0.25">
      <c r="B427">
        <v>610000004086</v>
      </c>
      <c r="C427" t="s">
        <v>18</v>
      </c>
      <c r="D427">
        <v>103</v>
      </c>
      <c r="E427" t="s">
        <v>184</v>
      </c>
      <c r="F427" t="s">
        <v>12</v>
      </c>
      <c r="G427" t="s">
        <v>13</v>
      </c>
      <c r="H427" t="s">
        <v>14</v>
      </c>
      <c r="I427">
        <v>4899925</v>
      </c>
      <c r="J427" t="s">
        <v>15</v>
      </c>
      <c r="K427" s="1" t="str">
        <f>VLOOKUP(I427,'[1]PC50 Y2018 Status'!$D:$H,5,FALSE)</f>
        <v>TECO PCNF NMAT PRC  SETC</v>
      </c>
    </row>
    <row r="428" spans="2:11" x14ac:dyDescent="0.25">
      <c r="B428">
        <v>610000004100</v>
      </c>
      <c r="C428" t="s">
        <v>185</v>
      </c>
      <c r="D428">
        <v>10</v>
      </c>
      <c r="E428" t="s">
        <v>184</v>
      </c>
      <c r="F428" t="s">
        <v>12</v>
      </c>
      <c r="G428" t="s">
        <v>13</v>
      </c>
      <c r="H428" t="s">
        <v>14</v>
      </c>
      <c r="I428">
        <v>4895927</v>
      </c>
      <c r="J428" t="s">
        <v>22</v>
      </c>
      <c r="K428" s="1" t="str">
        <f>VLOOKUP(I428,'[1]PC50 Y2018 Status'!$D:$H,5,FALSE)</f>
        <v>TECO PCNF NMAT PRC  SETC</v>
      </c>
    </row>
    <row r="429" spans="2:11" x14ac:dyDescent="0.25">
      <c r="B429">
        <v>610000004025</v>
      </c>
      <c r="C429" t="s">
        <v>44</v>
      </c>
      <c r="D429">
        <v>102</v>
      </c>
      <c r="E429" t="s">
        <v>186</v>
      </c>
      <c r="F429" t="s">
        <v>12</v>
      </c>
      <c r="G429" t="s">
        <v>13</v>
      </c>
      <c r="H429" t="s">
        <v>14</v>
      </c>
      <c r="I429">
        <v>4899814</v>
      </c>
      <c r="J429" t="s">
        <v>15</v>
      </c>
      <c r="K429" s="1" t="str">
        <f>VLOOKUP(I429,'[1]PC50 Y2018 Status'!$D:$H,5,FALSE)</f>
        <v>TECO PCNF NMAT PRC  SETC</v>
      </c>
    </row>
    <row r="430" spans="2:11" x14ac:dyDescent="0.25">
      <c r="B430">
        <v>610000004091</v>
      </c>
      <c r="C430" t="s">
        <v>47</v>
      </c>
      <c r="D430">
        <v>102</v>
      </c>
      <c r="E430" t="s">
        <v>186</v>
      </c>
      <c r="F430" t="s">
        <v>12</v>
      </c>
      <c r="G430" t="s">
        <v>13</v>
      </c>
      <c r="H430" t="s">
        <v>14</v>
      </c>
      <c r="I430">
        <v>4899792</v>
      </c>
      <c r="J430" t="s">
        <v>15</v>
      </c>
      <c r="K430" s="1" t="str">
        <f>VLOOKUP(I430,'[1]PC50 Y2018 Status'!$D:$H,5,FALSE)</f>
        <v>TECO PCNF NMAT PRC  SETC</v>
      </c>
    </row>
    <row r="431" spans="2:11" x14ac:dyDescent="0.25">
      <c r="B431">
        <v>610000004161</v>
      </c>
      <c r="C431" t="s">
        <v>48</v>
      </c>
      <c r="D431">
        <v>104</v>
      </c>
      <c r="E431" t="s">
        <v>186</v>
      </c>
      <c r="F431" t="s">
        <v>12</v>
      </c>
      <c r="G431" t="s">
        <v>13</v>
      </c>
      <c r="H431" t="s">
        <v>14</v>
      </c>
      <c r="I431">
        <v>4899796</v>
      </c>
      <c r="J431" t="s">
        <v>22</v>
      </c>
      <c r="K431" s="1" t="str">
        <f>VLOOKUP(I431,'[1]PC50 Y2018 Status'!$D:$H,5,FALSE)</f>
        <v>TECO PCNF NMAT PRC  SETC</v>
      </c>
    </row>
    <row r="432" spans="2:11" x14ac:dyDescent="0.25">
      <c r="B432">
        <v>342257</v>
      </c>
      <c r="C432" t="s">
        <v>25</v>
      </c>
      <c r="D432">
        <v>172</v>
      </c>
      <c r="E432" t="s">
        <v>187</v>
      </c>
      <c r="F432" t="s">
        <v>12</v>
      </c>
      <c r="G432" t="s">
        <v>13</v>
      </c>
      <c r="H432" t="s">
        <v>14</v>
      </c>
      <c r="I432">
        <v>4900720</v>
      </c>
      <c r="J432" t="s">
        <v>15</v>
      </c>
      <c r="K432" s="1" t="str">
        <f>VLOOKUP(I432,'[1]PC50 Y2018 Status'!$D:$H,5,FALSE)</f>
        <v>TECO PCNF NMAT PRC  SETC</v>
      </c>
    </row>
    <row r="433" spans="2:11" x14ac:dyDescent="0.25">
      <c r="B433">
        <v>347637</v>
      </c>
      <c r="C433" t="s">
        <v>27</v>
      </c>
      <c r="D433">
        <v>30</v>
      </c>
      <c r="E433" t="s">
        <v>187</v>
      </c>
      <c r="F433" t="s">
        <v>12</v>
      </c>
      <c r="G433" t="s">
        <v>13</v>
      </c>
      <c r="H433" t="s">
        <v>14</v>
      </c>
      <c r="I433">
        <v>4901615</v>
      </c>
      <c r="J433" t="s">
        <v>15</v>
      </c>
      <c r="K433" s="1" t="str">
        <f>VLOOKUP(I433,'[1]PC50 Y2018 Status'!$D:$H,5,FALSE)</f>
        <v>TECO PCNF NMAT PRC  SETC</v>
      </c>
    </row>
    <row r="434" spans="2:11" x14ac:dyDescent="0.25">
      <c r="B434">
        <v>610000004026</v>
      </c>
      <c r="C434" t="s">
        <v>44</v>
      </c>
      <c r="D434">
        <v>48</v>
      </c>
      <c r="E434" t="s">
        <v>187</v>
      </c>
      <c r="F434" t="s">
        <v>12</v>
      </c>
      <c r="G434" t="s">
        <v>13</v>
      </c>
      <c r="H434" t="s">
        <v>14</v>
      </c>
      <c r="I434">
        <v>4899934</v>
      </c>
      <c r="J434" t="s">
        <v>15</v>
      </c>
      <c r="K434" s="1" t="str">
        <f>VLOOKUP(I434,'[1]PC50 Y2018 Status'!$D:$H,5,FALSE)</f>
        <v>TECO PCNF NMAT PRC  SETC</v>
      </c>
    </row>
    <row r="435" spans="2:11" x14ac:dyDescent="0.25">
      <c r="B435">
        <v>610000004028</v>
      </c>
      <c r="C435" t="s">
        <v>44</v>
      </c>
      <c r="D435">
        <v>46</v>
      </c>
      <c r="E435" t="s">
        <v>187</v>
      </c>
      <c r="F435" t="s">
        <v>12</v>
      </c>
      <c r="G435" t="s">
        <v>13</v>
      </c>
      <c r="H435" t="s">
        <v>14</v>
      </c>
      <c r="I435">
        <v>4899815</v>
      </c>
      <c r="J435" t="s">
        <v>15</v>
      </c>
      <c r="K435" s="1" t="str">
        <f>VLOOKUP(I435,'[1]PC50 Y2018 Status'!$D:$H,5,FALSE)</f>
        <v>TECO PCNF NMAT PRC  SETC</v>
      </c>
    </row>
    <row r="436" spans="2:11" x14ac:dyDescent="0.25">
      <c r="B436">
        <v>610000004061</v>
      </c>
      <c r="C436" t="s">
        <v>64</v>
      </c>
      <c r="D436">
        <v>48</v>
      </c>
      <c r="E436" t="s">
        <v>187</v>
      </c>
      <c r="F436" t="s">
        <v>12</v>
      </c>
      <c r="G436" t="s">
        <v>13</v>
      </c>
      <c r="H436" t="s">
        <v>14</v>
      </c>
      <c r="I436">
        <v>4899840</v>
      </c>
      <c r="J436" t="s">
        <v>15</v>
      </c>
      <c r="K436" s="1" t="str">
        <f>VLOOKUP(I436,'[1]PC50 Y2018 Status'!$D:$H,5,FALSE)</f>
        <v>TECO PCNF NMAT PRC  SETC</v>
      </c>
    </row>
    <row r="437" spans="2:11" x14ac:dyDescent="0.25">
      <c r="B437">
        <v>610000004062</v>
      </c>
      <c r="C437" t="s">
        <v>64</v>
      </c>
      <c r="D437">
        <v>48</v>
      </c>
      <c r="E437" t="s">
        <v>187</v>
      </c>
      <c r="F437" t="s">
        <v>12</v>
      </c>
      <c r="G437" t="s">
        <v>13</v>
      </c>
      <c r="H437" t="s">
        <v>14</v>
      </c>
      <c r="I437">
        <v>4899873</v>
      </c>
      <c r="J437" t="s">
        <v>15</v>
      </c>
      <c r="K437" s="1" t="str">
        <f>VLOOKUP(I437,'[1]PC50 Y2018 Status'!$D:$H,5,FALSE)</f>
        <v>TECO PCNF NMAT PRC  SETC</v>
      </c>
    </row>
    <row r="438" spans="2:11" x14ac:dyDescent="0.25">
      <c r="B438">
        <v>610000004063</v>
      </c>
      <c r="C438" t="s">
        <v>64</v>
      </c>
      <c r="D438">
        <v>46</v>
      </c>
      <c r="E438" t="s">
        <v>187</v>
      </c>
      <c r="F438" t="s">
        <v>12</v>
      </c>
      <c r="G438" t="s">
        <v>13</v>
      </c>
      <c r="H438" t="s">
        <v>14</v>
      </c>
      <c r="I438">
        <v>4899904</v>
      </c>
      <c r="J438" t="s">
        <v>15</v>
      </c>
      <c r="K438" s="1" t="str">
        <f>VLOOKUP(I438,'[1]PC50 Y2018 Status'!$D:$H,5,FALSE)</f>
        <v>TECO PCNF NMAT PRC  SETC</v>
      </c>
    </row>
    <row r="439" spans="2:11" x14ac:dyDescent="0.25">
      <c r="B439">
        <v>610000004064</v>
      </c>
      <c r="C439" t="s">
        <v>64</v>
      </c>
      <c r="D439">
        <v>46</v>
      </c>
      <c r="E439" t="s">
        <v>187</v>
      </c>
      <c r="F439" t="s">
        <v>12</v>
      </c>
      <c r="G439" t="s">
        <v>13</v>
      </c>
      <c r="H439" t="s">
        <v>14</v>
      </c>
      <c r="I439">
        <v>4899841</v>
      </c>
      <c r="J439" t="s">
        <v>15</v>
      </c>
      <c r="K439" s="1" t="str">
        <f>VLOOKUP(I439,'[1]PC50 Y2018 Status'!$D:$H,5,FALSE)</f>
        <v>TECO PCNF NMAT PRC  SETC</v>
      </c>
    </row>
    <row r="440" spans="2:11" x14ac:dyDescent="0.25">
      <c r="B440">
        <v>610000004071</v>
      </c>
      <c r="C440" t="s">
        <v>70</v>
      </c>
      <c r="D440">
        <v>58</v>
      </c>
      <c r="E440" t="s">
        <v>187</v>
      </c>
      <c r="F440" t="s">
        <v>12</v>
      </c>
      <c r="G440" t="s">
        <v>13</v>
      </c>
      <c r="H440" t="s">
        <v>14</v>
      </c>
      <c r="I440">
        <v>4899909</v>
      </c>
      <c r="J440" t="s">
        <v>15</v>
      </c>
      <c r="K440" s="1" t="str">
        <f>VLOOKUP(I440,'[1]PC50 Y2018 Status'!$D:$H,5,FALSE)</f>
        <v>TECO PCNF NMAT PRC  SETC</v>
      </c>
    </row>
    <row r="441" spans="2:11" x14ac:dyDescent="0.25">
      <c r="B441">
        <v>610000004072</v>
      </c>
      <c r="C441" t="s">
        <v>70</v>
      </c>
      <c r="D441">
        <v>46</v>
      </c>
      <c r="E441" t="s">
        <v>187</v>
      </c>
      <c r="F441" t="s">
        <v>12</v>
      </c>
      <c r="G441" t="s">
        <v>13</v>
      </c>
      <c r="H441" t="s">
        <v>14</v>
      </c>
      <c r="I441">
        <v>4899849</v>
      </c>
      <c r="J441" t="s">
        <v>15</v>
      </c>
      <c r="K441" s="1" t="str">
        <f>VLOOKUP(I441,'[1]PC50 Y2018 Status'!$D:$H,5,FALSE)</f>
        <v>TECO PCNF NMAT PRC  SETC</v>
      </c>
    </row>
    <row r="442" spans="2:11" x14ac:dyDescent="0.25">
      <c r="B442">
        <v>610000004073</v>
      </c>
      <c r="C442" t="s">
        <v>70</v>
      </c>
      <c r="D442">
        <v>45</v>
      </c>
      <c r="E442" t="s">
        <v>187</v>
      </c>
      <c r="F442" t="s">
        <v>12</v>
      </c>
      <c r="G442" t="s">
        <v>13</v>
      </c>
      <c r="H442" t="s">
        <v>14</v>
      </c>
      <c r="I442">
        <v>4899850</v>
      </c>
      <c r="J442" t="s">
        <v>15</v>
      </c>
      <c r="K442" s="1" t="str">
        <f>VLOOKUP(I442,'[1]PC50 Y2018 Status'!$D:$H,5,FALSE)</f>
        <v>TECO PCNF NMAT PRC  SETC</v>
      </c>
    </row>
    <row r="443" spans="2:11" x14ac:dyDescent="0.25">
      <c r="B443">
        <v>610000004078</v>
      </c>
      <c r="C443" t="s">
        <v>71</v>
      </c>
      <c r="D443">
        <v>46</v>
      </c>
      <c r="E443" t="s">
        <v>187</v>
      </c>
      <c r="F443" t="s">
        <v>12</v>
      </c>
      <c r="G443" t="s">
        <v>13</v>
      </c>
      <c r="H443" t="s">
        <v>14</v>
      </c>
      <c r="I443">
        <v>4899820</v>
      </c>
      <c r="J443" t="s">
        <v>15</v>
      </c>
      <c r="K443" s="1" t="str">
        <f>VLOOKUP(I443,'[1]PC50 Y2018 Status'!$D:$H,5,FALSE)</f>
        <v>TECO PCNF NMAT PRC  SETC</v>
      </c>
    </row>
    <row r="444" spans="2:11" x14ac:dyDescent="0.25">
      <c r="B444">
        <v>610000004135</v>
      </c>
      <c r="C444" t="s">
        <v>95</v>
      </c>
      <c r="D444">
        <v>16</v>
      </c>
      <c r="E444" t="s">
        <v>187</v>
      </c>
      <c r="F444" t="s">
        <v>12</v>
      </c>
      <c r="G444" t="s">
        <v>13</v>
      </c>
      <c r="H444" t="s">
        <v>14</v>
      </c>
      <c r="I444">
        <v>4899924</v>
      </c>
      <c r="J444" t="s">
        <v>22</v>
      </c>
      <c r="K444" s="1" t="str">
        <f>VLOOKUP(I444,'[1]PC50 Y2018 Status'!$D:$H,5,FALSE)</f>
        <v>TECO PCNF NMAT PRC  SETC</v>
      </c>
    </row>
    <row r="445" spans="2:11" x14ac:dyDescent="0.25">
      <c r="B445">
        <v>610000004050</v>
      </c>
      <c r="C445" t="s">
        <v>17</v>
      </c>
      <c r="D445">
        <v>103</v>
      </c>
      <c r="E445" t="s">
        <v>188</v>
      </c>
      <c r="F445" t="s">
        <v>12</v>
      </c>
      <c r="G445" t="s">
        <v>13</v>
      </c>
      <c r="H445" t="s">
        <v>14</v>
      </c>
      <c r="I445">
        <v>4899851</v>
      </c>
      <c r="J445" t="s">
        <v>15</v>
      </c>
      <c r="K445" s="1" t="str">
        <f>VLOOKUP(I445,'[1]PC50 Y2018 Status'!$D:$H,5,FALSE)</f>
        <v>TECO PCNF NMAT PRC  SETC</v>
      </c>
    </row>
    <row r="446" spans="2:11" x14ac:dyDescent="0.25">
      <c r="B446">
        <v>610000004024</v>
      </c>
      <c r="C446" t="s">
        <v>30</v>
      </c>
      <c r="D446">
        <v>9</v>
      </c>
      <c r="E446" t="s">
        <v>189</v>
      </c>
      <c r="F446" t="s">
        <v>12</v>
      </c>
      <c r="G446" t="s">
        <v>13</v>
      </c>
      <c r="H446" t="s">
        <v>14</v>
      </c>
      <c r="I446">
        <v>4894592</v>
      </c>
      <c r="J446" t="s">
        <v>15</v>
      </c>
      <c r="K446" s="1" t="str">
        <f>VLOOKUP(I446,'[1]PC50 Y2018 Status'!$D:$H,5,FALSE)</f>
        <v>TECO PCNF NMAT PRC  SETC</v>
      </c>
    </row>
    <row r="447" spans="2:11" x14ac:dyDescent="0.25">
      <c r="B447">
        <v>610000004031</v>
      </c>
      <c r="C447" t="s">
        <v>16</v>
      </c>
      <c r="D447">
        <v>102</v>
      </c>
      <c r="E447" t="s">
        <v>190</v>
      </c>
      <c r="F447" t="s">
        <v>12</v>
      </c>
      <c r="G447" t="s">
        <v>13</v>
      </c>
      <c r="H447" t="s">
        <v>14</v>
      </c>
      <c r="I447">
        <v>4900734</v>
      </c>
      <c r="J447" t="s">
        <v>15</v>
      </c>
      <c r="K447" s="1" t="str">
        <f>VLOOKUP(I447,'[1]PC50 Y2018 Status'!$D:$H,5,FALSE)</f>
        <v>TECO PCNF NMAT PRC  SETC</v>
      </c>
    </row>
    <row r="448" spans="2:11" x14ac:dyDescent="0.25">
      <c r="B448">
        <v>610000004051</v>
      </c>
      <c r="C448" t="s">
        <v>17</v>
      </c>
      <c r="D448">
        <v>103</v>
      </c>
      <c r="E448" t="s">
        <v>190</v>
      </c>
      <c r="F448" t="s">
        <v>12</v>
      </c>
      <c r="G448" t="s">
        <v>13</v>
      </c>
      <c r="H448" t="s">
        <v>14</v>
      </c>
      <c r="I448">
        <v>4900438</v>
      </c>
      <c r="J448" t="s">
        <v>15</v>
      </c>
      <c r="K448" s="1" t="str">
        <f>VLOOKUP(I448,'[1]PC50 Y2018 Status'!$D:$H,5,FALSE)</f>
        <v>TECO PCNF NMAT PRC  SETC</v>
      </c>
    </row>
    <row r="449" spans="2:11" x14ac:dyDescent="0.25">
      <c r="B449">
        <v>610000004138</v>
      </c>
      <c r="C449" t="s">
        <v>96</v>
      </c>
      <c r="D449">
        <v>8</v>
      </c>
      <c r="E449" t="s">
        <v>190</v>
      </c>
      <c r="F449" t="s">
        <v>12</v>
      </c>
      <c r="G449" t="s">
        <v>13</v>
      </c>
      <c r="H449" t="s">
        <v>14</v>
      </c>
      <c r="I449">
        <v>4896673</v>
      </c>
      <c r="J449" t="s">
        <v>22</v>
      </c>
      <c r="K449" s="1" t="str">
        <f>VLOOKUP(I449,'[1]PC50 Y2018 Status'!$D:$H,5,FALSE)</f>
        <v>TECO PCNF NMAT PRC  SETC</v>
      </c>
    </row>
    <row r="450" spans="2:11" x14ac:dyDescent="0.25">
      <c r="B450">
        <v>610000004165</v>
      </c>
      <c r="C450" t="s">
        <v>31</v>
      </c>
      <c r="D450">
        <v>26</v>
      </c>
      <c r="E450" t="s">
        <v>190</v>
      </c>
      <c r="F450" t="s">
        <v>12</v>
      </c>
      <c r="G450" t="s">
        <v>13</v>
      </c>
      <c r="H450" t="s">
        <v>14</v>
      </c>
      <c r="I450">
        <v>4901527</v>
      </c>
      <c r="J450" t="s">
        <v>22</v>
      </c>
      <c r="K450" s="1" t="str">
        <f>VLOOKUP(I450,'[1]PC50 Y2018 Status'!$D:$H,5,FALSE)</f>
        <v>TECO PCNF NMAT PRC  SETC</v>
      </c>
    </row>
    <row r="451" spans="2:11" x14ac:dyDescent="0.25">
      <c r="B451">
        <v>610000004166</v>
      </c>
      <c r="C451" t="s">
        <v>31</v>
      </c>
      <c r="D451">
        <v>26</v>
      </c>
      <c r="E451" t="s">
        <v>190</v>
      </c>
      <c r="F451" t="s">
        <v>12</v>
      </c>
      <c r="G451" t="s">
        <v>13</v>
      </c>
      <c r="H451" t="s">
        <v>14</v>
      </c>
      <c r="I451">
        <v>4901528</v>
      </c>
      <c r="J451" t="s">
        <v>22</v>
      </c>
      <c r="K451" s="1" t="str">
        <f>VLOOKUP(I451,'[1]PC50 Y2018 Status'!$D:$H,5,FALSE)</f>
        <v>TECO PCNF NMAT PRC  SETC</v>
      </c>
    </row>
    <row r="452" spans="2:11" x14ac:dyDescent="0.25">
      <c r="B452">
        <v>342258</v>
      </c>
      <c r="C452" t="s">
        <v>18</v>
      </c>
      <c r="D452">
        <v>86</v>
      </c>
      <c r="E452" t="s">
        <v>191</v>
      </c>
      <c r="F452" t="s">
        <v>12</v>
      </c>
      <c r="G452" t="s">
        <v>13</v>
      </c>
      <c r="H452" t="s">
        <v>14</v>
      </c>
      <c r="I452">
        <v>4900724</v>
      </c>
      <c r="J452" t="s">
        <v>15</v>
      </c>
      <c r="K452" s="1" t="str">
        <f>VLOOKUP(I452,'[1]PC50 Y2018 Status'!$D:$H,5,FALSE)</f>
        <v>TECO PCNF NMAT PRC  SETC</v>
      </c>
    </row>
    <row r="453" spans="2:11" x14ac:dyDescent="0.25">
      <c r="B453">
        <v>610000004057</v>
      </c>
      <c r="C453" t="s">
        <v>192</v>
      </c>
      <c r="D453">
        <v>11</v>
      </c>
      <c r="E453" t="s">
        <v>193</v>
      </c>
      <c r="F453" t="s">
        <v>12</v>
      </c>
      <c r="G453" t="s">
        <v>13</v>
      </c>
      <c r="H453" t="s">
        <v>14</v>
      </c>
      <c r="I453">
        <v>4885941</v>
      </c>
      <c r="J453" t="s">
        <v>15</v>
      </c>
      <c r="K453" s="1" t="str">
        <f>VLOOKUP(I453,'[1]PC50 Y2018 Status'!$D:$H,5,FALSE)</f>
        <v>TECO PCNF NMAT PRC  SETC</v>
      </c>
    </row>
    <row r="454" spans="2:11" x14ac:dyDescent="0.25">
      <c r="B454">
        <v>610000004058</v>
      </c>
      <c r="C454" t="s">
        <v>192</v>
      </c>
      <c r="D454">
        <v>10</v>
      </c>
      <c r="E454" t="s">
        <v>193</v>
      </c>
      <c r="F454" t="s">
        <v>12</v>
      </c>
      <c r="G454" t="s">
        <v>13</v>
      </c>
      <c r="H454" t="s">
        <v>14</v>
      </c>
      <c r="I454">
        <v>4897509</v>
      </c>
      <c r="J454" t="s">
        <v>15</v>
      </c>
      <c r="K454" s="1" t="str">
        <f>VLOOKUP(I454,'[1]PC50 Y2018 Status'!$D:$H,5,FALSE)</f>
        <v>TECO PCNF GMPS MANC PRC  SETC</v>
      </c>
    </row>
    <row r="455" spans="2:11" x14ac:dyDescent="0.25">
      <c r="B455">
        <v>610000004059</v>
      </c>
      <c r="C455" t="s">
        <v>192</v>
      </c>
      <c r="D455">
        <v>8</v>
      </c>
      <c r="E455" t="s">
        <v>193</v>
      </c>
      <c r="F455" t="s">
        <v>12</v>
      </c>
      <c r="G455" t="s">
        <v>13</v>
      </c>
      <c r="H455" t="s">
        <v>14</v>
      </c>
      <c r="I455">
        <v>4894634</v>
      </c>
      <c r="J455" t="s">
        <v>15</v>
      </c>
      <c r="K455" s="1" t="str">
        <f>VLOOKUP(I455,'[1]PC50 Y2018 Status'!$D:$H,5,FALSE)</f>
        <v>TECO PCNF NMAT PRC  SETC</v>
      </c>
    </row>
    <row r="456" spans="2:11" x14ac:dyDescent="0.25">
      <c r="B456">
        <v>610000004068</v>
      </c>
      <c r="C456" t="s">
        <v>24</v>
      </c>
      <c r="D456">
        <v>208</v>
      </c>
      <c r="E456" t="s">
        <v>193</v>
      </c>
      <c r="F456" t="s">
        <v>12</v>
      </c>
      <c r="G456" t="s">
        <v>13</v>
      </c>
      <c r="H456" t="s">
        <v>14</v>
      </c>
      <c r="I456">
        <v>4902430</v>
      </c>
      <c r="J456" t="s">
        <v>15</v>
      </c>
      <c r="K456" s="1" t="str">
        <f>VLOOKUP(I456,'[1]PC50 Y2018 Status'!$D:$H,5,FALSE)</f>
        <v>TECO PCNF NMAT PRC  SETC</v>
      </c>
    </row>
    <row r="457" spans="2:11" x14ac:dyDescent="0.25">
      <c r="B457">
        <v>610000004095</v>
      </c>
      <c r="C457" t="s">
        <v>40</v>
      </c>
      <c r="D457">
        <v>50</v>
      </c>
      <c r="E457" t="s">
        <v>194</v>
      </c>
      <c r="F457" t="s">
        <v>12</v>
      </c>
      <c r="G457" t="s">
        <v>13</v>
      </c>
      <c r="H457" t="s">
        <v>14</v>
      </c>
      <c r="I457">
        <v>4901584</v>
      </c>
      <c r="J457" t="s">
        <v>22</v>
      </c>
      <c r="K457" s="1" t="str">
        <f>VLOOKUP(I457,'[1]PC50 Y2018 Status'!$D:$H,5,FALSE)</f>
        <v>TECO PCNF NMAT PRC  SETC</v>
      </c>
    </row>
    <row r="458" spans="2:11" x14ac:dyDescent="0.25">
      <c r="B458">
        <v>610000004163</v>
      </c>
      <c r="C458" t="s">
        <v>43</v>
      </c>
      <c r="D458">
        <v>50</v>
      </c>
      <c r="E458" t="s">
        <v>194</v>
      </c>
      <c r="F458" t="s">
        <v>12</v>
      </c>
      <c r="G458" t="s">
        <v>13</v>
      </c>
      <c r="H458" t="s">
        <v>14</v>
      </c>
      <c r="I458">
        <v>4901585</v>
      </c>
      <c r="J458" t="s">
        <v>22</v>
      </c>
      <c r="K458" s="1" t="str">
        <f>VLOOKUP(I458,'[1]PC50 Y2018 Status'!$D:$H,5,FALSE)</f>
        <v>TECO PCNF NMAT PRC  SETC</v>
      </c>
    </row>
    <row r="459" spans="2:11" x14ac:dyDescent="0.25">
      <c r="B459">
        <v>342257</v>
      </c>
      <c r="C459" t="s">
        <v>25</v>
      </c>
      <c r="D459">
        <v>173</v>
      </c>
      <c r="E459" t="s">
        <v>195</v>
      </c>
      <c r="F459" t="s">
        <v>12</v>
      </c>
      <c r="G459" t="s">
        <v>13</v>
      </c>
      <c r="H459" t="s">
        <v>14</v>
      </c>
      <c r="I459">
        <v>4902440</v>
      </c>
      <c r="J459" t="s">
        <v>15</v>
      </c>
      <c r="K459" s="1" t="str">
        <f>VLOOKUP(I459,'[1]PC50 Y2018 Status'!$D:$H,5,FALSE)</f>
        <v>TECO PCNF NMAT PRC  SETC</v>
      </c>
    </row>
    <row r="460" spans="2:11" x14ac:dyDescent="0.25">
      <c r="B460">
        <v>347637</v>
      </c>
      <c r="C460" t="s">
        <v>27</v>
      </c>
      <c r="D460">
        <v>31</v>
      </c>
      <c r="E460" t="s">
        <v>195</v>
      </c>
      <c r="F460" t="s">
        <v>12</v>
      </c>
      <c r="G460" t="s">
        <v>13</v>
      </c>
      <c r="H460" t="s">
        <v>14</v>
      </c>
      <c r="I460">
        <v>4903132</v>
      </c>
      <c r="J460" t="s">
        <v>15</v>
      </c>
      <c r="K460" s="1" t="str">
        <f>VLOOKUP(I460,'[1]PC50 Y2018 Status'!$D:$H,5,FALSE)</f>
        <v>TECO PCNF NMAT PRC  SETC</v>
      </c>
    </row>
    <row r="461" spans="2:11" x14ac:dyDescent="0.25">
      <c r="B461">
        <v>347638</v>
      </c>
      <c r="C461" t="s">
        <v>16</v>
      </c>
      <c r="D461">
        <v>16</v>
      </c>
      <c r="E461" t="s">
        <v>195</v>
      </c>
      <c r="F461" t="s">
        <v>12</v>
      </c>
      <c r="G461" t="s">
        <v>13</v>
      </c>
      <c r="H461" t="s">
        <v>14</v>
      </c>
      <c r="I461">
        <v>4901619</v>
      </c>
      <c r="J461" t="s">
        <v>15</v>
      </c>
      <c r="K461" s="1" t="str">
        <f>VLOOKUP(I461,'[1]PC50 Y2018 Status'!$D:$H,5,FALSE)</f>
        <v>TECO PCNF NMAT PRC  SETC</v>
      </c>
    </row>
    <row r="462" spans="2:11" x14ac:dyDescent="0.25">
      <c r="B462">
        <v>610000004052</v>
      </c>
      <c r="C462" t="s">
        <v>46</v>
      </c>
      <c r="D462">
        <v>48</v>
      </c>
      <c r="E462" t="s">
        <v>195</v>
      </c>
      <c r="F462" t="s">
        <v>12</v>
      </c>
      <c r="G462" t="s">
        <v>13</v>
      </c>
      <c r="H462" t="s">
        <v>14</v>
      </c>
      <c r="I462">
        <v>4901583</v>
      </c>
      <c r="J462" t="s">
        <v>15</v>
      </c>
      <c r="K462" s="1" t="str">
        <f>VLOOKUP(I462,'[1]PC50 Y2018 Status'!$D:$H,5,FALSE)</f>
        <v>TECO PCNF NMAT PRC  SETC</v>
      </c>
    </row>
    <row r="463" spans="2:11" x14ac:dyDescent="0.25">
      <c r="B463">
        <v>347677</v>
      </c>
      <c r="C463" t="s">
        <v>104</v>
      </c>
      <c r="D463">
        <v>3</v>
      </c>
      <c r="E463" t="s">
        <v>196</v>
      </c>
      <c r="F463" t="s">
        <v>12</v>
      </c>
      <c r="G463" t="s">
        <v>13</v>
      </c>
      <c r="H463" t="s">
        <v>14</v>
      </c>
      <c r="I463">
        <v>4896710</v>
      </c>
      <c r="J463" t="s">
        <v>22</v>
      </c>
      <c r="K463" s="1" t="str">
        <f>VLOOKUP(I463,'[1]PC50 Y2018 Status'!$D:$H,5,FALSE)</f>
        <v>TECO PCNF NMAT PRC  SETC</v>
      </c>
    </row>
    <row r="464" spans="2:11" x14ac:dyDescent="0.25">
      <c r="B464">
        <v>610000004101</v>
      </c>
      <c r="C464" t="s">
        <v>51</v>
      </c>
      <c r="D464">
        <v>58</v>
      </c>
      <c r="E464" t="s">
        <v>197</v>
      </c>
      <c r="F464" t="s">
        <v>12</v>
      </c>
      <c r="G464" t="s">
        <v>13</v>
      </c>
      <c r="H464" t="s">
        <v>14</v>
      </c>
      <c r="I464">
        <v>4902454</v>
      </c>
      <c r="J464" t="s">
        <v>22</v>
      </c>
      <c r="K464" s="1" t="str">
        <f>VLOOKUP(I464,'[1]PC50 Y2018 Status'!$D:$H,5,FALSE)</f>
        <v>TECO PCNF NMAT PRC  SETC</v>
      </c>
    </row>
    <row r="465" spans="2:11" x14ac:dyDescent="0.25">
      <c r="B465">
        <v>610000004121</v>
      </c>
      <c r="C465" t="s">
        <v>54</v>
      </c>
      <c r="D465">
        <v>58</v>
      </c>
      <c r="E465" t="s">
        <v>197</v>
      </c>
      <c r="F465" t="s">
        <v>12</v>
      </c>
      <c r="G465" t="s">
        <v>13</v>
      </c>
      <c r="H465" t="s">
        <v>14</v>
      </c>
      <c r="I465">
        <v>4902468</v>
      </c>
      <c r="J465" t="s">
        <v>22</v>
      </c>
      <c r="K465" s="1" t="str">
        <f>VLOOKUP(I465,'[1]PC50 Y2018 Status'!$D:$H,5,FALSE)</f>
        <v>TECO PCNF NMAT PRC  SETC</v>
      </c>
    </row>
    <row r="466" spans="2:11" x14ac:dyDescent="0.25">
      <c r="B466">
        <v>610000004143</v>
      </c>
      <c r="C466" t="s">
        <v>55</v>
      </c>
      <c r="D466">
        <v>26</v>
      </c>
      <c r="E466" t="s">
        <v>197</v>
      </c>
      <c r="F466" t="s">
        <v>12</v>
      </c>
      <c r="G466" t="s">
        <v>13</v>
      </c>
      <c r="H466" t="s">
        <v>14</v>
      </c>
      <c r="I466">
        <v>4903108</v>
      </c>
      <c r="J466" t="s">
        <v>22</v>
      </c>
      <c r="K466" s="1" t="str">
        <f>VLOOKUP(I466,'[1]PC50 Y2018 Status'!$D:$H,5,FALSE)</f>
        <v>TECO PCNF NMAT PRC  SETC</v>
      </c>
    </row>
    <row r="467" spans="2:11" x14ac:dyDescent="0.25">
      <c r="B467">
        <v>610000004153</v>
      </c>
      <c r="C467" t="s">
        <v>56</v>
      </c>
      <c r="D467">
        <v>26</v>
      </c>
      <c r="E467" t="s">
        <v>197</v>
      </c>
      <c r="F467" t="s">
        <v>12</v>
      </c>
      <c r="G467" t="s">
        <v>13</v>
      </c>
      <c r="H467" t="s">
        <v>14</v>
      </c>
      <c r="I467">
        <v>4903076</v>
      </c>
      <c r="J467" t="s">
        <v>22</v>
      </c>
      <c r="K467" s="1" t="str">
        <f>VLOOKUP(I467,'[1]PC50 Y2018 Status'!$D:$H,5,FALSE)</f>
        <v>TECO PCNF NMAT PRC  SETC</v>
      </c>
    </row>
    <row r="468" spans="2:11" x14ac:dyDescent="0.25">
      <c r="B468">
        <v>610000004175</v>
      </c>
      <c r="C468" t="s">
        <v>34</v>
      </c>
      <c r="D468">
        <v>103</v>
      </c>
      <c r="E468" t="s">
        <v>197</v>
      </c>
      <c r="F468" t="s">
        <v>12</v>
      </c>
      <c r="G468" t="s">
        <v>13</v>
      </c>
      <c r="H468" t="s">
        <v>14</v>
      </c>
      <c r="I468">
        <v>4902451</v>
      </c>
      <c r="J468" t="s">
        <v>22</v>
      </c>
      <c r="K468" s="1" t="str">
        <f>VLOOKUP(I468,'[1]PC50 Y2018 Status'!$D:$H,5,FALSE)</f>
        <v>TECO PCNF NMAT PRC  SETC</v>
      </c>
    </row>
    <row r="469" spans="2:11" x14ac:dyDescent="0.25">
      <c r="B469">
        <v>610000004066</v>
      </c>
      <c r="C469" t="s">
        <v>106</v>
      </c>
      <c r="D469">
        <v>10</v>
      </c>
      <c r="E469" t="s">
        <v>198</v>
      </c>
      <c r="F469" t="s">
        <v>12</v>
      </c>
      <c r="G469" t="s">
        <v>13</v>
      </c>
      <c r="H469" t="s">
        <v>14</v>
      </c>
      <c r="I469">
        <v>4899121</v>
      </c>
      <c r="J469" t="s">
        <v>15</v>
      </c>
      <c r="K469" s="1" t="str">
        <f>VLOOKUP(I469,'[1]PC50 Y2018 Status'!$D:$H,5,FALSE)</f>
        <v>TECO PCNF GMPS MANC PRC  SETC</v>
      </c>
    </row>
    <row r="470" spans="2:11" x14ac:dyDescent="0.25">
      <c r="B470">
        <v>610000004069</v>
      </c>
      <c r="C470" t="s">
        <v>35</v>
      </c>
      <c r="D470">
        <v>104</v>
      </c>
      <c r="E470" t="s">
        <v>198</v>
      </c>
      <c r="F470" t="s">
        <v>12</v>
      </c>
      <c r="G470" t="s">
        <v>13</v>
      </c>
      <c r="H470" t="s">
        <v>14</v>
      </c>
      <c r="I470">
        <v>4902437</v>
      </c>
      <c r="J470" t="s">
        <v>15</v>
      </c>
      <c r="K470" s="1" t="str">
        <f>VLOOKUP(I470,'[1]PC50 Y2018 Status'!$D:$H,5,FALSE)</f>
        <v>TECO PCNF NMAT PRC  SETC</v>
      </c>
    </row>
    <row r="471" spans="2:11" x14ac:dyDescent="0.25">
      <c r="B471">
        <v>610000004070</v>
      </c>
      <c r="C471" t="s">
        <v>35</v>
      </c>
      <c r="D471">
        <v>104</v>
      </c>
      <c r="E471" t="s">
        <v>198</v>
      </c>
      <c r="F471" t="s">
        <v>12</v>
      </c>
      <c r="G471" t="s">
        <v>13</v>
      </c>
      <c r="H471" t="s">
        <v>14</v>
      </c>
      <c r="I471">
        <v>4902445</v>
      </c>
      <c r="J471" t="s">
        <v>15</v>
      </c>
      <c r="K471" s="1" t="str">
        <f>VLOOKUP(I471,'[1]PC50 Y2018 Status'!$D:$H,5,FALSE)</f>
        <v>TECO PCNF NMAT PRC  SETC</v>
      </c>
    </row>
    <row r="472" spans="2:11" x14ac:dyDescent="0.25">
      <c r="B472">
        <v>610000004093</v>
      </c>
      <c r="C472" t="s">
        <v>199</v>
      </c>
      <c r="D472">
        <v>8</v>
      </c>
      <c r="E472" t="s">
        <v>198</v>
      </c>
      <c r="F472" t="s">
        <v>12</v>
      </c>
      <c r="G472" t="s">
        <v>13</v>
      </c>
      <c r="H472" t="s">
        <v>14</v>
      </c>
      <c r="I472">
        <v>4896668</v>
      </c>
      <c r="J472" t="s">
        <v>15</v>
      </c>
      <c r="K472" s="1" t="str">
        <f>VLOOKUP(I472,'[1]PC50 Y2018 Status'!$D:$H,5,FALSE)</f>
        <v>TECO PCNF NMAT PRC  SETC</v>
      </c>
    </row>
    <row r="473" spans="2:11" x14ac:dyDescent="0.25">
      <c r="B473">
        <v>610000004178</v>
      </c>
      <c r="C473" t="s">
        <v>59</v>
      </c>
      <c r="D473">
        <v>26</v>
      </c>
      <c r="E473" t="s">
        <v>198</v>
      </c>
      <c r="F473" t="s">
        <v>12</v>
      </c>
      <c r="G473" t="s">
        <v>13</v>
      </c>
      <c r="H473" t="s">
        <v>14</v>
      </c>
      <c r="I473">
        <v>4903109</v>
      </c>
      <c r="J473" t="s">
        <v>22</v>
      </c>
      <c r="K473" s="1" t="str">
        <f>VLOOKUP(I473,'[1]PC50 Y2018 Status'!$D:$H,5,FALSE)</f>
        <v>TECO PCNF NMAT PRC  SETC</v>
      </c>
    </row>
    <row r="474" spans="2:11" x14ac:dyDescent="0.25">
      <c r="B474">
        <v>610000004068</v>
      </c>
      <c r="C474" t="s">
        <v>24</v>
      </c>
      <c r="D474">
        <v>209</v>
      </c>
      <c r="E474" t="s">
        <v>200</v>
      </c>
      <c r="F474" t="s">
        <v>12</v>
      </c>
      <c r="G474" t="s">
        <v>13</v>
      </c>
      <c r="H474" t="s">
        <v>14</v>
      </c>
      <c r="I474">
        <v>4903926</v>
      </c>
      <c r="J474" t="s">
        <v>15</v>
      </c>
      <c r="K474" s="1" t="str">
        <f>VLOOKUP(I474,'[1]PC50 Y2018 Status'!$D:$H,5,FALSE)</f>
        <v>TECO PCNF NMAT PRC  SETC</v>
      </c>
    </row>
    <row r="475" spans="2:11" x14ac:dyDescent="0.25">
      <c r="B475">
        <v>610000004077</v>
      </c>
      <c r="C475" t="s">
        <v>39</v>
      </c>
      <c r="D475">
        <v>104</v>
      </c>
      <c r="E475" t="s">
        <v>200</v>
      </c>
      <c r="F475" t="s">
        <v>12</v>
      </c>
      <c r="G475" t="s">
        <v>13</v>
      </c>
      <c r="H475" t="s">
        <v>14</v>
      </c>
      <c r="I475">
        <v>4903092</v>
      </c>
      <c r="J475" t="s">
        <v>15</v>
      </c>
      <c r="K475" s="1" t="str">
        <f>VLOOKUP(I475,'[1]PC50 Y2018 Status'!$D:$H,5,FALSE)</f>
        <v>TECO PCNF NMAT PRC  SETC</v>
      </c>
    </row>
    <row r="476" spans="2:11" x14ac:dyDescent="0.25">
      <c r="B476">
        <v>610000004085</v>
      </c>
      <c r="C476" t="s">
        <v>18</v>
      </c>
      <c r="D476">
        <v>104</v>
      </c>
      <c r="E476" t="s">
        <v>200</v>
      </c>
      <c r="F476" t="s">
        <v>12</v>
      </c>
      <c r="G476" t="s">
        <v>13</v>
      </c>
      <c r="H476" t="s">
        <v>14</v>
      </c>
      <c r="I476">
        <v>4903071</v>
      </c>
      <c r="J476" t="s">
        <v>15</v>
      </c>
      <c r="K476" s="1" t="str">
        <f>VLOOKUP(I476,'[1]PC50 Y2018 Status'!$D:$H,5,FALSE)</f>
        <v>TECO PCNF NMAT PRC  SETC</v>
      </c>
    </row>
    <row r="477" spans="2:11" x14ac:dyDescent="0.25">
      <c r="B477">
        <v>610000004086</v>
      </c>
      <c r="C477" t="s">
        <v>18</v>
      </c>
      <c r="D477">
        <v>104</v>
      </c>
      <c r="E477" t="s">
        <v>200</v>
      </c>
      <c r="F477" t="s">
        <v>12</v>
      </c>
      <c r="G477" t="s">
        <v>13</v>
      </c>
      <c r="H477" t="s">
        <v>14</v>
      </c>
      <c r="I477">
        <v>4903110</v>
      </c>
      <c r="J477" t="s">
        <v>15</v>
      </c>
      <c r="K477" s="1" t="str">
        <f>VLOOKUP(I477,'[1]PC50 Y2018 Status'!$D:$H,5,FALSE)</f>
        <v>TECO PCNF NMAT PRC  SETC</v>
      </c>
    </row>
    <row r="478" spans="2:11" x14ac:dyDescent="0.25">
      <c r="B478">
        <v>610000004128</v>
      </c>
      <c r="C478" t="s">
        <v>61</v>
      </c>
      <c r="D478">
        <v>59</v>
      </c>
      <c r="E478" t="s">
        <v>200</v>
      </c>
      <c r="F478" t="s">
        <v>12</v>
      </c>
      <c r="G478" t="s">
        <v>13</v>
      </c>
      <c r="H478" t="s">
        <v>14</v>
      </c>
      <c r="I478">
        <v>4902426</v>
      </c>
      <c r="J478" t="s">
        <v>22</v>
      </c>
      <c r="K478" s="1" t="str">
        <f>VLOOKUP(I478,'[1]PC50 Y2018 Status'!$D:$H,5,FALSE)</f>
        <v>TECO PCNF NMAT PRC  SETC</v>
      </c>
    </row>
    <row r="479" spans="2:11" x14ac:dyDescent="0.25">
      <c r="B479">
        <v>610000004142</v>
      </c>
      <c r="C479" t="s">
        <v>55</v>
      </c>
      <c r="D479">
        <v>58</v>
      </c>
      <c r="E479" t="s">
        <v>200</v>
      </c>
      <c r="F479" t="s">
        <v>12</v>
      </c>
      <c r="G479" t="s">
        <v>13</v>
      </c>
      <c r="H479" t="s">
        <v>14</v>
      </c>
      <c r="I479">
        <v>4902466</v>
      </c>
      <c r="J479" t="s">
        <v>22</v>
      </c>
      <c r="K479" s="1" t="str">
        <f>VLOOKUP(I479,'[1]PC50 Y2018 Status'!$D:$H,5,FALSE)</f>
        <v>TECO PCNF NMAT PRC  SETC</v>
      </c>
    </row>
    <row r="480" spans="2:11" x14ac:dyDescent="0.25">
      <c r="B480">
        <v>610000004151</v>
      </c>
      <c r="C480" t="s">
        <v>62</v>
      </c>
      <c r="D480">
        <v>58</v>
      </c>
      <c r="E480" t="s">
        <v>200</v>
      </c>
      <c r="F480" t="s">
        <v>12</v>
      </c>
      <c r="G480" t="s">
        <v>13</v>
      </c>
      <c r="H480" t="s">
        <v>14</v>
      </c>
      <c r="I480">
        <v>4902459</v>
      </c>
      <c r="J480" t="s">
        <v>22</v>
      </c>
      <c r="K480" s="1" t="str">
        <f>VLOOKUP(I480,'[1]PC50 Y2018 Status'!$D:$H,5,FALSE)</f>
        <v>TECO PCNF NMAT PRC  SETC</v>
      </c>
    </row>
    <row r="481" spans="2:11" x14ac:dyDescent="0.25">
      <c r="B481">
        <v>610000004091</v>
      </c>
      <c r="C481" t="s">
        <v>47</v>
      </c>
      <c r="D481">
        <v>103</v>
      </c>
      <c r="E481" t="s">
        <v>201</v>
      </c>
      <c r="F481" t="s">
        <v>12</v>
      </c>
      <c r="G481" t="s">
        <v>13</v>
      </c>
      <c r="H481" t="s">
        <v>14</v>
      </c>
      <c r="I481">
        <v>4902958</v>
      </c>
      <c r="J481" t="s">
        <v>15</v>
      </c>
      <c r="K481" s="1" t="str">
        <f>VLOOKUP(I481,'[1]PC50 Y2018 Status'!$D:$H,5,FALSE)</f>
        <v>TECO PCNF NMAT PRC  SETC</v>
      </c>
    </row>
    <row r="482" spans="2:11" x14ac:dyDescent="0.25">
      <c r="B482">
        <v>610000004161</v>
      </c>
      <c r="C482" t="s">
        <v>48</v>
      </c>
      <c r="D482">
        <v>105</v>
      </c>
      <c r="E482" t="s">
        <v>201</v>
      </c>
      <c r="F482" t="s">
        <v>12</v>
      </c>
      <c r="G482" t="s">
        <v>13</v>
      </c>
      <c r="H482" t="s">
        <v>14</v>
      </c>
      <c r="I482">
        <v>4903061</v>
      </c>
      <c r="J482" t="s">
        <v>22</v>
      </c>
      <c r="K482" s="1" t="str">
        <f>VLOOKUP(I482,'[1]PC50 Y2018 Status'!$D:$H,5,FALSE)</f>
        <v>TECO PCNF NMAT PRC  SETC</v>
      </c>
    </row>
    <row r="483" spans="2:11" x14ac:dyDescent="0.25">
      <c r="B483">
        <v>342257</v>
      </c>
      <c r="C483" t="s">
        <v>25</v>
      </c>
      <c r="D483">
        <v>174</v>
      </c>
      <c r="E483" t="s">
        <v>202</v>
      </c>
      <c r="F483" t="s">
        <v>12</v>
      </c>
      <c r="G483" t="s">
        <v>13</v>
      </c>
      <c r="H483" t="s">
        <v>14</v>
      </c>
      <c r="I483">
        <v>4903932</v>
      </c>
      <c r="J483" t="s">
        <v>15</v>
      </c>
      <c r="K483" s="1" t="str">
        <f>VLOOKUP(I483,'[1]PC50 Y2018 Status'!$D:$H,5,FALSE)</f>
        <v>TECO PCNF NMAT PRC  SETC</v>
      </c>
    </row>
    <row r="484" spans="2:11" x14ac:dyDescent="0.25">
      <c r="B484">
        <v>342279</v>
      </c>
      <c r="C484" t="s">
        <v>64</v>
      </c>
      <c r="D484">
        <v>40</v>
      </c>
      <c r="E484" t="s">
        <v>202</v>
      </c>
      <c r="F484" t="s">
        <v>12</v>
      </c>
      <c r="G484" t="s">
        <v>13</v>
      </c>
      <c r="H484" t="s">
        <v>14</v>
      </c>
      <c r="I484">
        <v>4903114</v>
      </c>
      <c r="J484" t="s">
        <v>15</v>
      </c>
      <c r="K484" s="1" t="str">
        <f>VLOOKUP(I484,'[1]PC50 Y2018 Status'!$D:$H,5,FALSE)</f>
        <v>TECO PCNF NMAT PRC  SETC</v>
      </c>
    </row>
    <row r="485" spans="2:11" x14ac:dyDescent="0.25">
      <c r="B485">
        <v>347637</v>
      </c>
      <c r="C485" t="s">
        <v>27</v>
      </c>
      <c r="D485">
        <v>32</v>
      </c>
      <c r="E485" t="s">
        <v>202</v>
      </c>
      <c r="F485" t="s">
        <v>12</v>
      </c>
      <c r="G485" t="s">
        <v>13</v>
      </c>
      <c r="H485" t="s">
        <v>14</v>
      </c>
      <c r="I485">
        <v>4904728</v>
      </c>
      <c r="J485" t="s">
        <v>15</v>
      </c>
      <c r="K485" s="1" t="str">
        <f>VLOOKUP(I485,'[1]PC50 Y2018 Status'!$D:$H,5,FALSE)</f>
        <v>TECO PCNF NMAT PRC  SETC</v>
      </c>
    </row>
    <row r="486" spans="2:11" x14ac:dyDescent="0.25">
      <c r="B486">
        <v>610000004032</v>
      </c>
      <c r="C486" t="s">
        <v>32</v>
      </c>
      <c r="D486">
        <v>56</v>
      </c>
      <c r="E486" t="s">
        <v>202</v>
      </c>
      <c r="F486" t="s">
        <v>12</v>
      </c>
      <c r="G486" t="s">
        <v>13</v>
      </c>
      <c r="H486" t="s">
        <v>14</v>
      </c>
      <c r="I486">
        <v>4903066</v>
      </c>
      <c r="J486" t="s">
        <v>15</v>
      </c>
      <c r="K486" s="1" t="str">
        <f>VLOOKUP(I486,'[1]PC50 Y2018 Status'!$D:$H,5,FALSE)</f>
        <v>TECO PCNF NMAT PRC  SETC</v>
      </c>
    </row>
    <row r="487" spans="2:11" x14ac:dyDescent="0.25">
      <c r="B487">
        <v>342694</v>
      </c>
      <c r="C487" t="s">
        <v>32</v>
      </c>
      <c r="D487">
        <v>33</v>
      </c>
      <c r="E487" t="s">
        <v>203</v>
      </c>
      <c r="F487" t="s">
        <v>12</v>
      </c>
      <c r="G487" t="s">
        <v>13</v>
      </c>
      <c r="H487" t="s">
        <v>14</v>
      </c>
      <c r="I487">
        <v>4903125</v>
      </c>
      <c r="J487" t="s">
        <v>15</v>
      </c>
      <c r="K487" s="1" t="str">
        <f>VLOOKUP(I487,'[1]PC50 Y2018 Status'!$D:$H,5,FALSE)</f>
        <v>TECO PCNF NMAT PRC  SETC</v>
      </c>
    </row>
    <row r="488" spans="2:11" x14ac:dyDescent="0.25">
      <c r="B488">
        <v>347716</v>
      </c>
      <c r="C488" t="s">
        <v>28</v>
      </c>
      <c r="D488">
        <v>7</v>
      </c>
      <c r="E488" t="s">
        <v>203</v>
      </c>
      <c r="F488" t="s">
        <v>12</v>
      </c>
      <c r="G488" t="s">
        <v>13</v>
      </c>
      <c r="H488" t="s">
        <v>14</v>
      </c>
      <c r="I488">
        <v>4903131</v>
      </c>
      <c r="J488" t="s">
        <v>22</v>
      </c>
      <c r="K488" s="1" t="str">
        <f>VLOOKUP(I488,'[1]PC50 Y2018 Status'!$D:$H,5,FALSE)</f>
        <v>TECO PCNF NMAT PRC  SETC</v>
      </c>
    </row>
    <row r="489" spans="2:11" x14ac:dyDescent="0.25">
      <c r="B489">
        <v>347741</v>
      </c>
      <c r="C489" t="s">
        <v>28</v>
      </c>
      <c r="D489">
        <v>7</v>
      </c>
      <c r="E489" t="s">
        <v>203</v>
      </c>
      <c r="F489" t="s">
        <v>12</v>
      </c>
      <c r="G489" t="s">
        <v>13</v>
      </c>
      <c r="H489" t="s">
        <v>14</v>
      </c>
      <c r="I489">
        <v>4903133</v>
      </c>
      <c r="J489" t="s">
        <v>22</v>
      </c>
      <c r="K489" s="1" t="str">
        <f>VLOOKUP(I489,'[1]PC50 Y2018 Status'!$D:$H,5,FALSE)</f>
        <v>TECO PCNF NMAT PRC  SETC</v>
      </c>
    </row>
    <row r="490" spans="2:11" x14ac:dyDescent="0.25">
      <c r="B490">
        <v>610000004022</v>
      </c>
      <c r="C490" t="s">
        <v>10</v>
      </c>
      <c r="D490">
        <v>47</v>
      </c>
      <c r="E490" t="s">
        <v>203</v>
      </c>
      <c r="F490" t="s">
        <v>12</v>
      </c>
      <c r="G490" t="s">
        <v>13</v>
      </c>
      <c r="H490" t="s">
        <v>14</v>
      </c>
      <c r="I490">
        <v>4903102</v>
      </c>
      <c r="J490" t="s">
        <v>15</v>
      </c>
      <c r="K490" s="1" t="str">
        <f>VLOOKUP(I490,'[1]PC50 Y2018 Status'!$D:$H,5,FALSE)</f>
        <v>TECO PCNF NMAT PRC  SETC</v>
      </c>
    </row>
    <row r="491" spans="2:11" x14ac:dyDescent="0.25">
      <c r="B491">
        <v>610000004027</v>
      </c>
      <c r="C491" t="s">
        <v>44</v>
      </c>
      <c r="D491">
        <v>49</v>
      </c>
      <c r="E491" t="s">
        <v>203</v>
      </c>
      <c r="F491" t="s">
        <v>12</v>
      </c>
      <c r="G491" t="s">
        <v>13</v>
      </c>
      <c r="H491" t="s">
        <v>14</v>
      </c>
      <c r="I491">
        <v>4903112</v>
      </c>
      <c r="J491" t="s">
        <v>15</v>
      </c>
      <c r="K491" s="1" t="str">
        <f>VLOOKUP(I491,'[1]PC50 Y2018 Status'!$D:$H,5,FALSE)</f>
        <v>TECO PCNF NMAT PRC  SETC</v>
      </c>
    </row>
    <row r="492" spans="2:11" x14ac:dyDescent="0.25">
      <c r="B492">
        <v>610000004033</v>
      </c>
      <c r="C492" t="s">
        <v>32</v>
      </c>
      <c r="D492">
        <v>46</v>
      </c>
      <c r="E492" t="s">
        <v>203</v>
      </c>
      <c r="F492" t="s">
        <v>12</v>
      </c>
      <c r="G492" t="s">
        <v>13</v>
      </c>
      <c r="H492" t="s">
        <v>14</v>
      </c>
      <c r="I492">
        <v>4903103</v>
      </c>
      <c r="J492" t="s">
        <v>15</v>
      </c>
      <c r="K492" s="1" t="str">
        <f>VLOOKUP(I492,'[1]PC50 Y2018 Status'!$D:$H,5,FALSE)</f>
        <v>TECO PCNF NMAT PRC  SETC</v>
      </c>
    </row>
    <row r="493" spans="2:11" x14ac:dyDescent="0.25">
      <c r="B493">
        <v>610000004050</v>
      </c>
      <c r="C493" t="s">
        <v>17</v>
      </c>
      <c r="D493">
        <v>104</v>
      </c>
      <c r="E493" t="s">
        <v>203</v>
      </c>
      <c r="F493" t="s">
        <v>12</v>
      </c>
      <c r="G493" t="s">
        <v>13</v>
      </c>
      <c r="H493" t="s">
        <v>14</v>
      </c>
      <c r="I493">
        <v>4903082</v>
      </c>
      <c r="J493" t="s">
        <v>15</v>
      </c>
      <c r="K493" s="1" t="str">
        <f>VLOOKUP(I493,'[1]PC50 Y2018 Status'!$D:$H,5,FALSE)</f>
        <v>TECO PCNF NMAT PRC  SETC</v>
      </c>
    </row>
    <row r="494" spans="2:11" x14ac:dyDescent="0.25">
      <c r="B494">
        <v>610000004053</v>
      </c>
      <c r="C494" t="s">
        <v>46</v>
      </c>
      <c r="D494">
        <v>48</v>
      </c>
      <c r="E494" t="s">
        <v>203</v>
      </c>
      <c r="F494" t="s">
        <v>12</v>
      </c>
      <c r="G494" t="s">
        <v>13</v>
      </c>
      <c r="H494" t="s">
        <v>14</v>
      </c>
      <c r="I494">
        <v>4903121</v>
      </c>
      <c r="J494" t="s">
        <v>15</v>
      </c>
      <c r="K494" s="1" t="str">
        <f>VLOOKUP(I494,'[1]PC50 Y2018 Status'!$D:$H,5,FALSE)</f>
        <v>TECO PCNF NMAT PRC  SETC</v>
      </c>
    </row>
    <row r="495" spans="2:11" x14ac:dyDescent="0.25">
      <c r="B495">
        <v>610000004054</v>
      </c>
      <c r="C495" t="s">
        <v>46</v>
      </c>
      <c r="D495">
        <v>48</v>
      </c>
      <c r="E495" t="s">
        <v>203</v>
      </c>
      <c r="F495" t="s">
        <v>12</v>
      </c>
      <c r="G495" t="s">
        <v>13</v>
      </c>
      <c r="H495" t="s">
        <v>14</v>
      </c>
      <c r="I495">
        <v>4903070</v>
      </c>
      <c r="J495" t="s">
        <v>15</v>
      </c>
      <c r="K495" s="1" t="str">
        <f>VLOOKUP(I495,'[1]PC50 Y2018 Status'!$D:$H,5,FALSE)</f>
        <v>TECO PCNF NMAT PRC  SETC</v>
      </c>
    </row>
    <row r="496" spans="2:11" x14ac:dyDescent="0.25">
      <c r="B496">
        <v>610000004079</v>
      </c>
      <c r="C496" t="s">
        <v>71</v>
      </c>
      <c r="D496">
        <v>47</v>
      </c>
      <c r="E496" t="s">
        <v>203</v>
      </c>
      <c r="F496" t="s">
        <v>12</v>
      </c>
      <c r="G496" t="s">
        <v>13</v>
      </c>
      <c r="H496" t="s">
        <v>14</v>
      </c>
      <c r="I496">
        <v>4903060</v>
      </c>
      <c r="J496" t="s">
        <v>15</v>
      </c>
      <c r="K496" s="1" t="str">
        <f>VLOOKUP(I496,'[1]PC50 Y2018 Status'!$D:$H,5,FALSE)</f>
        <v>TECO PCNF NMAT PRC  SETC</v>
      </c>
    </row>
    <row r="497" spans="2:11" x14ac:dyDescent="0.25">
      <c r="B497">
        <v>610000004080</v>
      </c>
      <c r="C497" t="s">
        <v>71</v>
      </c>
      <c r="D497">
        <v>48</v>
      </c>
      <c r="E497" t="s">
        <v>203</v>
      </c>
      <c r="F497" t="s">
        <v>12</v>
      </c>
      <c r="G497" t="s">
        <v>13</v>
      </c>
      <c r="H497" t="s">
        <v>14</v>
      </c>
      <c r="I497">
        <v>4903122</v>
      </c>
      <c r="J497" t="s">
        <v>15</v>
      </c>
      <c r="K497" s="1" t="str">
        <f>VLOOKUP(I497,'[1]PC50 Y2018 Status'!$D:$H,5,FALSE)</f>
        <v>TECO PCNF NMAT PRC  SETC</v>
      </c>
    </row>
    <row r="498" spans="2:11" x14ac:dyDescent="0.25">
      <c r="B498">
        <v>610000004087</v>
      </c>
      <c r="C498" t="s">
        <v>72</v>
      </c>
      <c r="D498">
        <v>46</v>
      </c>
      <c r="E498" t="s">
        <v>203</v>
      </c>
      <c r="F498" t="s">
        <v>12</v>
      </c>
      <c r="G498" t="s">
        <v>13</v>
      </c>
      <c r="H498" t="s">
        <v>14</v>
      </c>
      <c r="I498">
        <v>4903096</v>
      </c>
      <c r="J498" t="s">
        <v>15</v>
      </c>
      <c r="K498" s="1" t="str">
        <f>VLOOKUP(I498,'[1]PC50 Y2018 Status'!$D:$H,5,FALSE)</f>
        <v>TECO PCNF NMAT PRC  SETC</v>
      </c>
    </row>
    <row r="499" spans="2:11" x14ac:dyDescent="0.25">
      <c r="B499">
        <v>610000004088</v>
      </c>
      <c r="C499" t="s">
        <v>72</v>
      </c>
      <c r="D499">
        <v>46</v>
      </c>
      <c r="E499" t="s">
        <v>203</v>
      </c>
      <c r="F499" t="s">
        <v>12</v>
      </c>
      <c r="G499" t="s">
        <v>13</v>
      </c>
      <c r="H499" t="s">
        <v>14</v>
      </c>
      <c r="I499">
        <v>4903085</v>
      </c>
      <c r="J499" t="s">
        <v>15</v>
      </c>
      <c r="K499" s="1" t="str">
        <f>VLOOKUP(I499,'[1]PC50 Y2018 Status'!$D:$H,5,FALSE)</f>
        <v>TECO PCNF NMAT PRC  SETC</v>
      </c>
    </row>
    <row r="500" spans="2:11" x14ac:dyDescent="0.25">
      <c r="B500">
        <v>610000004092</v>
      </c>
      <c r="C500" t="s">
        <v>73</v>
      </c>
      <c r="D500">
        <v>46</v>
      </c>
      <c r="E500" t="s">
        <v>203</v>
      </c>
      <c r="F500" t="s">
        <v>12</v>
      </c>
      <c r="G500" t="s">
        <v>13</v>
      </c>
      <c r="H500" t="s">
        <v>14</v>
      </c>
      <c r="I500">
        <v>4903123</v>
      </c>
      <c r="J500" t="s">
        <v>15</v>
      </c>
      <c r="K500" s="1" t="str">
        <f>VLOOKUP(I500,'[1]PC50 Y2018 Status'!$D:$H,5,FALSE)</f>
        <v>TECO PCNF NMAT PRC  SETC</v>
      </c>
    </row>
    <row r="501" spans="2:11" x14ac:dyDescent="0.25">
      <c r="B501">
        <v>610000004102</v>
      </c>
      <c r="C501" t="s">
        <v>67</v>
      </c>
      <c r="D501">
        <v>49</v>
      </c>
      <c r="E501" t="s">
        <v>203</v>
      </c>
      <c r="F501" t="s">
        <v>12</v>
      </c>
      <c r="G501" t="s">
        <v>13</v>
      </c>
      <c r="H501" t="s">
        <v>14</v>
      </c>
      <c r="I501">
        <v>4903111</v>
      </c>
      <c r="J501" t="s">
        <v>22</v>
      </c>
      <c r="K501" s="1" t="str">
        <f>VLOOKUP(I501,'[1]PC50 Y2018 Status'!$D:$H,5,FALSE)</f>
        <v>TECO PCNF NMAT PRC  SETC</v>
      </c>
    </row>
    <row r="502" spans="2:11" x14ac:dyDescent="0.25">
      <c r="B502">
        <v>610000004129</v>
      </c>
      <c r="C502" t="s">
        <v>68</v>
      </c>
      <c r="D502">
        <v>49</v>
      </c>
      <c r="E502" t="s">
        <v>203</v>
      </c>
      <c r="F502" t="s">
        <v>12</v>
      </c>
      <c r="G502" t="s">
        <v>13</v>
      </c>
      <c r="H502" t="s">
        <v>14</v>
      </c>
      <c r="I502">
        <v>4903124</v>
      </c>
      <c r="J502" t="s">
        <v>22</v>
      </c>
      <c r="K502" s="1" t="str">
        <f>VLOOKUP(I502,'[1]PC50 Y2018 Status'!$D:$H,5,FALSE)</f>
        <v>TECO PCNF NMAT PRC  SETC</v>
      </c>
    </row>
    <row r="503" spans="2:11" x14ac:dyDescent="0.25">
      <c r="B503">
        <v>610000004177</v>
      </c>
      <c r="C503" t="s">
        <v>37</v>
      </c>
      <c r="D503">
        <v>50</v>
      </c>
      <c r="E503" t="s">
        <v>203</v>
      </c>
      <c r="F503" t="s">
        <v>12</v>
      </c>
      <c r="G503" t="s">
        <v>13</v>
      </c>
      <c r="H503" t="s">
        <v>14</v>
      </c>
      <c r="I503">
        <v>4903077</v>
      </c>
      <c r="J503" t="s">
        <v>22</v>
      </c>
      <c r="K503" s="1" t="str">
        <f>VLOOKUP(I503,'[1]PC50 Y2018 Status'!$D:$H,5,FALSE)</f>
        <v>TECO PCNF NMAT PRC  SETC</v>
      </c>
    </row>
    <row r="504" spans="2:11" x14ac:dyDescent="0.25">
      <c r="B504">
        <v>342254</v>
      </c>
      <c r="C504" t="s">
        <v>125</v>
      </c>
      <c r="D504">
        <v>4</v>
      </c>
      <c r="E504" t="s">
        <v>204</v>
      </c>
      <c r="F504" t="s">
        <v>12</v>
      </c>
      <c r="G504" t="s">
        <v>13</v>
      </c>
      <c r="H504" t="s">
        <v>14</v>
      </c>
      <c r="I504">
        <v>4894072</v>
      </c>
      <c r="J504" t="s">
        <v>15</v>
      </c>
      <c r="K504" s="1" t="str">
        <f>VLOOKUP(I504,'[1]PC50 Y2018 Status'!$D:$H,5,FALSE)</f>
        <v>TECO PCNF NMAT PRC  SETC</v>
      </c>
    </row>
    <row r="505" spans="2:11" x14ac:dyDescent="0.25">
      <c r="B505">
        <v>610000004031</v>
      </c>
      <c r="C505" t="s">
        <v>16</v>
      </c>
      <c r="D505">
        <v>103</v>
      </c>
      <c r="E505" t="s">
        <v>204</v>
      </c>
      <c r="F505" t="s">
        <v>12</v>
      </c>
      <c r="G505" t="s">
        <v>13</v>
      </c>
      <c r="H505" t="s">
        <v>14</v>
      </c>
      <c r="I505">
        <v>4903962</v>
      </c>
      <c r="J505" t="s">
        <v>15</v>
      </c>
      <c r="K505" s="1" t="str">
        <f>VLOOKUP(I505,'[1]PC50 Y2018 Status'!$D:$H,5,FALSE)</f>
        <v>TECO PCNF NMAT PRC  SETC</v>
      </c>
    </row>
    <row r="506" spans="2:11" x14ac:dyDescent="0.25">
      <c r="B506">
        <v>610000004051</v>
      </c>
      <c r="C506" t="s">
        <v>17</v>
      </c>
      <c r="D506">
        <v>104</v>
      </c>
      <c r="E506" t="s">
        <v>204</v>
      </c>
      <c r="F506" t="s">
        <v>12</v>
      </c>
      <c r="G506" t="s">
        <v>13</v>
      </c>
      <c r="H506" t="s">
        <v>14</v>
      </c>
      <c r="I506">
        <v>4903925</v>
      </c>
      <c r="J506" t="s">
        <v>15</v>
      </c>
      <c r="K506" s="1" t="str">
        <f>VLOOKUP(I506,'[1]PC50 Y2018 Status'!$D:$H,5,FALSE)</f>
        <v>TECO PCNF NMAT PRC  SETC</v>
      </c>
    </row>
    <row r="507" spans="2:11" x14ac:dyDescent="0.25">
      <c r="B507">
        <v>342258</v>
      </c>
      <c r="C507" t="s">
        <v>18</v>
      </c>
      <c r="D507">
        <v>87</v>
      </c>
      <c r="E507" t="s">
        <v>205</v>
      </c>
      <c r="F507" t="s">
        <v>12</v>
      </c>
      <c r="G507" t="s">
        <v>13</v>
      </c>
      <c r="H507" t="s">
        <v>14</v>
      </c>
      <c r="I507">
        <v>4903935</v>
      </c>
      <c r="J507" t="s">
        <v>15</v>
      </c>
      <c r="K507" s="1" t="str">
        <f>VLOOKUP(I507,'[1]PC50 Y2018 Status'!$D:$H,5,FALSE)</f>
        <v>TECO PCNF NMAT PRC  SETC</v>
      </c>
    </row>
    <row r="508" spans="2:11" x14ac:dyDescent="0.25">
      <c r="B508">
        <v>347678</v>
      </c>
      <c r="C508" t="s">
        <v>28</v>
      </c>
      <c r="D508">
        <v>8</v>
      </c>
      <c r="E508" t="s">
        <v>205</v>
      </c>
      <c r="F508" t="s">
        <v>12</v>
      </c>
      <c r="G508" t="s">
        <v>13</v>
      </c>
      <c r="H508" t="s">
        <v>14</v>
      </c>
      <c r="I508">
        <v>4903984</v>
      </c>
      <c r="J508" t="s">
        <v>22</v>
      </c>
      <c r="K508" s="1" t="str">
        <f>VLOOKUP(I508,'[1]PC50 Y2018 Status'!$D:$H,5,FALSE)</f>
        <v>TECO PCNF NMAT PRC  SETC</v>
      </c>
    </row>
    <row r="509" spans="2:11" x14ac:dyDescent="0.25">
      <c r="B509">
        <v>347679</v>
      </c>
      <c r="C509" t="s">
        <v>78</v>
      </c>
      <c r="D509">
        <v>4</v>
      </c>
      <c r="E509" t="s">
        <v>205</v>
      </c>
      <c r="F509" t="s">
        <v>12</v>
      </c>
      <c r="G509" t="s">
        <v>13</v>
      </c>
      <c r="H509" t="s">
        <v>14</v>
      </c>
      <c r="I509">
        <v>4901620</v>
      </c>
      <c r="J509" t="s">
        <v>22</v>
      </c>
      <c r="K509" s="1" t="str">
        <f>VLOOKUP(I509,'[1]PC50 Y2018 Status'!$D:$H,5,FALSE)</f>
        <v>TECO PCNF NMAT PRC  SETC</v>
      </c>
    </row>
    <row r="510" spans="2:11" x14ac:dyDescent="0.25">
      <c r="B510">
        <v>610000004162</v>
      </c>
      <c r="C510" t="s">
        <v>43</v>
      </c>
      <c r="D510">
        <v>49</v>
      </c>
      <c r="E510" t="s">
        <v>205</v>
      </c>
      <c r="F510" t="s">
        <v>12</v>
      </c>
      <c r="G510" t="s">
        <v>13</v>
      </c>
      <c r="H510" t="s">
        <v>14</v>
      </c>
      <c r="I510">
        <v>4903939</v>
      </c>
      <c r="J510" t="s">
        <v>22</v>
      </c>
      <c r="K510" s="1" t="str">
        <f>VLOOKUP(I510,'[1]PC50 Y2018 Status'!$D:$H,5,FALSE)</f>
        <v>TECO PCNF NMAT PRC  SETC</v>
      </c>
    </row>
    <row r="511" spans="2:11" x14ac:dyDescent="0.25">
      <c r="B511">
        <v>610000004170</v>
      </c>
      <c r="C511" t="s">
        <v>115</v>
      </c>
      <c r="D511">
        <v>15</v>
      </c>
      <c r="E511" t="s">
        <v>205</v>
      </c>
      <c r="F511" t="s">
        <v>12</v>
      </c>
      <c r="G511" t="s">
        <v>13</v>
      </c>
      <c r="H511" t="s">
        <v>14</v>
      </c>
      <c r="I511">
        <v>4903960</v>
      </c>
      <c r="J511" t="s">
        <v>22</v>
      </c>
      <c r="K511" s="1" t="str">
        <f>VLOOKUP(I511,'[1]PC50 Y2018 Status'!$D:$H,5,FALSE)</f>
        <v>TECO PCNF NMAT PRC  SETC</v>
      </c>
    </row>
    <row r="512" spans="2:11" x14ac:dyDescent="0.25">
      <c r="B512">
        <v>610000004021</v>
      </c>
      <c r="C512" t="s">
        <v>10</v>
      </c>
      <c r="D512">
        <v>103</v>
      </c>
      <c r="E512" t="s">
        <v>206</v>
      </c>
      <c r="F512" t="s">
        <v>12</v>
      </c>
      <c r="G512" t="s">
        <v>13</v>
      </c>
      <c r="H512" t="s">
        <v>14</v>
      </c>
      <c r="I512">
        <v>4903927</v>
      </c>
      <c r="J512" t="s">
        <v>15</v>
      </c>
      <c r="K512" s="1" t="str">
        <f>VLOOKUP(I512,'[1]PC50 Y2018 Status'!$D:$H,5,FALSE)</f>
        <v>TECO PCNF NMAT PRC  SETC</v>
      </c>
    </row>
    <row r="513" spans="2:11" x14ac:dyDescent="0.25">
      <c r="B513">
        <v>610000004068</v>
      </c>
      <c r="C513" t="s">
        <v>24</v>
      </c>
      <c r="D513">
        <v>210</v>
      </c>
      <c r="E513" t="s">
        <v>206</v>
      </c>
      <c r="F513" t="s">
        <v>12</v>
      </c>
      <c r="G513" t="s">
        <v>13</v>
      </c>
      <c r="H513" t="s">
        <v>14</v>
      </c>
      <c r="I513">
        <v>4905617</v>
      </c>
      <c r="J513" t="s">
        <v>15</v>
      </c>
      <c r="K513" s="1" t="str">
        <f>VLOOKUP(I513,'[1]PC50 Y2018 Status'!$D:$H,5,FALSE)</f>
        <v>TECO PCNF NMAT PRC  SETC</v>
      </c>
    </row>
    <row r="514" spans="2:11" x14ac:dyDescent="0.25">
      <c r="B514">
        <v>342337</v>
      </c>
      <c r="C514" t="s">
        <v>207</v>
      </c>
      <c r="D514">
        <v>5</v>
      </c>
      <c r="E514" t="s">
        <v>208</v>
      </c>
      <c r="F514" t="s">
        <v>12</v>
      </c>
      <c r="G514" t="s">
        <v>13</v>
      </c>
      <c r="H514" t="s">
        <v>14</v>
      </c>
      <c r="I514">
        <v>4899112</v>
      </c>
      <c r="J514" t="s">
        <v>15</v>
      </c>
      <c r="K514" s="1" t="str">
        <f>VLOOKUP(I514,'[1]PC50 Y2018 Status'!$D:$H,5,FALSE)</f>
        <v>TECO PCNF GMPS MANC PRC  SETC</v>
      </c>
    </row>
    <row r="515" spans="2:11" x14ac:dyDescent="0.25">
      <c r="B515">
        <v>342586</v>
      </c>
      <c r="C515" t="s">
        <v>82</v>
      </c>
      <c r="D515">
        <v>36</v>
      </c>
      <c r="E515" t="s">
        <v>208</v>
      </c>
      <c r="F515" t="s">
        <v>12</v>
      </c>
      <c r="G515" t="s">
        <v>13</v>
      </c>
      <c r="H515" t="s">
        <v>14</v>
      </c>
      <c r="I515">
        <v>4904721</v>
      </c>
      <c r="J515" t="s">
        <v>22</v>
      </c>
      <c r="K515" s="1" t="str">
        <f>VLOOKUP(I515,'[1]PC50 Y2018 Status'!$D:$H,5,FALSE)</f>
        <v>TECO PCNF NMAT PRC  SETC</v>
      </c>
    </row>
    <row r="516" spans="2:11" x14ac:dyDescent="0.25">
      <c r="B516">
        <v>342257</v>
      </c>
      <c r="C516" t="s">
        <v>25</v>
      </c>
      <c r="D516">
        <v>175</v>
      </c>
      <c r="E516" t="s">
        <v>209</v>
      </c>
      <c r="F516" t="s">
        <v>12</v>
      </c>
      <c r="G516" t="s">
        <v>13</v>
      </c>
      <c r="H516" t="s">
        <v>14</v>
      </c>
      <c r="I516">
        <v>4905672</v>
      </c>
      <c r="J516" t="s">
        <v>15</v>
      </c>
      <c r="K516" s="1" t="str">
        <f>VLOOKUP(I516,'[1]PC50 Y2018 Status'!$D:$H,5,FALSE)</f>
        <v>TECO PCNF NMAT PRC  SETC</v>
      </c>
    </row>
    <row r="517" spans="2:11" x14ac:dyDescent="0.25">
      <c r="B517">
        <v>347637</v>
      </c>
      <c r="C517" t="s">
        <v>27</v>
      </c>
      <c r="D517">
        <v>33</v>
      </c>
      <c r="E517" t="s">
        <v>209</v>
      </c>
      <c r="F517" t="s">
        <v>12</v>
      </c>
      <c r="G517" t="s">
        <v>13</v>
      </c>
      <c r="H517" t="s">
        <v>14</v>
      </c>
      <c r="I517">
        <v>4906582</v>
      </c>
      <c r="J517" t="s">
        <v>15</v>
      </c>
      <c r="K517" s="1" t="str">
        <f>VLOOKUP(I517,'[1]PC50 Y2018 Status'!$D:$H,5,FALSE)</f>
        <v>TECO PCNF NMAT PRC  SETC</v>
      </c>
    </row>
    <row r="518" spans="2:11" x14ac:dyDescent="0.25">
      <c r="B518">
        <v>347638</v>
      </c>
      <c r="C518" t="s">
        <v>16</v>
      </c>
      <c r="D518">
        <v>17</v>
      </c>
      <c r="E518" t="s">
        <v>209</v>
      </c>
      <c r="F518" t="s">
        <v>12</v>
      </c>
      <c r="G518" t="s">
        <v>13</v>
      </c>
      <c r="H518" t="s">
        <v>14</v>
      </c>
      <c r="I518">
        <v>4904734</v>
      </c>
      <c r="J518" t="s">
        <v>15</v>
      </c>
      <c r="K518" s="1" t="str">
        <f>VLOOKUP(I518,'[1]PC50 Y2018 Status'!$D:$H,5,FALSE)</f>
        <v>TECO PCNF NMAT PRC  SETC</v>
      </c>
    </row>
    <row r="519" spans="2:11" x14ac:dyDescent="0.25">
      <c r="B519">
        <v>350834</v>
      </c>
      <c r="C519" t="s">
        <v>64</v>
      </c>
      <c r="D519">
        <v>1</v>
      </c>
      <c r="E519" t="s">
        <v>209</v>
      </c>
      <c r="F519" t="s">
        <v>122</v>
      </c>
      <c r="G519" t="s">
        <v>13</v>
      </c>
      <c r="H519" t="s">
        <v>14</v>
      </c>
      <c r="I519">
        <v>4904741</v>
      </c>
      <c r="J519" t="s">
        <v>15</v>
      </c>
      <c r="K519" s="1" t="str">
        <f>VLOOKUP(I519,'[1]PC50 Y2018 Status'!$D:$H,5,FALSE)</f>
        <v>TECO PCNF NMAT PRC  SETC</v>
      </c>
    </row>
    <row r="520" spans="2:11" x14ac:dyDescent="0.25">
      <c r="B520">
        <v>610000004152</v>
      </c>
      <c r="C520" t="s">
        <v>82</v>
      </c>
      <c r="D520">
        <v>49</v>
      </c>
      <c r="E520" t="s">
        <v>209</v>
      </c>
      <c r="F520" t="s">
        <v>12</v>
      </c>
      <c r="G520" t="s">
        <v>13</v>
      </c>
      <c r="H520" t="s">
        <v>14</v>
      </c>
      <c r="I520">
        <v>4904683</v>
      </c>
      <c r="J520" t="s">
        <v>22</v>
      </c>
      <c r="K520" s="1" t="str">
        <f>VLOOKUP(I520,'[1]PC50 Y2018 Status'!$D:$H,5,FALSE)</f>
        <v>TECO PCNF NMAT PRC  SETC</v>
      </c>
    </row>
    <row r="521" spans="2:11" x14ac:dyDescent="0.25">
      <c r="B521">
        <v>342588</v>
      </c>
      <c r="C521" t="s">
        <v>82</v>
      </c>
      <c r="D521">
        <v>37</v>
      </c>
      <c r="E521" t="s">
        <v>210</v>
      </c>
      <c r="F521" t="s">
        <v>12</v>
      </c>
      <c r="G521" t="s">
        <v>13</v>
      </c>
      <c r="H521" t="s">
        <v>14</v>
      </c>
      <c r="I521">
        <v>4905753</v>
      </c>
      <c r="J521" t="s">
        <v>22</v>
      </c>
      <c r="K521" s="1" t="str">
        <f>VLOOKUP(I521,'[1]PC50 Y2018 Status'!$D:$H,5,FALSE)</f>
        <v>TECO PCNF NMAT PRC  SETC</v>
      </c>
    </row>
    <row r="522" spans="2:11" x14ac:dyDescent="0.25">
      <c r="B522">
        <v>610000004175</v>
      </c>
      <c r="C522" t="s">
        <v>34</v>
      </c>
      <c r="D522">
        <v>104</v>
      </c>
      <c r="E522" t="s">
        <v>210</v>
      </c>
      <c r="F522" t="s">
        <v>12</v>
      </c>
      <c r="G522" t="s">
        <v>13</v>
      </c>
      <c r="H522" t="s">
        <v>14</v>
      </c>
      <c r="I522">
        <v>4905705</v>
      </c>
      <c r="J522" t="s">
        <v>22</v>
      </c>
      <c r="K522" s="1" t="str">
        <f>VLOOKUP(I522,'[1]PC50 Y2018 Status'!$D:$H,5,FALSE)</f>
        <v>TECO PCNF NMAT PRC  SETC</v>
      </c>
    </row>
    <row r="523" spans="2:11" x14ac:dyDescent="0.25">
      <c r="B523">
        <v>610000004069</v>
      </c>
      <c r="C523" t="s">
        <v>35</v>
      </c>
      <c r="D523">
        <v>105</v>
      </c>
      <c r="E523" t="s">
        <v>211</v>
      </c>
      <c r="F523" t="s">
        <v>12</v>
      </c>
      <c r="G523" t="s">
        <v>13</v>
      </c>
      <c r="H523" t="s">
        <v>14</v>
      </c>
      <c r="I523">
        <v>4905670</v>
      </c>
      <c r="J523" t="s">
        <v>15</v>
      </c>
      <c r="K523" s="1" t="str">
        <f>VLOOKUP(I523,'[1]PC50 Y2018 Status'!$D:$H,5,FALSE)</f>
        <v>TECO PCNF NMAT PRC  SETC</v>
      </c>
    </row>
    <row r="524" spans="2:11" x14ac:dyDescent="0.25">
      <c r="B524">
        <v>610000004070</v>
      </c>
      <c r="C524" t="s">
        <v>35</v>
      </c>
      <c r="D524">
        <v>105</v>
      </c>
      <c r="E524" t="s">
        <v>211</v>
      </c>
      <c r="F524" t="s">
        <v>12</v>
      </c>
      <c r="G524" t="s">
        <v>13</v>
      </c>
      <c r="H524" t="s">
        <v>14</v>
      </c>
      <c r="I524">
        <v>4905677</v>
      </c>
      <c r="J524" t="s">
        <v>15</v>
      </c>
      <c r="K524" s="1" t="str">
        <f>VLOOKUP(I524,'[1]PC50 Y2018 Status'!$D:$H,5,FALSE)</f>
        <v>TECO PCNF NMAT PRC  SETC</v>
      </c>
    </row>
    <row r="525" spans="2:11" x14ac:dyDescent="0.25">
      <c r="B525">
        <v>610000004104</v>
      </c>
      <c r="C525" t="s">
        <v>51</v>
      </c>
      <c r="D525">
        <v>25</v>
      </c>
      <c r="E525" t="s">
        <v>211</v>
      </c>
      <c r="F525" t="s">
        <v>12</v>
      </c>
      <c r="G525" t="s">
        <v>13</v>
      </c>
      <c r="H525" t="s">
        <v>14</v>
      </c>
      <c r="I525">
        <v>4906525</v>
      </c>
      <c r="J525" t="s">
        <v>22</v>
      </c>
      <c r="K525" s="1" t="str">
        <f>VLOOKUP(I525,'[1]PC50 Y2018 Status'!$D:$H,5,FALSE)</f>
        <v>TECO PCNF NMAT PRC  SETC</v>
      </c>
    </row>
    <row r="526" spans="2:11" x14ac:dyDescent="0.25">
      <c r="B526">
        <v>610000004068</v>
      </c>
      <c r="C526" t="s">
        <v>24</v>
      </c>
      <c r="D526">
        <v>211</v>
      </c>
      <c r="E526" t="s">
        <v>212</v>
      </c>
      <c r="F526" t="s">
        <v>12</v>
      </c>
      <c r="G526" t="s">
        <v>13</v>
      </c>
      <c r="H526" t="s">
        <v>14</v>
      </c>
      <c r="I526">
        <v>4907420</v>
      </c>
      <c r="J526" t="s">
        <v>15</v>
      </c>
      <c r="K526" s="1" t="str">
        <f>VLOOKUP(I526,'[1]PC50 Y2018 Status'!$D:$H,5,FALSE)</f>
        <v>TECO PCNF NMAT PRC  SETC</v>
      </c>
    </row>
    <row r="527" spans="2:11" x14ac:dyDescent="0.25">
      <c r="B527">
        <v>610000004077</v>
      </c>
      <c r="C527" t="s">
        <v>39</v>
      </c>
      <c r="D527">
        <v>105</v>
      </c>
      <c r="E527" t="s">
        <v>212</v>
      </c>
      <c r="F527" t="s">
        <v>12</v>
      </c>
      <c r="G527" t="s">
        <v>13</v>
      </c>
      <c r="H527" t="s">
        <v>14</v>
      </c>
      <c r="I527">
        <v>4906554</v>
      </c>
      <c r="J527" t="s">
        <v>15</v>
      </c>
      <c r="K527" s="1" t="str">
        <f>VLOOKUP(I527,'[1]PC50 Y2018 Status'!$D:$H,5,FALSE)</f>
        <v>TECO PCNF NMAT PRC  SETC</v>
      </c>
    </row>
    <row r="528" spans="2:11" x14ac:dyDescent="0.25">
      <c r="B528">
        <v>610000004085</v>
      </c>
      <c r="C528" t="s">
        <v>18</v>
      </c>
      <c r="D528">
        <v>105</v>
      </c>
      <c r="E528" t="s">
        <v>212</v>
      </c>
      <c r="F528" t="s">
        <v>12</v>
      </c>
      <c r="G528" t="s">
        <v>13</v>
      </c>
      <c r="H528" t="s">
        <v>14</v>
      </c>
      <c r="I528">
        <v>4906529</v>
      </c>
      <c r="J528" t="s">
        <v>15</v>
      </c>
      <c r="K528" s="1" t="str">
        <f>VLOOKUP(I528,'[1]PC50 Y2018 Status'!$D:$H,5,FALSE)</f>
        <v>TECO PCNF NMAT PRC  SETC</v>
      </c>
    </row>
    <row r="529" spans="2:11" x14ac:dyDescent="0.25">
      <c r="B529">
        <v>610000004086</v>
      </c>
      <c r="C529" t="s">
        <v>18</v>
      </c>
      <c r="D529">
        <v>105</v>
      </c>
      <c r="E529" t="s">
        <v>212</v>
      </c>
      <c r="F529" t="s">
        <v>12</v>
      </c>
      <c r="G529" t="s">
        <v>13</v>
      </c>
      <c r="H529" t="s">
        <v>14</v>
      </c>
      <c r="I529">
        <v>4906571</v>
      </c>
      <c r="J529" t="s">
        <v>15</v>
      </c>
      <c r="K529" s="1" t="str">
        <f>VLOOKUP(I529,'[1]PC50 Y2018 Status'!$D:$H,5,FALSE)</f>
        <v>TECO PCNF NMAT PRC  SETC</v>
      </c>
    </row>
    <row r="530" spans="2:11" x14ac:dyDescent="0.25">
      <c r="B530">
        <v>610000004106</v>
      </c>
      <c r="C530" t="s">
        <v>51</v>
      </c>
      <c r="D530">
        <v>25</v>
      </c>
      <c r="E530" t="s">
        <v>212</v>
      </c>
      <c r="F530" t="s">
        <v>12</v>
      </c>
      <c r="G530" t="s">
        <v>13</v>
      </c>
      <c r="H530" t="s">
        <v>14</v>
      </c>
      <c r="I530">
        <v>4906526</v>
      </c>
      <c r="J530" t="s">
        <v>22</v>
      </c>
      <c r="K530" s="1" t="str">
        <f>VLOOKUP(I530,'[1]PC50 Y2018 Status'!$D:$H,5,FALSE)</f>
        <v>TECO PCNF NMAT PRC  SETC</v>
      </c>
    </row>
    <row r="531" spans="2:11" x14ac:dyDescent="0.25">
      <c r="B531">
        <v>610000004139</v>
      </c>
      <c r="C531" t="s">
        <v>96</v>
      </c>
      <c r="D531">
        <v>8</v>
      </c>
      <c r="E531" t="s">
        <v>212</v>
      </c>
      <c r="F531" t="s">
        <v>12</v>
      </c>
      <c r="G531" t="s">
        <v>13</v>
      </c>
      <c r="H531" t="s">
        <v>14</v>
      </c>
      <c r="I531">
        <v>4902458</v>
      </c>
      <c r="J531" t="s">
        <v>22</v>
      </c>
      <c r="K531" s="1" t="str">
        <f>VLOOKUP(I531,'[1]PC50 Y2018 Status'!$D:$H,5,FALSE)</f>
        <v>TECO PCNF NMAT PRC  SETC</v>
      </c>
    </row>
    <row r="532" spans="2:11" x14ac:dyDescent="0.25">
      <c r="B532">
        <v>610000004091</v>
      </c>
      <c r="C532" t="s">
        <v>47</v>
      </c>
      <c r="D532">
        <v>104</v>
      </c>
      <c r="E532" t="s">
        <v>213</v>
      </c>
      <c r="F532" t="s">
        <v>12</v>
      </c>
      <c r="G532" t="s">
        <v>13</v>
      </c>
      <c r="H532" t="s">
        <v>14</v>
      </c>
      <c r="I532">
        <v>4906512</v>
      </c>
      <c r="J532" t="s">
        <v>15</v>
      </c>
      <c r="K532" s="1" t="str">
        <f>VLOOKUP(I532,'[1]PC50 Y2018 Status'!$D:$H,5,FALSE)</f>
        <v>TECO PCNF NMAT PRC  SETC</v>
      </c>
    </row>
    <row r="533" spans="2:11" x14ac:dyDescent="0.25">
      <c r="B533">
        <v>610000004161</v>
      </c>
      <c r="C533" t="s">
        <v>48</v>
      </c>
      <c r="D533">
        <v>106</v>
      </c>
      <c r="E533" t="s">
        <v>213</v>
      </c>
      <c r="F533" t="s">
        <v>12</v>
      </c>
      <c r="G533" t="s">
        <v>13</v>
      </c>
      <c r="H533" t="s">
        <v>14</v>
      </c>
      <c r="I533">
        <v>4906514</v>
      </c>
      <c r="J533" t="s">
        <v>22</v>
      </c>
      <c r="K533" s="1" t="str">
        <f>VLOOKUP(I533,'[1]PC50 Y2018 Status'!$D:$H,5,FALSE)</f>
        <v>TECO PCNF NMAT PRC  SETC</v>
      </c>
    </row>
    <row r="534" spans="2:11" x14ac:dyDescent="0.25">
      <c r="B534">
        <v>342257</v>
      </c>
      <c r="C534" t="s">
        <v>25</v>
      </c>
      <c r="D534">
        <v>176</v>
      </c>
      <c r="E534" t="s">
        <v>214</v>
      </c>
      <c r="F534" t="s">
        <v>12</v>
      </c>
      <c r="G534" t="s">
        <v>13</v>
      </c>
      <c r="H534" t="s">
        <v>14</v>
      </c>
      <c r="I534">
        <v>4907466</v>
      </c>
      <c r="J534" t="s">
        <v>15</v>
      </c>
      <c r="K534" s="1" t="str">
        <f>VLOOKUP(I534,'[1]PC50 Y2018 Status'!$D:$H,5,FALSE)</f>
        <v>TECO PCNF NMAT PRC  SETC</v>
      </c>
    </row>
    <row r="535" spans="2:11" x14ac:dyDescent="0.25">
      <c r="B535">
        <v>347637</v>
      </c>
      <c r="C535" t="s">
        <v>27</v>
      </c>
      <c r="D535">
        <v>34</v>
      </c>
      <c r="E535" t="s">
        <v>214</v>
      </c>
      <c r="F535" t="s">
        <v>12</v>
      </c>
      <c r="G535" t="s">
        <v>13</v>
      </c>
      <c r="H535" t="s">
        <v>14</v>
      </c>
      <c r="I535">
        <v>4908312</v>
      </c>
      <c r="J535" t="s">
        <v>15</v>
      </c>
      <c r="K535" s="1" t="str">
        <f>VLOOKUP(I535,'[1]PC50 Y2018 Status'!$D:$H,5,FALSE)</f>
        <v>TECO PCNF NMAT PRC  SETC</v>
      </c>
    </row>
    <row r="536" spans="2:11" x14ac:dyDescent="0.25">
      <c r="B536">
        <v>610000004132</v>
      </c>
      <c r="C536" t="s">
        <v>61</v>
      </c>
      <c r="D536">
        <v>24</v>
      </c>
      <c r="E536" t="s">
        <v>214</v>
      </c>
      <c r="F536" t="s">
        <v>12</v>
      </c>
      <c r="G536" t="s">
        <v>13</v>
      </c>
      <c r="H536" t="s">
        <v>14</v>
      </c>
      <c r="I536">
        <v>4902447</v>
      </c>
      <c r="J536" t="s">
        <v>22</v>
      </c>
      <c r="K536" s="1" t="str">
        <f>VLOOKUP(I536,'[1]PC50 Y2018 Status'!$D:$H,5,FALSE)</f>
        <v>TECO PCNF NMAT PRC  SETC</v>
      </c>
    </row>
    <row r="537" spans="2:11" x14ac:dyDescent="0.25">
      <c r="B537">
        <v>610000004025</v>
      </c>
      <c r="C537" t="s">
        <v>44</v>
      </c>
      <c r="D537">
        <v>103</v>
      </c>
      <c r="E537" t="s">
        <v>215</v>
      </c>
      <c r="F537" t="s">
        <v>12</v>
      </c>
      <c r="G537" t="s">
        <v>13</v>
      </c>
      <c r="H537" t="s">
        <v>14</v>
      </c>
      <c r="I537">
        <v>4903928</v>
      </c>
      <c r="J537" t="s">
        <v>15</v>
      </c>
      <c r="K537" s="1" t="str">
        <f>VLOOKUP(I537,'[1]PC50 Y2018 Status'!$D:$H,5,FALSE)</f>
        <v>TECO PCNF NMAT PRC  SETC</v>
      </c>
    </row>
    <row r="538" spans="2:11" x14ac:dyDescent="0.25">
      <c r="B538">
        <v>610000004050</v>
      </c>
      <c r="C538" t="s">
        <v>17</v>
      </c>
      <c r="D538">
        <v>105</v>
      </c>
      <c r="E538" t="s">
        <v>215</v>
      </c>
      <c r="F538" t="s">
        <v>12</v>
      </c>
      <c r="G538" t="s">
        <v>13</v>
      </c>
      <c r="H538" t="s">
        <v>14</v>
      </c>
      <c r="I538">
        <v>4906540</v>
      </c>
      <c r="J538" t="s">
        <v>15</v>
      </c>
      <c r="K538" s="1" t="str">
        <f>VLOOKUP(I538,'[1]PC50 Y2018 Status'!$D:$H,5,FALSE)</f>
        <v>TECO PCNF NMAT PRC  SETC</v>
      </c>
    </row>
    <row r="539" spans="2:11" x14ac:dyDescent="0.25">
      <c r="B539">
        <v>610000004097</v>
      </c>
      <c r="C539" t="s">
        <v>93</v>
      </c>
      <c r="D539">
        <v>25</v>
      </c>
      <c r="E539" t="s">
        <v>215</v>
      </c>
      <c r="F539" t="s">
        <v>12</v>
      </c>
      <c r="G539" t="s">
        <v>13</v>
      </c>
      <c r="H539" t="s">
        <v>14</v>
      </c>
      <c r="I539">
        <v>4907512</v>
      </c>
      <c r="J539" t="s">
        <v>22</v>
      </c>
      <c r="K539" s="1" t="str">
        <f>VLOOKUP(I539,'[1]PC50 Y2018 Status'!$D:$H,5,FALSE)</f>
        <v>TECO PCNF NMAT PRC  SETC</v>
      </c>
    </row>
    <row r="540" spans="2:11" x14ac:dyDescent="0.25">
      <c r="B540">
        <v>610000004026</v>
      </c>
      <c r="C540" t="s">
        <v>44</v>
      </c>
      <c r="D540">
        <v>49</v>
      </c>
      <c r="E540" t="s">
        <v>216</v>
      </c>
      <c r="F540" t="s">
        <v>12</v>
      </c>
      <c r="G540" t="s">
        <v>13</v>
      </c>
      <c r="H540" t="s">
        <v>14</v>
      </c>
      <c r="I540">
        <v>4906572</v>
      </c>
      <c r="J540" t="s">
        <v>15</v>
      </c>
      <c r="K540" s="1" t="str">
        <f>VLOOKUP(I540,'[1]PC50 Y2018 Status'!$D:$H,5,FALSE)</f>
        <v>TECO PCNF NMAT PRC  SETC</v>
      </c>
    </row>
    <row r="541" spans="2:11" x14ac:dyDescent="0.25">
      <c r="B541">
        <v>610000004028</v>
      </c>
      <c r="C541" t="s">
        <v>44</v>
      </c>
      <c r="D541">
        <v>47</v>
      </c>
      <c r="E541" t="s">
        <v>216</v>
      </c>
      <c r="F541" t="s">
        <v>12</v>
      </c>
      <c r="G541" t="s">
        <v>13</v>
      </c>
      <c r="H541" t="s">
        <v>14</v>
      </c>
      <c r="I541">
        <v>4906527</v>
      </c>
      <c r="J541" t="s">
        <v>15</v>
      </c>
      <c r="K541" s="1" t="str">
        <f>VLOOKUP(I541,'[1]PC50 Y2018 Status'!$D:$H,5,FALSE)</f>
        <v>TECO PCNF NMAT PRC  SETC</v>
      </c>
    </row>
    <row r="542" spans="2:11" x14ac:dyDescent="0.25">
      <c r="B542">
        <v>610000004061</v>
      </c>
      <c r="C542" t="s">
        <v>64</v>
      </c>
      <c r="D542">
        <v>49</v>
      </c>
      <c r="E542" t="s">
        <v>216</v>
      </c>
      <c r="F542" t="s">
        <v>12</v>
      </c>
      <c r="G542" t="s">
        <v>13</v>
      </c>
      <c r="H542" t="s">
        <v>14</v>
      </c>
      <c r="I542">
        <v>4906534</v>
      </c>
      <c r="J542" t="s">
        <v>15</v>
      </c>
      <c r="K542" s="1" t="str">
        <f>VLOOKUP(I542,'[1]PC50 Y2018 Status'!$D:$H,5,FALSE)</f>
        <v>TECO PCNF NMAT PRC  SETC</v>
      </c>
    </row>
    <row r="543" spans="2:11" x14ac:dyDescent="0.25">
      <c r="B543">
        <v>610000004062</v>
      </c>
      <c r="C543" t="s">
        <v>64</v>
      </c>
      <c r="D543">
        <v>49</v>
      </c>
      <c r="E543" t="s">
        <v>216</v>
      </c>
      <c r="F543" t="s">
        <v>12</v>
      </c>
      <c r="G543" t="s">
        <v>13</v>
      </c>
      <c r="H543" t="s">
        <v>14</v>
      </c>
      <c r="I543">
        <v>4906553</v>
      </c>
      <c r="J543" t="s">
        <v>15</v>
      </c>
      <c r="K543" s="1" t="str">
        <f>VLOOKUP(I543,'[1]PC50 Y2018 Status'!$D:$H,5,FALSE)</f>
        <v>TECO PCNF NMAT PRC  SETC</v>
      </c>
    </row>
    <row r="544" spans="2:11" x14ac:dyDescent="0.25">
      <c r="B544">
        <v>610000004063</v>
      </c>
      <c r="C544" t="s">
        <v>64</v>
      </c>
      <c r="D544">
        <v>47</v>
      </c>
      <c r="E544" t="s">
        <v>216</v>
      </c>
      <c r="F544" t="s">
        <v>12</v>
      </c>
      <c r="G544" t="s">
        <v>13</v>
      </c>
      <c r="H544" t="s">
        <v>14</v>
      </c>
      <c r="I544">
        <v>4906562</v>
      </c>
      <c r="J544" t="s">
        <v>15</v>
      </c>
      <c r="K544" s="1" t="str">
        <f>VLOOKUP(I544,'[1]PC50 Y2018 Status'!$D:$H,5,FALSE)</f>
        <v>TECO PCNF NMAT PRC  SETC</v>
      </c>
    </row>
    <row r="545" spans="2:11" x14ac:dyDescent="0.25">
      <c r="B545">
        <v>610000004064</v>
      </c>
      <c r="C545" t="s">
        <v>64</v>
      </c>
      <c r="D545">
        <v>47</v>
      </c>
      <c r="E545" t="s">
        <v>216</v>
      </c>
      <c r="F545" t="s">
        <v>12</v>
      </c>
      <c r="G545" t="s">
        <v>13</v>
      </c>
      <c r="H545" t="s">
        <v>14</v>
      </c>
      <c r="I545">
        <v>4906535</v>
      </c>
      <c r="J545" t="s">
        <v>15</v>
      </c>
      <c r="K545" s="1" t="str">
        <f>VLOOKUP(I545,'[1]PC50 Y2018 Status'!$D:$H,5,FALSE)</f>
        <v>TECO PCNF NMAT PRC  SETC</v>
      </c>
    </row>
    <row r="546" spans="2:11" x14ac:dyDescent="0.25">
      <c r="B546">
        <v>610000004071</v>
      </c>
      <c r="C546" t="s">
        <v>70</v>
      </c>
      <c r="D546">
        <v>59</v>
      </c>
      <c r="E546" t="s">
        <v>216</v>
      </c>
      <c r="F546" t="s">
        <v>12</v>
      </c>
      <c r="G546" t="s">
        <v>13</v>
      </c>
      <c r="H546" t="s">
        <v>14</v>
      </c>
      <c r="I546">
        <v>4906563</v>
      </c>
      <c r="J546" t="s">
        <v>15</v>
      </c>
      <c r="K546" s="1" t="str">
        <f>VLOOKUP(I546,'[1]PC50 Y2018 Status'!$D:$H,5,FALSE)</f>
        <v>TECO PCNF NMAT PRC  SETC</v>
      </c>
    </row>
    <row r="547" spans="2:11" x14ac:dyDescent="0.25">
      <c r="B547">
        <v>610000004072</v>
      </c>
      <c r="C547" t="s">
        <v>70</v>
      </c>
      <c r="D547">
        <v>47</v>
      </c>
      <c r="E547" t="s">
        <v>216</v>
      </c>
      <c r="F547" t="s">
        <v>12</v>
      </c>
      <c r="G547" t="s">
        <v>13</v>
      </c>
      <c r="H547" t="s">
        <v>14</v>
      </c>
      <c r="I547">
        <v>4906538</v>
      </c>
      <c r="J547" t="s">
        <v>15</v>
      </c>
      <c r="K547" s="1" t="str">
        <f>VLOOKUP(I547,'[1]PC50 Y2018 Status'!$D:$H,5,FALSE)</f>
        <v>TECO PCNF NMAT PRC  SETC</v>
      </c>
    </row>
    <row r="548" spans="2:11" x14ac:dyDescent="0.25">
      <c r="B548">
        <v>610000004073</v>
      </c>
      <c r="C548" t="s">
        <v>70</v>
      </c>
      <c r="D548">
        <v>46</v>
      </c>
      <c r="E548" t="s">
        <v>216</v>
      </c>
      <c r="F548" t="s">
        <v>12</v>
      </c>
      <c r="G548" t="s">
        <v>13</v>
      </c>
      <c r="H548" t="s">
        <v>14</v>
      </c>
      <c r="I548">
        <v>4906539</v>
      </c>
      <c r="J548" t="s">
        <v>15</v>
      </c>
      <c r="K548" s="1" t="str">
        <f>VLOOKUP(I548,'[1]PC50 Y2018 Status'!$D:$H,5,FALSE)</f>
        <v>TECO PCNF NMAT PRC  SETC</v>
      </c>
    </row>
    <row r="549" spans="2:11" x14ac:dyDescent="0.25">
      <c r="B549">
        <v>610000004078</v>
      </c>
      <c r="C549" t="s">
        <v>71</v>
      </c>
      <c r="D549">
        <v>47</v>
      </c>
      <c r="E549" t="s">
        <v>216</v>
      </c>
      <c r="F549" t="s">
        <v>12</v>
      </c>
      <c r="G549" t="s">
        <v>13</v>
      </c>
      <c r="H549" t="s">
        <v>14</v>
      </c>
      <c r="I549">
        <v>4906528</v>
      </c>
      <c r="J549" t="s">
        <v>15</v>
      </c>
      <c r="K549" s="1" t="str">
        <f>VLOOKUP(I549,'[1]PC50 Y2018 Status'!$D:$H,5,FALSE)</f>
        <v>TECO PCNF NMAT PRC  SETC</v>
      </c>
    </row>
    <row r="550" spans="2:11" x14ac:dyDescent="0.25">
      <c r="B550">
        <v>610000004113</v>
      </c>
      <c r="C550" t="s">
        <v>78</v>
      </c>
      <c r="D550">
        <v>25</v>
      </c>
      <c r="E550" t="s">
        <v>216</v>
      </c>
      <c r="F550" t="s">
        <v>12</v>
      </c>
      <c r="G550" t="s">
        <v>13</v>
      </c>
      <c r="H550" t="s">
        <v>14</v>
      </c>
      <c r="I550">
        <v>4907477</v>
      </c>
      <c r="J550" t="s">
        <v>22</v>
      </c>
      <c r="K550" s="1" t="str">
        <f>VLOOKUP(I550,'[1]PC50 Y2018 Status'!$D:$H,5,FALSE)</f>
        <v>TECO PCNF NMAT PRC  SETC</v>
      </c>
    </row>
    <row r="551" spans="2:11" x14ac:dyDescent="0.25">
      <c r="B551">
        <v>342587</v>
      </c>
      <c r="C551" t="s">
        <v>74</v>
      </c>
      <c r="D551">
        <v>7</v>
      </c>
      <c r="E551" t="s">
        <v>217</v>
      </c>
      <c r="F551" t="s">
        <v>12</v>
      </c>
      <c r="G551" t="s">
        <v>13</v>
      </c>
      <c r="H551" t="s">
        <v>14</v>
      </c>
      <c r="I551">
        <v>4901602</v>
      </c>
      <c r="J551" t="s">
        <v>15</v>
      </c>
      <c r="K551" s="1" t="str">
        <f>VLOOKUP(I551,'[1]PC50 Y2018 Status'!$D:$H,5,FALSE)</f>
        <v>TECO PCNF NMAT PRC  SETC</v>
      </c>
    </row>
    <row r="552" spans="2:11" x14ac:dyDescent="0.25">
      <c r="B552">
        <v>610000004031</v>
      </c>
      <c r="C552" t="s">
        <v>16</v>
      </c>
      <c r="D552">
        <v>104</v>
      </c>
      <c r="E552" t="s">
        <v>217</v>
      </c>
      <c r="F552" t="s">
        <v>12</v>
      </c>
      <c r="G552" t="s">
        <v>13</v>
      </c>
      <c r="H552" t="s">
        <v>14</v>
      </c>
      <c r="I552">
        <v>4907522</v>
      </c>
      <c r="J552" t="s">
        <v>15</v>
      </c>
      <c r="K552" s="1" t="str">
        <f>VLOOKUP(I552,'[1]PC50 Y2018 Status'!$D:$H,5,FALSE)</f>
        <v>TECO PCNF NMAT PRC  SETC</v>
      </c>
    </row>
    <row r="553" spans="2:11" x14ac:dyDescent="0.25">
      <c r="B553">
        <v>610000004051</v>
      </c>
      <c r="C553" t="s">
        <v>17</v>
      </c>
      <c r="D553">
        <v>105</v>
      </c>
      <c r="E553" t="s">
        <v>217</v>
      </c>
      <c r="F553" t="s">
        <v>12</v>
      </c>
      <c r="G553" t="s">
        <v>13</v>
      </c>
      <c r="H553" t="s">
        <v>14</v>
      </c>
      <c r="I553">
        <v>4907398</v>
      </c>
      <c r="J553" t="s">
        <v>15</v>
      </c>
      <c r="K553" s="1" t="str">
        <f>VLOOKUP(I553,'[1]PC50 Y2018 Status'!$D:$H,5,FALSE)</f>
        <v>TECO PCNF NMAT PRC  SETC</v>
      </c>
    </row>
    <row r="554" spans="2:11" x14ac:dyDescent="0.25">
      <c r="B554">
        <v>342258</v>
      </c>
      <c r="C554" t="s">
        <v>18</v>
      </c>
      <c r="D554">
        <v>88</v>
      </c>
      <c r="E554" t="s">
        <v>218</v>
      </c>
      <c r="F554" t="s">
        <v>12</v>
      </c>
      <c r="G554" t="s">
        <v>13</v>
      </c>
      <c r="H554" t="s">
        <v>14</v>
      </c>
      <c r="I554">
        <v>4907486</v>
      </c>
      <c r="J554" t="s">
        <v>15</v>
      </c>
      <c r="K554" s="1" t="str">
        <f>VLOOKUP(I554,'[1]PC50 Y2018 Status'!$D:$H,5,FALSE)</f>
        <v>TECO PCNF NMAT PRC  SETC</v>
      </c>
    </row>
    <row r="555" spans="2:11" x14ac:dyDescent="0.25">
      <c r="B555">
        <v>610000004068</v>
      </c>
      <c r="C555" t="s">
        <v>24</v>
      </c>
      <c r="D555">
        <v>212</v>
      </c>
      <c r="E555" t="s">
        <v>219</v>
      </c>
      <c r="F555" t="s">
        <v>12</v>
      </c>
      <c r="G555" t="s">
        <v>13</v>
      </c>
      <c r="H555" t="s">
        <v>14</v>
      </c>
      <c r="I555">
        <v>4909461</v>
      </c>
      <c r="J555" t="s">
        <v>15</v>
      </c>
      <c r="K555" s="1" t="str">
        <f>VLOOKUP(I555,'[1]PC50 Y2018 Status'!$D:$H,5,FALSE)</f>
        <v>TECO PCNF NMAT PRC  SETC</v>
      </c>
    </row>
    <row r="556" spans="2:11" x14ac:dyDescent="0.25">
      <c r="B556">
        <v>610000004126</v>
      </c>
      <c r="C556" t="s">
        <v>131</v>
      </c>
      <c r="D556">
        <v>17</v>
      </c>
      <c r="E556" t="s">
        <v>219</v>
      </c>
      <c r="F556" t="s">
        <v>12</v>
      </c>
      <c r="G556" t="s">
        <v>13</v>
      </c>
      <c r="H556" t="s">
        <v>14</v>
      </c>
      <c r="I556">
        <v>4907441</v>
      </c>
      <c r="J556" t="s">
        <v>22</v>
      </c>
      <c r="K556" s="1" t="str">
        <f>VLOOKUP(I556,'[1]PC50 Y2018 Status'!$D:$H,5,FALSE)</f>
        <v>TECO PCNF NMAT PRC  SETC</v>
      </c>
    </row>
    <row r="557" spans="2:11" x14ac:dyDescent="0.25">
      <c r="B557">
        <v>610000004127</v>
      </c>
      <c r="C557" t="s">
        <v>131</v>
      </c>
      <c r="D557">
        <v>17</v>
      </c>
      <c r="E557" t="s">
        <v>219</v>
      </c>
      <c r="F557" t="s">
        <v>12</v>
      </c>
      <c r="G557" t="s">
        <v>13</v>
      </c>
      <c r="H557" t="s">
        <v>14</v>
      </c>
      <c r="I557">
        <v>4907399</v>
      </c>
      <c r="J557" t="s">
        <v>22</v>
      </c>
      <c r="K557" s="1" t="str">
        <f>VLOOKUP(I557,'[1]PC50 Y2018 Status'!$D:$H,5,FALSE)</f>
        <v>TECO PCNF NMAT PRC  SETC</v>
      </c>
    </row>
    <row r="558" spans="2:11" x14ac:dyDescent="0.25">
      <c r="B558">
        <v>610000004096</v>
      </c>
      <c r="C558" t="s">
        <v>93</v>
      </c>
      <c r="D558">
        <v>38</v>
      </c>
      <c r="E558" t="s">
        <v>220</v>
      </c>
      <c r="F558" t="s">
        <v>12</v>
      </c>
      <c r="G558" t="s">
        <v>13</v>
      </c>
      <c r="H558" t="s">
        <v>14</v>
      </c>
      <c r="I558">
        <v>4908304</v>
      </c>
      <c r="J558" t="s">
        <v>22</v>
      </c>
      <c r="K558" s="1" t="str">
        <f>VLOOKUP(I558,'[1]PC50 Y2018 Status'!$D:$H,5,FALSE)</f>
        <v>TECO PCNF NMAT PRC  SETC</v>
      </c>
    </row>
    <row r="559" spans="2:11" x14ac:dyDescent="0.25">
      <c r="B559">
        <v>610000004116</v>
      </c>
      <c r="C559" t="s">
        <v>78</v>
      </c>
      <c r="D559">
        <v>25</v>
      </c>
      <c r="E559" t="s">
        <v>220</v>
      </c>
      <c r="F559" t="s">
        <v>12</v>
      </c>
      <c r="G559" t="s">
        <v>13</v>
      </c>
      <c r="H559" t="s">
        <v>14</v>
      </c>
      <c r="I559">
        <v>4908273</v>
      </c>
      <c r="J559" t="s">
        <v>22</v>
      </c>
      <c r="K559" s="1" t="str">
        <f>VLOOKUP(I559,'[1]PC50 Y2018 Status'!$D:$H,5,FALSE)</f>
        <v>TECO PCNF NMAT PRC  SETC</v>
      </c>
    </row>
    <row r="560" spans="2:11" x14ac:dyDescent="0.25">
      <c r="B560">
        <v>342257</v>
      </c>
      <c r="C560" t="s">
        <v>25</v>
      </c>
      <c r="D560">
        <v>177</v>
      </c>
      <c r="E560" t="s">
        <v>221</v>
      </c>
      <c r="F560" t="s">
        <v>12</v>
      </c>
      <c r="G560" t="s">
        <v>13</v>
      </c>
      <c r="H560" t="s">
        <v>14</v>
      </c>
      <c r="I560">
        <v>4909475</v>
      </c>
      <c r="J560" t="s">
        <v>15</v>
      </c>
      <c r="K560" s="1" t="str">
        <f>VLOOKUP(I560,'[1]PC50 Y2018 Status'!$D:$H,5,FALSE)</f>
        <v>TECO PCNF NMAT PRC  SETC</v>
      </c>
    </row>
    <row r="561" spans="2:11" x14ac:dyDescent="0.25">
      <c r="B561">
        <v>347637</v>
      </c>
      <c r="C561" t="s">
        <v>27</v>
      </c>
      <c r="D561">
        <v>35</v>
      </c>
      <c r="E561" t="s">
        <v>221</v>
      </c>
      <c r="F561" t="s">
        <v>12</v>
      </c>
      <c r="G561" t="s">
        <v>13</v>
      </c>
      <c r="H561" t="s">
        <v>14</v>
      </c>
      <c r="I561">
        <v>4910159</v>
      </c>
      <c r="J561" t="s">
        <v>15</v>
      </c>
      <c r="K561" s="1" t="str">
        <f>VLOOKUP(I561,'[1]PC50 Y2018 Status'!$D:$H,5,FALSE)</f>
        <v>TECO PCNF NMAT PRC  SETC</v>
      </c>
    </row>
    <row r="562" spans="2:11" x14ac:dyDescent="0.25">
      <c r="B562">
        <v>347638</v>
      </c>
      <c r="C562" t="s">
        <v>16</v>
      </c>
      <c r="D562">
        <v>18</v>
      </c>
      <c r="E562" t="s">
        <v>221</v>
      </c>
      <c r="F562" t="s">
        <v>12</v>
      </c>
      <c r="G562" t="s">
        <v>13</v>
      </c>
      <c r="H562" t="s">
        <v>14</v>
      </c>
      <c r="I562">
        <v>4908318</v>
      </c>
      <c r="J562" t="s">
        <v>15</v>
      </c>
      <c r="K562" s="1" t="str">
        <f>VLOOKUP(I562,'[1]PC50 Y2018 Status'!$D:$H,5,FALSE)</f>
        <v>TECO PCNF NMAT PRC  SETC</v>
      </c>
    </row>
    <row r="563" spans="2:11" x14ac:dyDescent="0.25">
      <c r="B563">
        <v>610000004044</v>
      </c>
      <c r="C563" t="s">
        <v>79</v>
      </c>
      <c r="D563">
        <v>10</v>
      </c>
      <c r="E563" t="s">
        <v>221</v>
      </c>
      <c r="F563" t="s">
        <v>12</v>
      </c>
      <c r="G563" t="s">
        <v>13</v>
      </c>
      <c r="H563" t="s">
        <v>14</v>
      </c>
      <c r="I563">
        <v>4902467</v>
      </c>
      <c r="J563" t="s">
        <v>15</v>
      </c>
      <c r="K563" s="1" t="str">
        <f>VLOOKUP(I563,'[1]PC50 Y2018 Status'!$D:$H,5,FALSE)</f>
        <v>TECO PCNF NMAT PRC  SETC</v>
      </c>
    </row>
    <row r="564" spans="2:11" x14ac:dyDescent="0.25">
      <c r="B564">
        <v>610000004095</v>
      </c>
      <c r="C564" t="s">
        <v>40</v>
      </c>
      <c r="D564">
        <v>51</v>
      </c>
      <c r="E564" t="s">
        <v>222</v>
      </c>
      <c r="F564" t="s">
        <v>12</v>
      </c>
      <c r="G564" t="s">
        <v>13</v>
      </c>
      <c r="H564" t="s">
        <v>14</v>
      </c>
      <c r="I564">
        <v>4908272</v>
      </c>
      <c r="J564" t="s">
        <v>22</v>
      </c>
      <c r="K564" s="1" t="str">
        <f>VLOOKUP(I564,'[1]PC50 Y2018 Status'!$D:$H,5,FALSE)</f>
        <v>TECO PCNF NMAT PRC  SETC</v>
      </c>
    </row>
    <row r="565" spans="2:11" x14ac:dyDescent="0.25">
      <c r="B565">
        <v>610000004163</v>
      </c>
      <c r="C565" t="s">
        <v>43</v>
      </c>
      <c r="D565">
        <v>51</v>
      </c>
      <c r="E565" t="s">
        <v>222</v>
      </c>
      <c r="F565" t="s">
        <v>12</v>
      </c>
      <c r="G565" t="s">
        <v>13</v>
      </c>
      <c r="H565" t="s">
        <v>14</v>
      </c>
      <c r="I565">
        <v>4908274</v>
      </c>
      <c r="J565" t="s">
        <v>22</v>
      </c>
      <c r="K565" s="1" t="str">
        <f>VLOOKUP(I565,'[1]PC50 Y2018 Status'!$D:$H,5,FALSE)</f>
        <v>TECO PCNF NMAT PRC  SETC</v>
      </c>
    </row>
    <row r="566" spans="2:11" x14ac:dyDescent="0.25">
      <c r="B566">
        <v>610000004167</v>
      </c>
      <c r="C566" t="s">
        <v>115</v>
      </c>
      <c r="D566">
        <v>17</v>
      </c>
      <c r="E566" t="s">
        <v>222</v>
      </c>
      <c r="F566" t="s">
        <v>12</v>
      </c>
      <c r="G566" t="s">
        <v>13</v>
      </c>
      <c r="H566" t="s">
        <v>14</v>
      </c>
      <c r="I566">
        <v>4908275</v>
      </c>
      <c r="J566" t="s">
        <v>22</v>
      </c>
      <c r="K566" s="1" t="str">
        <f>VLOOKUP(I566,'[1]PC50 Y2018 Status'!$D:$H,5,FALSE)</f>
        <v>TECO PCNF NMAT PRC  SETC</v>
      </c>
    </row>
    <row r="567" spans="2:11" x14ac:dyDescent="0.25">
      <c r="B567">
        <v>610000004052</v>
      </c>
      <c r="C567" t="s">
        <v>46</v>
      </c>
      <c r="D567">
        <v>49</v>
      </c>
      <c r="E567" t="s">
        <v>223</v>
      </c>
      <c r="F567" t="s">
        <v>12</v>
      </c>
      <c r="G567" t="s">
        <v>13</v>
      </c>
      <c r="H567" t="s">
        <v>14</v>
      </c>
      <c r="I567">
        <v>4908271</v>
      </c>
      <c r="J567" t="s">
        <v>15</v>
      </c>
      <c r="K567" s="1" t="str">
        <f>VLOOKUP(I567,'[1]PC50 Y2018 Status'!$D:$H,5,FALSE)</f>
        <v>TECO PCNF NMAT PRC  SETC</v>
      </c>
    </row>
    <row r="568" spans="2:11" x14ac:dyDescent="0.25">
      <c r="B568">
        <v>347639</v>
      </c>
      <c r="C568" t="s">
        <v>32</v>
      </c>
      <c r="D568">
        <v>8</v>
      </c>
      <c r="E568" t="s">
        <v>224</v>
      </c>
      <c r="F568" t="s">
        <v>12</v>
      </c>
      <c r="G568" t="s">
        <v>13</v>
      </c>
      <c r="H568" t="s">
        <v>14</v>
      </c>
      <c r="I568">
        <v>4909512</v>
      </c>
      <c r="J568" t="s">
        <v>15</v>
      </c>
      <c r="K568" s="1" t="str">
        <f>VLOOKUP(I568,'[1]PC50 Y2018 Status'!$D:$H,5,FALSE)</f>
        <v>TECO PCNF NMAT PRC  SETC</v>
      </c>
    </row>
    <row r="569" spans="2:11" x14ac:dyDescent="0.25">
      <c r="B569">
        <v>610000004081</v>
      </c>
      <c r="C569" t="s">
        <v>71</v>
      </c>
      <c r="D569">
        <v>19</v>
      </c>
      <c r="E569" t="s">
        <v>224</v>
      </c>
      <c r="F569" t="s">
        <v>12</v>
      </c>
      <c r="G569" t="s">
        <v>13</v>
      </c>
      <c r="H569" t="s">
        <v>14</v>
      </c>
      <c r="I569">
        <v>4909470</v>
      </c>
      <c r="J569" t="s">
        <v>15</v>
      </c>
      <c r="K569" s="1" t="str">
        <f>VLOOKUP(I569,'[1]PC50 Y2018 Status'!$D:$H,5,FALSE)</f>
        <v>TECO PCNF GMPS MANC PRC  SETC</v>
      </c>
    </row>
    <row r="570" spans="2:11" x14ac:dyDescent="0.25">
      <c r="B570">
        <v>610000004175</v>
      </c>
      <c r="C570" t="s">
        <v>34</v>
      </c>
      <c r="D570">
        <v>105</v>
      </c>
      <c r="E570" t="s">
        <v>224</v>
      </c>
      <c r="F570" t="s">
        <v>12</v>
      </c>
      <c r="G570" t="s">
        <v>13</v>
      </c>
      <c r="H570" t="s">
        <v>14</v>
      </c>
      <c r="I570">
        <v>4909484</v>
      </c>
      <c r="J570" t="s">
        <v>22</v>
      </c>
      <c r="K570" s="1" t="str">
        <f>VLOOKUP(I570,'[1]PC50 Y2018 Status'!$D:$H,5,FALSE)</f>
        <v>TECO PCNF NMAT PRC  SETC</v>
      </c>
    </row>
    <row r="571" spans="2:11" x14ac:dyDescent="0.25">
      <c r="B571">
        <v>610000004069</v>
      </c>
      <c r="C571" t="s">
        <v>35</v>
      </c>
      <c r="D571">
        <v>106</v>
      </c>
      <c r="E571" t="s">
        <v>225</v>
      </c>
      <c r="F571" t="s">
        <v>12</v>
      </c>
      <c r="G571" t="s">
        <v>13</v>
      </c>
      <c r="H571" t="s">
        <v>14</v>
      </c>
      <c r="I571">
        <v>4909473</v>
      </c>
      <c r="J571" t="s">
        <v>15</v>
      </c>
      <c r="K571" s="1" t="str">
        <f>VLOOKUP(I571,'[1]PC50 Y2018 Status'!$D:$H,5,FALSE)</f>
        <v>TECO PCNF NMAT PRC  SETC</v>
      </c>
    </row>
    <row r="572" spans="2:11" x14ac:dyDescent="0.25">
      <c r="B572">
        <v>610000004070</v>
      </c>
      <c r="C572" t="s">
        <v>35</v>
      </c>
      <c r="D572">
        <v>106</v>
      </c>
      <c r="E572" t="s">
        <v>225</v>
      </c>
      <c r="F572" t="s">
        <v>12</v>
      </c>
      <c r="G572" t="s">
        <v>13</v>
      </c>
      <c r="H572" t="s">
        <v>14</v>
      </c>
      <c r="I572">
        <v>4909479</v>
      </c>
      <c r="J572" t="s">
        <v>15</v>
      </c>
      <c r="K572" s="1" t="str">
        <f>VLOOKUP(I572,'[1]PC50 Y2018 Status'!$D:$H,5,FALSE)</f>
        <v>TECO PCNF NMAT PRC  SETC</v>
      </c>
    </row>
    <row r="573" spans="2:11" x14ac:dyDescent="0.25">
      <c r="B573">
        <v>610000004068</v>
      </c>
      <c r="C573" t="s">
        <v>24</v>
      </c>
      <c r="D573">
        <v>213</v>
      </c>
      <c r="E573" t="s">
        <v>226</v>
      </c>
      <c r="F573" t="s">
        <v>12</v>
      </c>
      <c r="G573" t="s">
        <v>13</v>
      </c>
      <c r="H573" t="s">
        <v>14</v>
      </c>
      <c r="I573">
        <v>4911212</v>
      </c>
      <c r="J573" t="s">
        <v>15</v>
      </c>
      <c r="K573" s="1" t="str">
        <f>VLOOKUP(I573,'[1]PC50 Y2018 Status'!$D:$H,5,FALSE)</f>
        <v>TECO PCNF NMAT PRC  SETC</v>
      </c>
    </row>
    <row r="574" spans="2:11" x14ac:dyDescent="0.25">
      <c r="B574">
        <v>610000004077</v>
      </c>
      <c r="C574" t="s">
        <v>39</v>
      </c>
      <c r="D574">
        <v>106</v>
      </c>
      <c r="E574" t="s">
        <v>226</v>
      </c>
      <c r="F574" t="s">
        <v>12</v>
      </c>
      <c r="G574" t="s">
        <v>13</v>
      </c>
      <c r="H574" t="s">
        <v>14</v>
      </c>
      <c r="I574">
        <v>4910114</v>
      </c>
      <c r="J574" t="s">
        <v>15</v>
      </c>
      <c r="K574" s="1" t="str">
        <f>VLOOKUP(I574,'[1]PC50 Y2018 Status'!$D:$H,5,FALSE)</f>
        <v>TECO PCNF NMAT PRC  SETC</v>
      </c>
    </row>
    <row r="575" spans="2:11" x14ac:dyDescent="0.25">
      <c r="B575">
        <v>610000004085</v>
      </c>
      <c r="C575" t="s">
        <v>18</v>
      </c>
      <c r="D575">
        <v>106</v>
      </c>
      <c r="E575" t="s">
        <v>226</v>
      </c>
      <c r="F575" t="s">
        <v>12</v>
      </c>
      <c r="G575" t="s">
        <v>13</v>
      </c>
      <c r="H575" t="s">
        <v>14</v>
      </c>
      <c r="I575">
        <v>4910092</v>
      </c>
      <c r="J575" t="s">
        <v>15</v>
      </c>
      <c r="K575" s="1" t="str">
        <f>VLOOKUP(I575,'[1]PC50 Y2018 Status'!$D:$H,5,FALSE)</f>
        <v>TECO PCNF NMAT PRC  SETC</v>
      </c>
    </row>
    <row r="576" spans="2:11" x14ac:dyDescent="0.25">
      <c r="B576">
        <v>610000004086</v>
      </c>
      <c r="C576" t="s">
        <v>18</v>
      </c>
      <c r="D576">
        <v>106</v>
      </c>
      <c r="E576" t="s">
        <v>226</v>
      </c>
      <c r="F576" t="s">
        <v>12</v>
      </c>
      <c r="G576" t="s">
        <v>13</v>
      </c>
      <c r="H576" t="s">
        <v>14</v>
      </c>
      <c r="I576">
        <v>4910129</v>
      </c>
      <c r="J576" t="s">
        <v>15</v>
      </c>
      <c r="K576" s="1" t="str">
        <f>VLOOKUP(I576,'[1]PC50 Y2018 Status'!$D:$H,5,FALSE)</f>
        <v>TECO PCNF NMAT PRC  SETC</v>
      </c>
    </row>
    <row r="577" spans="2:11" x14ac:dyDescent="0.25">
      <c r="B577">
        <v>351883</v>
      </c>
      <c r="C577" t="s">
        <v>227</v>
      </c>
      <c r="D577">
        <v>1</v>
      </c>
      <c r="E577" t="s">
        <v>228</v>
      </c>
      <c r="F577" t="s">
        <v>122</v>
      </c>
      <c r="G577" t="s">
        <v>13</v>
      </c>
      <c r="H577" t="s">
        <v>14</v>
      </c>
      <c r="I577">
        <v>4909514</v>
      </c>
      <c r="J577" t="s">
        <v>15</v>
      </c>
      <c r="K577" s="1" t="str">
        <f>VLOOKUP(I577,'[1]PC50 Y2018 Status'!$D:$H,5,FALSE)</f>
        <v>TECO PCNF NMAT PRC  SETC</v>
      </c>
    </row>
    <row r="578" spans="2:11" x14ac:dyDescent="0.25">
      <c r="B578">
        <v>610000004091</v>
      </c>
      <c r="C578" t="s">
        <v>47</v>
      </c>
      <c r="D578">
        <v>105</v>
      </c>
      <c r="E578" t="s">
        <v>228</v>
      </c>
      <c r="F578" t="s">
        <v>12</v>
      </c>
      <c r="G578" t="s">
        <v>13</v>
      </c>
      <c r="H578" t="s">
        <v>14</v>
      </c>
      <c r="I578">
        <v>4910079</v>
      </c>
      <c r="J578" t="s">
        <v>15</v>
      </c>
      <c r="K578" s="1" t="str">
        <f>VLOOKUP(I578,'[1]PC50 Y2018 Status'!$D:$H,5,FALSE)</f>
        <v>TECO PCNF NMAT PRC  SETC</v>
      </c>
    </row>
    <row r="579" spans="2:11" x14ac:dyDescent="0.25">
      <c r="B579">
        <v>610000004131</v>
      </c>
      <c r="C579" t="s">
        <v>61</v>
      </c>
      <c r="D579">
        <v>36</v>
      </c>
      <c r="E579" t="s">
        <v>228</v>
      </c>
      <c r="F579" t="s">
        <v>12</v>
      </c>
      <c r="G579" t="s">
        <v>13</v>
      </c>
      <c r="H579" t="s">
        <v>14</v>
      </c>
      <c r="I579">
        <v>4906513</v>
      </c>
      <c r="J579" t="s">
        <v>22</v>
      </c>
      <c r="K579" s="1" t="str">
        <f>VLOOKUP(I579,'[1]PC50 Y2018 Status'!$D:$H,5,FALSE)</f>
        <v>TECO PCNF NMAT PRC  SETC</v>
      </c>
    </row>
    <row r="580" spans="2:11" x14ac:dyDescent="0.25">
      <c r="B580">
        <v>610000004161</v>
      </c>
      <c r="C580" t="s">
        <v>48</v>
      </c>
      <c r="D580">
        <v>107</v>
      </c>
      <c r="E580" t="s">
        <v>228</v>
      </c>
      <c r="F580" t="s">
        <v>12</v>
      </c>
      <c r="G580" t="s">
        <v>13</v>
      </c>
      <c r="H580" t="s">
        <v>14</v>
      </c>
      <c r="I580">
        <v>4910081</v>
      </c>
      <c r="J580" t="s">
        <v>22</v>
      </c>
      <c r="K580" s="1" t="str">
        <f>VLOOKUP(I580,'[1]PC50 Y2018 Status'!$D:$H,5,FALSE)</f>
        <v>TECO PCNF NMAT PRC  SETC</v>
      </c>
    </row>
    <row r="581" spans="2:11" x14ac:dyDescent="0.25">
      <c r="B581">
        <v>342257</v>
      </c>
      <c r="C581" t="s">
        <v>25</v>
      </c>
      <c r="D581">
        <v>178</v>
      </c>
      <c r="E581" t="s">
        <v>229</v>
      </c>
      <c r="F581" t="s">
        <v>12</v>
      </c>
      <c r="G581" t="s">
        <v>13</v>
      </c>
      <c r="H581" t="s">
        <v>14</v>
      </c>
      <c r="I581">
        <v>4911247</v>
      </c>
      <c r="J581" t="s">
        <v>15</v>
      </c>
      <c r="K581" s="1" t="str">
        <f>VLOOKUP(I581,'[1]PC50 Y2018 Status'!$D:$H,5,FALSE)</f>
        <v>TECO PCNF NMAT PRC  SETC</v>
      </c>
    </row>
    <row r="582" spans="2:11" x14ac:dyDescent="0.25">
      <c r="B582">
        <v>347637</v>
      </c>
      <c r="C582" t="s">
        <v>27</v>
      </c>
      <c r="D582">
        <v>36</v>
      </c>
      <c r="E582" t="s">
        <v>229</v>
      </c>
      <c r="F582" t="s">
        <v>12</v>
      </c>
      <c r="G582" t="s">
        <v>13</v>
      </c>
      <c r="H582" t="s">
        <v>14</v>
      </c>
      <c r="I582">
        <v>4912126</v>
      </c>
      <c r="J582" t="s">
        <v>15</v>
      </c>
      <c r="K582" s="1" t="str">
        <f>VLOOKUP(I582,'[1]PC50 Y2018 Status'!$D:$H,5,FALSE)</f>
        <v>TECO PCNF NMAT PRC  SETC</v>
      </c>
    </row>
    <row r="583" spans="2:11" x14ac:dyDescent="0.25">
      <c r="B583">
        <v>610000004050</v>
      </c>
      <c r="C583" t="s">
        <v>17</v>
      </c>
      <c r="D583">
        <v>106</v>
      </c>
      <c r="E583" t="s">
        <v>230</v>
      </c>
      <c r="F583" t="s">
        <v>12</v>
      </c>
      <c r="G583" t="s">
        <v>13</v>
      </c>
      <c r="H583" t="s">
        <v>14</v>
      </c>
      <c r="I583">
        <v>4910102</v>
      </c>
      <c r="J583" t="s">
        <v>15</v>
      </c>
      <c r="K583" s="1" t="str">
        <f>VLOOKUP(I583,'[1]PC50 Y2018 Status'!$D:$H,5,FALSE)</f>
        <v>TECO PCNF NMAT PRC  SETC</v>
      </c>
    </row>
    <row r="584" spans="2:11" x14ac:dyDescent="0.25">
      <c r="B584">
        <v>610000004103</v>
      </c>
      <c r="C584" t="s">
        <v>51</v>
      </c>
      <c r="D584">
        <v>35</v>
      </c>
      <c r="E584" t="s">
        <v>230</v>
      </c>
      <c r="F584" t="s">
        <v>12</v>
      </c>
      <c r="G584" t="s">
        <v>13</v>
      </c>
      <c r="H584" t="s">
        <v>14</v>
      </c>
      <c r="I584">
        <v>4910089</v>
      </c>
      <c r="J584" t="s">
        <v>22</v>
      </c>
      <c r="K584" s="1" t="str">
        <f>VLOOKUP(I584,'[1]PC50 Y2018 Status'!$D:$H,5,FALSE)</f>
        <v>TECO PCNF NMAT PRC  SETC</v>
      </c>
    </row>
    <row r="585" spans="2:11" x14ac:dyDescent="0.25">
      <c r="B585">
        <v>342279</v>
      </c>
      <c r="C585" t="s">
        <v>64</v>
      </c>
      <c r="D585">
        <v>41</v>
      </c>
      <c r="E585" t="s">
        <v>231</v>
      </c>
      <c r="F585" t="s">
        <v>12</v>
      </c>
      <c r="G585" t="s">
        <v>13</v>
      </c>
      <c r="H585" t="s">
        <v>14</v>
      </c>
      <c r="I585">
        <v>4910133</v>
      </c>
      <c r="J585" t="s">
        <v>15</v>
      </c>
      <c r="K585" s="1" t="str">
        <f>VLOOKUP(I585,'[1]PC50 Y2018 Status'!$D:$H,5,FALSE)</f>
        <v>TECO PCNF NMAT PRC  SETC</v>
      </c>
    </row>
    <row r="586" spans="2:11" x14ac:dyDescent="0.25">
      <c r="B586">
        <v>610000004032</v>
      </c>
      <c r="C586" t="s">
        <v>32</v>
      </c>
      <c r="D586">
        <v>57</v>
      </c>
      <c r="E586" t="s">
        <v>231</v>
      </c>
      <c r="F586" t="s">
        <v>12</v>
      </c>
      <c r="G586" t="s">
        <v>13</v>
      </c>
      <c r="H586" t="s">
        <v>14</v>
      </c>
      <c r="I586">
        <v>4910090</v>
      </c>
      <c r="J586" t="s">
        <v>15</v>
      </c>
      <c r="K586" s="1" t="str">
        <f>VLOOKUP(I586,'[1]PC50 Y2018 Status'!$D:$H,5,FALSE)</f>
        <v>TECO PCNF NMAT PRC  SETC</v>
      </c>
    </row>
    <row r="587" spans="2:11" x14ac:dyDescent="0.25">
      <c r="B587">
        <v>610000004168</v>
      </c>
      <c r="C587" t="s">
        <v>115</v>
      </c>
      <c r="D587">
        <v>17</v>
      </c>
      <c r="E587" t="s">
        <v>231</v>
      </c>
      <c r="F587" t="s">
        <v>12</v>
      </c>
      <c r="G587" t="s">
        <v>13</v>
      </c>
      <c r="H587" t="s">
        <v>14</v>
      </c>
      <c r="I587">
        <v>4910141</v>
      </c>
      <c r="J587" t="s">
        <v>22</v>
      </c>
      <c r="K587" s="1" t="str">
        <f>VLOOKUP(I587,'[1]PC50 Y2018 Status'!$D:$H,5,FALSE)</f>
        <v>TECO PCNF NMAT PRC  SETC</v>
      </c>
    </row>
    <row r="588" spans="2:11" x14ac:dyDescent="0.25">
      <c r="B588">
        <v>347716</v>
      </c>
      <c r="C588" t="s">
        <v>28</v>
      </c>
      <c r="D588">
        <v>8</v>
      </c>
      <c r="E588" t="s">
        <v>232</v>
      </c>
      <c r="F588" t="s">
        <v>12</v>
      </c>
      <c r="G588" t="s">
        <v>13</v>
      </c>
      <c r="H588" t="s">
        <v>14</v>
      </c>
      <c r="I588">
        <v>4911286</v>
      </c>
      <c r="J588" t="s">
        <v>22</v>
      </c>
      <c r="K588" s="1" t="str">
        <f>VLOOKUP(I588,'[1]PC50 Y2018 Status'!$D:$H,5,FALSE)</f>
        <v>TECO PCNF NMAT PRC  SETC</v>
      </c>
    </row>
    <row r="589" spans="2:11" x14ac:dyDescent="0.25">
      <c r="B589">
        <v>347741</v>
      </c>
      <c r="C589" t="s">
        <v>28</v>
      </c>
      <c r="D589">
        <v>8</v>
      </c>
      <c r="E589" t="s">
        <v>232</v>
      </c>
      <c r="F589" t="s">
        <v>12</v>
      </c>
      <c r="G589" t="s">
        <v>13</v>
      </c>
      <c r="H589" t="s">
        <v>14</v>
      </c>
      <c r="I589">
        <v>4911289</v>
      </c>
      <c r="J589" t="s">
        <v>22</v>
      </c>
      <c r="K589" s="1" t="str">
        <f>VLOOKUP(I589,'[1]PC50 Y2018 Status'!$D:$H,5,FALSE)</f>
        <v>TECO PCNF NMAT PRC  SETC</v>
      </c>
    </row>
    <row r="590" spans="2:11" x14ac:dyDescent="0.25">
      <c r="B590">
        <v>610000004031</v>
      </c>
      <c r="C590" t="s">
        <v>16</v>
      </c>
      <c r="D590">
        <v>105</v>
      </c>
      <c r="E590" t="s">
        <v>232</v>
      </c>
      <c r="F590" t="s">
        <v>12</v>
      </c>
      <c r="G590" t="s">
        <v>13</v>
      </c>
      <c r="H590" t="s">
        <v>14</v>
      </c>
      <c r="I590">
        <v>4911275</v>
      </c>
      <c r="J590" t="s">
        <v>15</v>
      </c>
      <c r="K590" s="1" t="str">
        <f>VLOOKUP(I590,'[1]PC50 Y2018 Status'!$D:$H,5,FALSE)</f>
        <v>TECO PCNF NMAT PRC  SETC</v>
      </c>
    </row>
    <row r="591" spans="2:11" x14ac:dyDescent="0.25">
      <c r="B591">
        <v>610000004051</v>
      </c>
      <c r="C591" t="s">
        <v>17</v>
      </c>
      <c r="D591">
        <v>106</v>
      </c>
      <c r="E591" t="s">
        <v>232</v>
      </c>
      <c r="F591" t="s">
        <v>12</v>
      </c>
      <c r="G591" t="s">
        <v>13</v>
      </c>
      <c r="H591" t="s">
        <v>14</v>
      </c>
      <c r="I591">
        <v>4911211</v>
      </c>
      <c r="J591" t="s">
        <v>15</v>
      </c>
      <c r="K591" s="1" t="str">
        <f>VLOOKUP(I591,'[1]PC50 Y2018 Status'!$D:$H,5,FALSE)</f>
        <v>TECO PCNF NMAT PRC  SETC</v>
      </c>
    </row>
    <row r="592" spans="2:11" x14ac:dyDescent="0.25">
      <c r="B592">
        <v>610000004102</v>
      </c>
      <c r="C592" t="s">
        <v>67</v>
      </c>
      <c r="D592">
        <v>50</v>
      </c>
      <c r="E592" t="s">
        <v>232</v>
      </c>
      <c r="F592" t="s">
        <v>12</v>
      </c>
      <c r="G592" t="s">
        <v>13</v>
      </c>
      <c r="H592" t="s">
        <v>14</v>
      </c>
      <c r="I592">
        <v>4911274</v>
      </c>
      <c r="J592" t="s">
        <v>22</v>
      </c>
      <c r="K592" s="1" t="str">
        <f>VLOOKUP(I592,'[1]PC50 Y2018 Status'!$D:$H,5,FALSE)</f>
        <v>TECO PCNF NMAT PRC  SETC</v>
      </c>
    </row>
    <row r="593" spans="2:11" x14ac:dyDescent="0.25">
      <c r="B593">
        <v>610000004111</v>
      </c>
      <c r="C593" t="s">
        <v>78</v>
      </c>
      <c r="D593">
        <v>46</v>
      </c>
      <c r="E593" t="s">
        <v>232</v>
      </c>
      <c r="F593" t="s">
        <v>12</v>
      </c>
      <c r="G593" t="s">
        <v>13</v>
      </c>
      <c r="H593" t="s">
        <v>14</v>
      </c>
      <c r="I593">
        <v>4907436</v>
      </c>
      <c r="J593" t="s">
        <v>22</v>
      </c>
      <c r="K593" s="1" t="str">
        <f>VLOOKUP(I593,'[1]PC50 Y2018 Status'!$D:$H,5,FALSE)</f>
        <v>TECO PCNF NMAT PRC  SETC</v>
      </c>
    </row>
    <row r="594" spans="2:11" x14ac:dyDescent="0.25">
      <c r="B594">
        <v>610000004115</v>
      </c>
      <c r="C594" t="s">
        <v>78</v>
      </c>
      <c r="D594">
        <v>25</v>
      </c>
      <c r="E594" t="s">
        <v>232</v>
      </c>
      <c r="F594" t="s">
        <v>12</v>
      </c>
      <c r="G594" t="s">
        <v>13</v>
      </c>
      <c r="H594" t="s">
        <v>14</v>
      </c>
      <c r="I594">
        <v>4912100</v>
      </c>
      <c r="J594" t="s">
        <v>22</v>
      </c>
      <c r="K594" s="1" t="str">
        <f>VLOOKUP(I594,'[1]PC50 Y2018 Status'!$D:$H,5,FALSE)</f>
        <v>TECO PCNF NMAT PRC  SETC</v>
      </c>
    </row>
    <row r="595" spans="2:11" x14ac:dyDescent="0.25">
      <c r="B595">
        <v>610000004129</v>
      </c>
      <c r="C595" t="s">
        <v>68</v>
      </c>
      <c r="D595">
        <v>50</v>
      </c>
      <c r="E595" t="s">
        <v>232</v>
      </c>
      <c r="F595" t="s">
        <v>12</v>
      </c>
      <c r="G595" t="s">
        <v>13</v>
      </c>
      <c r="H595" t="s">
        <v>14</v>
      </c>
      <c r="I595">
        <v>4911282</v>
      </c>
      <c r="J595" t="s">
        <v>22</v>
      </c>
      <c r="K595" s="1" t="str">
        <f>VLOOKUP(I595,'[1]PC50 Y2018 Status'!$D:$H,5,FALSE)</f>
        <v>TECO PCNF NMAT PRC  SETC</v>
      </c>
    </row>
    <row r="596" spans="2:11" x14ac:dyDescent="0.25">
      <c r="B596">
        <v>610000004177</v>
      </c>
      <c r="C596" t="s">
        <v>37</v>
      </c>
      <c r="D596">
        <v>51</v>
      </c>
      <c r="E596" t="s">
        <v>232</v>
      </c>
      <c r="F596" t="s">
        <v>12</v>
      </c>
      <c r="G596" t="s">
        <v>13</v>
      </c>
      <c r="H596" t="s">
        <v>14</v>
      </c>
      <c r="I596">
        <v>4911244</v>
      </c>
      <c r="J596" t="s">
        <v>22</v>
      </c>
      <c r="K596" s="1" t="str">
        <f>VLOOKUP(I596,'[1]PC50 Y2018 Status'!$D:$H,5,FALSE)</f>
        <v>TECO PCNF NMAT PRC  SETC</v>
      </c>
    </row>
    <row r="597" spans="2:11" x14ac:dyDescent="0.25">
      <c r="B597">
        <v>342258</v>
      </c>
      <c r="C597" t="s">
        <v>18</v>
      </c>
      <c r="D597">
        <v>89</v>
      </c>
      <c r="E597" t="s">
        <v>233</v>
      </c>
      <c r="F597" t="s">
        <v>12</v>
      </c>
      <c r="G597" t="s">
        <v>13</v>
      </c>
      <c r="H597" t="s">
        <v>14</v>
      </c>
      <c r="I597">
        <v>4911255</v>
      </c>
      <c r="J597" t="s">
        <v>15</v>
      </c>
      <c r="K597" s="1" t="str">
        <f>VLOOKUP(I597,'[1]PC50 Y2018 Status'!$D:$H,5,FALSE)</f>
        <v>TECO PCNF NMAT PRC  SETC</v>
      </c>
    </row>
    <row r="598" spans="2:11" x14ac:dyDescent="0.25">
      <c r="B598">
        <v>610000004068</v>
      </c>
      <c r="C598" t="s">
        <v>24</v>
      </c>
      <c r="D598">
        <v>214</v>
      </c>
      <c r="E598" t="s">
        <v>234</v>
      </c>
      <c r="F598" t="s">
        <v>12</v>
      </c>
      <c r="G598" t="s">
        <v>13</v>
      </c>
      <c r="H598" t="s">
        <v>14</v>
      </c>
      <c r="I598">
        <v>4913481</v>
      </c>
      <c r="J598" t="s">
        <v>15</v>
      </c>
      <c r="K598" s="1" t="str">
        <f>VLOOKUP(I598,'[1]PC50 Y2018 Status'!$D:$H,5,FALSE)</f>
        <v>TECO PCNF NMAT PRC  SETC</v>
      </c>
    </row>
    <row r="599" spans="2:11" x14ac:dyDescent="0.25">
      <c r="B599">
        <v>610000004112</v>
      </c>
      <c r="C599" t="s">
        <v>78</v>
      </c>
      <c r="D599">
        <v>37</v>
      </c>
      <c r="E599" t="s">
        <v>234</v>
      </c>
      <c r="F599" t="s">
        <v>12</v>
      </c>
      <c r="G599" t="s">
        <v>13</v>
      </c>
      <c r="H599" t="s">
        <v>14</v>
      </c>
      <c r="I599">
        <v>4911265</v>
      </c>
      <c r="J599" t="s">
        <v>22</v>
      </c>
      <c r="K599" s="1" t="str">
        <f>VLOOKUP(I599,'[1]PC50 Y2018 Status'!$D:$H,5,FALSE)</f>
        <v>TECO PCNF NMAT PRC  SETC</v>
      </c>
    </row>
    <row r="600" spans="2:11" x14ac:dyDescent="0.25">
      <c r="B600">
        <v>610000004122</v>
      </c>
      <c r="C600" t="s">
        <v>54</v>
      </c>
      <c r="D600">
        <v>37</v>
      </c>
      <c r="E600" t="s">
        <v>234</v>
      </c>
      <c r="F600" t="s">
        <v>12</v>
      </c>
      <c r="G600" t="s">
        <v>13</v>
      </c>
      <c r="H600" t="s">
        <v>14</v>
      </c>
      <c r="I600">
        <v>4911260</v>
      </c>
      <c r="J600" t="s">
        <v>22</v>
      </c>
      <c r="K600" s="1" t="str">
        <f>VLOOKUP(I600,'[1]PC50 Y2018 Status'!$D:$H,5,FALSE)</f>
        <v>TECO PCNF NMAT PRC  SETC</v>
      </c>
    </row>
    <row r="601" spans="2:11" x14ac:dyDescent="0.25">
      <c r="B601">
        <v>610000004130</v>
      </c>
      <c r="C601" t="s">
        <v>61</v>
      </c>
      <c r="D601">
        <v>37</v>
      </c>
      <c r="E601" t="s">
        <v>234</v>
      </c>
      <c r="F601" t="s">
        <v>12</v>
      </c>
      <c r="G601" t="s">
        <v>13</v>
      </c>
      <c r="H601" t="s">
        <v>14</v>
      </c>
      <c r="I601">
        <v>4911240</v>
      </c>
      <c r="J601" t="s">
        <v>22</v>
      </c>
      <c r="K601" s="1" t="str">
        <f>VLOOKUP(I601,'[1]PC50 Y2018 Status'!$D:$H,5,FALSE)</f>
        <v>TECO PCNF NMAT PRC  SETC</v>
      </c>
    </row>
    <row r="602" spans="2:11" x14ac:dyDescent="0.25">
      <c r="B602">
        <v>347678</v>
      </c>
      <c r="C602" t="s">
        <v>28</v>
      </c>
      <c r="D602">
        <v>9</v>
      </c>
      <c r="E602" t="s">
        <v>235</v>
      </c>
      <c r="F602" t="s">
        <v>12</v>
      </c>
      <c r="G602" t="s">
        <v>13</v>
      </c>
      <c r="H602" t="s">
        <v>14</v>
      </c>
      <c r="I602">
        <v>4912140</v>
      </c>
      <c r="J602" t="s">
        <v>22</v>
      </c>
      <c r="K602" s="1" t="str">
        <f>VLOOKUP(I602,'[1]PC50 Y2018 Status'!$D:$H,5,FALSE)</f>
        <v>TECO PCNF NMAT PRC  SETC</v>
      </c>
    </row>
    <row r="603" spans="2:11" x14ac:dyDescent="0.25">
      <c r="B603">
        <v>610000004162</v>
      </c>
      <c r="C603" t="s">
        <v>43</v>
      </c>
      <c r="D603">
        <v>50</v>
      </c>
      <c r="E603" t="s">
        <v>235</v>
      </c>
      <c r="F603" t="s">
        <v>12</v>
      </c>
      <c r="G603" t="s">
        <v>13</v>
      </c>
      <c r="H603" t="s">
        <v>14</v>
      </c>
      <c r="I603">
        <v>4912114</v>
      </c>
      <c r="J603" t="s">
        <v>22</v>
      </c>
      <c r="K603" s="1" t="str">
        <f>VLOOKUP(I603,'[1]PC50 Y2018 Status'!$D:$H,5,FALSE)</f>
        <v>TECO PCNF NMAT PRC  SETC</v>
      </c>
    </row>
    <row r="604" spans="2:11" x14ac:dyDescent="0.25">
      <c r="B604">
        <v>342257</v>
      </c>
      <c r="C604" t="s">
        <v>25</v>
      </c>
      <c r="D604">
        <v>179</v>
      </c>
      <c r="E604" t="s">
        <v>236</v>
      </c>
      <c r="F604" t="s">
        <v>12</v>
      </c>
      <c r="G604" t="s">
        <v>13</v>
      </c>
      <c r="H604" t="s">
        <v>14</v>
      </c>
      <c r="I604">
        <v>4913515</v>
      </c>
      <c r="J604" t="s">
        <v>15</v>
      </c>
      <c r="K604" s="1" t="str">
        <f>VLOOKUP(I604,'[1]PC50 Y2018 Status'!$D:$H,5,FALSE)</f>
        <v>TECO PCNF NMAT PRC  SETC</v>
      </c>
    </row>
    <row r="605" spans="2:11" x14ac:dyDescent="0.25">
      <c r="B605">
        <v>347637</v>
      </c>
      <c r="C605" t="s">
        <v>27</v>
      </c>
      <c r="D605">
        <v>37</v>
      </c>
      <c r="E605" t="s">
        <v>236</v>
      </c>
      <c r="F605" t="s">
        <v>12</v>
      </c>
      <c r="G605" t="s">
        <v>13</v>
      </c>
      <c r="H605" t="s">
        <v>14</v>
      </c>
      <c r="I605">
        <v>4914508</v>
      </c>
      <c r="J605" t="s">
        <v>15</v>
      </c>
      <c r="K605" s="1" t="str">
        <f>VLOOKUP(I605,'[1]PC50 Y2018 Status'!$D:$H,5,FALSE)</f>
        <v>TECO PCNF NMAT PRC  SETC</v>
      </c>
    </row>
    <row r="606" spans="2:11" x14ac:dyDescent="0.25">
      <c r="B606">
        <v>347638</v>
      </c>
      <c r="C606" t="s">
        <v>16</v>
      </c>
      <c r="D606">
        <v>19</v>
      </c>
      <c r="E606" t="s">
        <v>236</v>
      </c>
      <c r="F606" t="s">
        <v>12</v>
      </c>
      <c r="G606" t="s">
        <v>13</v>
      </c>
      <c r="H606" t="s">
        <v>14</v>
      </c>
      <c r="I606">
        <v>4912132</v>
      </c>
      <c r="J606" t="s">
        <v>15</v>
      </c>
      <c r="K606" s="1" t="str">
        <f>VLOOKUP(I606,'[1]PC50 Y2018 Status'!$D:$H,5,FALSE)</f>
        <v>TECO PCNF NMAT PRC  SETC</v>
      </c>
    </row>
    <row r="607" spans="2:11" x14ac:dyDescent="0.25">
      <c r="B607">
        <v>610000004176</v>
      </c>
      <c r="C607" t="s">
        <v>59</v>
      </c>
      <c r="D607">
        <v>37</v>
      </c>
      <c r="E607" t="s">
        <v>236</v>
      </c>
      <c r="F607" t="s">
        <v>12</v>
      </c>
      <c r="G607" t="s">
        <v>13</v>
      </c>
      <c r="H607" t="s">
        <v>14</v>
      </c>
      <c r="I607">
        <v>4912067</v>
      </c>
      <c r="J607" t="s">
        <v>22</v>
      </c>
      <c r="K607" s="1" t="str">
        <f>VLOOKUP(I607,'[1]PC50 Y2018 Status'!$D:$H,5,FALSE)</f>
        <v>TECO PCNF NMAT PRC  SETC</v>
      </c>
    </row>
    <row r="608" spans="2:11" x14ac:dyDescent="0.25">
      <c r="B608">
        <v>342586</v>
      </c>
      <c r="C608" t="s">
        <v>82</v>
      </c>
      <c r="D608">
        <v>37</v>
      </c>
      <c r="E608" t="s">
        <v>237</v>
      </c>
      <c r="F608" t="s">
        <v>12</v>
      </c>
      <c r="G608" t="s">
        <v>13</v>
      </c>
      <c r="H608" t="s">
        <v>14</v>
      </c>
      <c r="I608">
        <v>4912117</v>
      </c>
      <c r="J608" t="s">
        <v>22</v>
      </c>
      <c r="K608" s="1" t="str">
        <f>VLOOKUP(I608,'[1]PC50 Y2018 Status'!$D:$H,5,FALSE)</f>
        <v>TECO PCNF NMAT PRC  SETC</v>
      </c>
    </row>
    <row r="609" spans="2:11" x14ac:dyDescent="0.25">
      <c r="B609">
        <v>610000004123</v>
      </c>
      <c r="C609" t="s">
        <v>54</v>
      </c>
      <c r="D609">
        <v>25</v>
      </c>
      <c r="E609" t="s">
        <v>237</v>
      </c>
      <c r="F609" t="s">
        <v>12</v>
      </c>
      <c r="G609" t="s">
        <v>13</v>
      </c>
      <c r="H609" t="s">
        <v>14</v>
      </c>
      <c r="I609">
        <v>4913480</v>
      </c>
      <c r="J609" t="s">
        <v>22</v>
      </c>
      <c r="K609" s="1" t="str">
        <f>VLOOKUP(I609,'[1]PC50 Y2018 Status'!$D:$H,5,FALSE)</f>
        <v>TECO PCNF NMAT PRC  SETC</v>
      </c>
    </row>
    <row r="610" spans="2:11" x14ac:dyDescent="0.25">
      <c r="B610">
        <v>342631</v>
      </c>
      <c r="C610" t="s">
        <v>115</v>
      </c>
      <c r="D610">
        <v>13</v>
      </c>
      <c r="E610" t="s">
        <v>238</v>
      </c>
      <c r="F610" t="s">
        <v>12</v>
      </c>
      <c r="G610" t="s">
        <v>13</v>
      </c>
      <c r="H610" t="s">
        <v>14</v>
      </c>
      <c r="I610">
        <v>4912121</v>
      </c>
      <c r="J610" t="s">
        <v>22</v>
      </c>
      <c r="K610" s="1" t="str">
        <f>VLOOKUP(I610,'[1]PC50 Y2018 Status'!$D:$H,5,FALSE)</f>
        <v>TECO PCNF NMAT PRC  SETC</v>
      </c>
    </row>
    <row r="611" spans="2:11" x14ac:dyDescent="0.25">
      <c r="B611">
        <v>610000004152</v>
      </c>
      <c r="C611" t="s">
        <v>82</v>
      </c>
      <c r="D611">
        <v>50</v>
      </c>
      <c r="E611" t="s">
        <v>238</v>
      </c>
      <c r="F611" t="s">
        <v>12</v>
      </c>
      <c r="G611" t="s">
        <v>13</v>
      </c>
      <c r="H611" t="s">
        <v>14</v>
      </c>
      <c r="I611">
        <v>4912103</v>
      </c>
      <c r="J611" t="s">
        <v>22</v>
      </c>
      <c r="K611" s="1" t="str">
        <f>VLOOKUP(I611,'[1]PC50 Y2018 Status'!$D:$H,5,FALSE)</f>
        <v>TECO PCNF NMAT PRC  SETC</v>
      </c>
    </row>
    <row r="612" spans="2:11" x14ac:dyDescent="0.25">
      <c r="B612">
        <v>342299</v>
      </c>
      <c r="C612" t="s">
        <v>95</v>
      </c>
      <c r="D612">
        <v>14</v>
      </c>
      <c r="E612" t="s">
        <v>239</v>
      </c>
      <c r="F612" t="s">
        <v>12</v>
      </c>
      <c r="G612" t="s">
        <v>13</v>
      </c>
      <c r="H612" t="s">
        <v>14</v>
      </c>
      <c r="I612">
        <v>4912102</v>
      </c>
      <c r="J612" t="s">
        <v>22</v>
      </c>
      <c r="K612" s="1" t="str">
        <f>VLOOKUP(I612,'[1]PC50 Y2018 Status'!$D:$H,5,FALSE)</f>
        <v>TECO PCNF NMAT PRC  SETC</v>
      </c>
    </row>
    <row r="613" spans="2:11" x14ac:dyDescent="0.25">
      <c r="B613">
        <v>342450</v>
      </c>
      <c r="C613" t="s">
        <v>77</v>
      </c>
      <c r="D613">
        <v>7</v>
      </c>
      <c r="E613" t="s">
        <v>239</v>
      </c>
      <c r="F613" t="s">
        <v>12</v>
      </c>
      <c r="G613" t="s">
        <v>13</v>
      </c>
      <c r="H613" t="s">
        <v>14</v>
      </c>
      <c r="I613">
        <v>4908307</v>
      </c>
      <c r="J613" t="s">
        <v>22</v>
      </c>
      <c r="K613" s="1" t="str">
        <f>VLOOKUP(I613,'[1]PC50 Y2018 Status'!$D:$H,5,FALSE)</f>
        <v>TECO PCNF NMAT PRC  SETC</v>
      </c>
    </row>
    <row r="614" spans="2:11" x14ac:dyDescent="0.25">
      <c r="B614">
        <v>610000004175</v>
      </c>
      <c r="C614" t="s">
        <v>34</v>
      </c>
      <c r="D614">
        <v>106</v>
      </c>
      <c r="E614" t="s">
        <v>239</v>
      </c>
      <c r="F614" t="s">
        <v>12</v>
      </c>
      <c r="G614" t="s">
        <v>13</v>
      </c>
      <c r="H614" t="s">
        <v>14</v>
      </c>
      <c r="I614">
        <v>4913532</v>
      </c>
      <c r="J614" t="s">
        <v>22</v>
      </c>
      <c r="K614" s="1" t="str">
        <f>VLOOKUP(I614,'[1]PC50 Y2018 Status'!$D:$H,5,FALSE)</f>
        <v>TECO PCNF NMAT PRC  SETC</v>
      </c>
    </row>
    <row r="615" spans="2:11" x14ac:dyDescent="0.25">
      <c r="B615">
        <v>610000004069</v>
      </c>
      <c r="C615" t="s">
        <v>35</v>
      </c>
      <c r="D615">
        <v>107</v>
      </c>
      <c r="E615" t="s">
        <v>240</v>
      </c>
      <c r="F615" t="s">
        <v>241</v>
      </c>
      <c r="G615" t="s">
        <v>13</v>
      </c>
      <c r="H615" t="s">
        <v>14</v>
      </c>
      <c r="I615">
        <v>4913513</v>
      </c>
      <c r="J615" t="s">
        <v>15</v>
      </c>
      <c r="K615" s="1" t="str">
        <f>VLOOKUP(I615,'[1]PC50 Y2018 Status'!$D:$H,5,FALSE)</f>
        <v>REL  NMAT PRC  SETC</v>
      </c>
    </row>
    <row r="616" spans="2:11" x14ac:dyDescent="0.25">
      <c r="B616">
        <v>610000004070</v>
      </c>
      <c r="C616" t="s">
        <v>35</v>
      </c>
      <c r="D616">
        <v>107</v>
      </c>
      <c r="E616" t="s">
        <v>240</v>
      </c>
      <c r="F616" t="s">
        <v>241</v>
      </c>
      <c r="G616" t="s">
        <v>13</v>
      </c>
      <c r="H616" t="s">
        <v>14</v>
      </c>
      <c r="I616">
        <v>4913524</v>
      </c>
      <c r="J616" t="s">
        <v>15</v>
      </c>
      <c r="K616" s="1" t="str">
        <f>VLOOKUP(I616,'[1]PC50 Y2018 Status'!$D:$H,5,FALSE)</f>
        <v>REL  NMAT PRC  SETC</v>
      </c>
    </row>
    <row r="617" spans="2:11" x14ac:dyDescent="0.25">
      <c r="B617">
        <v>342588</v>
      </c>
      <c r="C617" t="s">
        <v>82</v>
      </c>
      <c r="D617">
        <v>38</v>
      </c>
      <c r="E617" t="s">
        <v>242</v>
      </c>
      <c r="F617" t="s">
        <v>12</v>
      </c>
      <c r="G617" t="s">
        <v>13</v>
      </c>
      <c r="H617" t="s">
        <v>14</v>
      </c>
      <c r="I617">
        <v>4913568</v>
      </c>
      <c r="J617" t="s">
        <v>22</v>
      </c>
      <c r="K617" s="1" t="str">
        <f>VLOOKUP(I617,'[1]PC50 Y2018 Status'!$D:$H,5,FALSE)</f>
        <v>TECO PCNF NMAT PRC  SETC</v>
      </c>
    </row>
    <row r="618" spans="2:11" x14ac:dyDescent="0.25">
      <c r="B618">
        <v>610000004068</v>
      </c>
      <c r="C618" t="s">
        <v>24</v>
      </c>
      <c r="D618">
        <v>215</v>
      </c>
      <c r="E618" t="s">
        <v>242</v>
      </c>
      <c r="F618" t="s">
        <v>241</v>
      </c>
      <c r="G618" t="s">
        <v>13</v>
      </c>
      <c r="H618" t="s">
        <v>14</v>
      </c>
      <c r="I618">
        <v>4915351</v>
      </c>
      <c r="J618" t="s">
        <v>15</v>
      </c>
      <c r="K618" s="1" t="str">
        <f>VLOOKUP(I618,'[1]PC50 Y2018 Status'!$D:$H,5,FALSE)</f>
        <v>REL  NMAT PRC  SETC</v>
      </c>
    </row>
    <row r="619" spans="2:11" x14ac:dyDescent="0.25">
      <c r="B619">
        <v>610000004075</v>
      </c>
      <c r="C619" t="s">
        <v>243</v>
      </c>
      <c r="D619">
        <v>10</v>
      </c>
      <c r="E619" t="s">
        <v>242</v>
      </c>
      <c r="F619" t="s">
        <v>241</v>
      </c>
      <c r="G619" t="s">
        <v>13</v>
      </c>
      <c r="H619" t="s">
        <v>14</v>
      </c>
      <c r="I619">
        <v>4906548</v>
      </c>
      <c r="J619" t="s">
        <v>15</v>
      </c>
      <c r="K619" s="1" t="str">
        <f>VLOOKUP(I619,'[1]PC50 Y2018 Status'!$D:$H,5,FALSE)</f>
        <v>REL  NMAT PRC  SETC</v>
      </c>
    </row>
    <row r="620" spans="2:11" x14ac:dyDescent="0.25">
      <c r="B620">
        <v>610000004077</v>
      </c>
      <c r="C620" t="s">
        <v>39</v>
      </c>
      <c r="D620">
        <v>107</v>
      </c>
      <c r="E620" t="s">
        <v>242</v>
      </c>
      <c r="F620" t="s">
        <v>241</v>
      </c>
      <c r="G620" t="s">
        <v>13</v>
      </c>
      <c r="H620" t="s">
        <v>14</v>
      </c>
      <c r="I620">
        <v>4914481</v>
      </c>
      <c r="J620" t="s">
        <v>15</v>
      </c>
      <c r="K620" s="1" t="str">
        <f>VLOOKUP(I620,'[1]PC50 Y2018 Status'!$D:$H,5,FALSE)</f>
        <v>REL  NMAT PRC  SETC</v>
      </c>
    </row>
    <row r="621" spans="2:11" x14ac:dyDescent="0.25">
      <c r="B621">
        <v>610000004085</v>
      </c>
      <c r="C621" t="s">
        <v>18</v>
      </c>
      <c r="D621">
        <v>107</v>
      </c>
      <c r="E621" t="s">
        <v>242</v>
      </c>
      <c r="F621" t="s">
        <v>241</v>
      </c>
      <c r="G621" t="s">
        <v>13</v>
      </c>
      <c r="H621" t="s">
        <v>14</v>
      </c>
      <c r="I621">
        <v>4914455</v>
      </c>
      <c r="J621" t="s">
        <v>15</v>
      </c>
      <c r="K621" s="1" t="str">
        <f>VLOOKUP(I621,'[1]PC50 Y2018 Status'!$D:$H,5,FALSE)</f>
        <v>REL  NMAT PRC  SETC</v>
      </c>
    </row>
    <row r="622" spans="2:11" x14ac:dyDescent="0.25">
      <c r="B622">
        <v>610000004086</v>
      </c>
      <c r="C622" t="s">
        <v>18</v>
      </c>
      <c r="D622">
        <v>107</v>
      </c>
      <c r="E622" t="s">
        <v>242</v>
      </c>
      <c r="F622" t="s">
        <v>241</v>
      </c>
      <c r="G622" t="s">
        <v>13</v>
      </c>
      <c r="H622" t="s">
        <v>14</v>
      </c>
      <c r="I622">
        <v>4914497</v>
      </c>
      <c r="J622" t="s">
        <v>15</v>
      </c>
      <c r="K622" s="1" t="str">
        <f>VLOOKUP(I622,'[1]PC50 Y2018 Status'!$D:$H,5,FALSE)</f>
        <v>REL  NMAT PRC  SETC</v>
      </c>
    </row>
    <row r="623" spans="2:11" x14ac:dyDescent="0.25">
      <c r="B623">
        <v>610000004091</v>
      </c>
      <c r="C623" t="s">
        <v>47</v>
      </c>
      <c r="D623">
        <v>106</v>
      </c>
      <c r="E623" t="s">
        <v>244</v>
      </c>
      <c r="F623" t="s">
        <v>241</v>
      </c>
      <c r="G623" t="s">
        <v>13</v>
      </c>
      <c r="H623" t="s">
        <v>14</v>
      </c>
      <c r="I623">
        <v>4914441</v>
      </c>
      <c r="J623" t="s">
        <v>15</v>
      </c>
      <c r="K623" s="1" t="str">
        <f>VLOOKUP(I623,'[1]PC50 Y2018 Status'!$D:$H,5,FALSE)</f>
        <v>REL  NMAT PRC  SETC</v>
      </c>
    </row>
    <row r="624" spans="2:11" x14ac:dyDescent="0.25">
      <c r="B624">
        <v>610000004161</v>
      </c>
      <c r="C624" t="s">
        <v>48</v>
      </c>
      <c r="D624">
        <v>108</v>
      </c>
      <c r="E624" t="s">
        <v>244</v>
      </c>
      <c r="F624" t="s">
        <v>12</v>
      </c>
      <c r="G624" t="s">
        <v>13</v>
      </c>
      <c r="H624" t="s">
        <v>14</v>
      </c>
      <c r="I624">
        <v>4914446</v>
      </c>
      <c r="J624" t="s">
        <v>22</v>
      </c>
      <c r="K624" s="1" t="str">
        <f>VLOOKUP(I624,'[1]PC50 Y2018 Status'!$D:$H,5,FALSE)</f>
        <v>TECO PCNF NMAT PRC  SETC</v>
      </c>
    </row>
    <row r="625" spans="2:11" x14ac:dyDescent="0.25">
      <c r="B625">
        <v>342257</v>
      </c>
      <c r="C625" t="s">
        <v>25</v>
      </c>
      <c r="D625">
        <v>180</v>
      </c>
      <c r="E625" t="s">
        <v>245</v>
      </c>
      <c r="F625" t="s">
        <v>241</v>
      </c>
      <c r="G625" t="s">
        <v>13</v>
      </c>
      <c r="H625" t="s">
        <v>14</v>
      </c>
      <c r="I625">
        <v>4915406</v>
      </c>
      <c r="J625" t="s">
        <v>15</v>
      </c>
      <c r="K625" s="1" t="str">
        <f>VLOOKUP(I625,'[1]PC50 Y2018 Status'!$D:$H,5,FALSE)</f>
        <v>REL  NMAT PRC  SETC</v>
      </c>
    </row>
    <row r="626" spans="2:11" x14ac:dyDescent="0.25">
      <c r="B626">
        <v>347637</v>
      </c>
      <c r="C626" t="s">
        <v>27</v>
      </c>
      <c r="D626">
        <v>38</v>
      </c>
      <c r="E626" t="s">
        <v>245</v>
      </c>
      <c r="F626" t="s">
        <v>241</v>
      </c>
      <c r="G626" t="s">
        <v>13</v>
      </c>
      <c r="H626" t="s">
        <v>14</v>
      </c>
      <c r="I626">
        <v>4916274</v>
      </c>
      <c r="J626" t="s">
        <v>15</v>
      </c>
      <c r="K626" s="1" t="str">
        <f>VLOOKUP(I626,'[1]PC50 Y2018 Status'!$D:$H,5,FALSE)</f>
        <v>REL  NMAT PRC  SETC</v>
      </c>
    </row>
    <row r="627" spans="2:11" x14ac:dyDescent="0.25">
      <c r="B627">
        <v>610000004074</v>
      </c>
      <c r="C627" t="s">
        <v>138</v>
      </c>
      <c r="D627">
        <v>16</v>
      </c>
      <c r="E627" t="s">
        <v>245</v>
      </c>
      <c r="F627" t="s">
        <v>241</v>
      </c>
      <c r="G627" t="s">
        <v>13</v>
      </c>
      <c r="H627" t="s">
        <v>14</v>
      </c>
      <c r="I627">
        <v>4910113</v>
      </c>
      <c r="J627" t="s">
        <v>15</v>
      </c>
      <c r="K627" s="1" t="str">
        <f>VLOOKUP(I627,'[1]PC50 Y2018 Status'!$D:$H,5,FALSE)</f>
        <v>REL  NMAT PRC  SETC</v>
      </c>
    </row>
    <row r="628" spans="2:11" x14ac:dyDescent="0.25">
      <c r="B628">
        <v>610000004050</v>
      </c>
      <c r="C628" t="s">
        <v>17</v>
      </c>
      <c r="D628">
        <v>107</v>
      </c>
      <c r="E628" t="s">
        <v>246</v>
      </c>
      <c r="F628" t="s">
        <v>241</v>
      </c>
      <c r="G628" t="s">
        <v>13</v>
      </c>
      <c r="H628" t="s">
        <v>14</v>
      </c>
      <c r="I628">
        <v>4914468</v>
      </c>
      <c r="J628" t="s">
        <v>15</v>
      </c>
      <c r="K628" s="1" t="str">
        <f>VLOOKUP(I628,'[1]PC50 Y2018 Status'!$D:$H,5,FALSE)</f>
        <v>REL  NMAT PRC  SETC</v>
      </c>
    </row>
    <row r="629" spans="2:11" x14ac:dyDescent="0.25">
      <c r="B629">
        <v>343826</v>
      </c>
      <c r="C629" t="s">
        <v>23</v>
      </c>
      <c r="D629">
        <v>5</v>
      </c>
      <c r="E629" t="s">
        <v>247</v>
      </c>
      <c r="F629" t="s">
        <v>241</v>
      </c>
      <c r="G629" t="s">
        <v>13</v>
      </c>
      <c r="H629" t="s">
        <v>14</v>
      </c>
      <c r="I629">
        <v>4910155</v>
      </c>
      <c r="J629" t="s">
        <v>22</v>
      </c>
      <c r="K629" s="1" t="str">
        <f>VLOOKUP(I629,'[1]PC50 Y2018 Status'!$D:$H,5,FALSE)</f>
        <v>REL  NMAT PRC  SETC</v>
      </c>
    </row>
    <row r="630" spans="2:11" x14ac:dyDescent="0.25">
      <c r="B630">
        <v>610000004025</v>
      </c>
      <c r="C630" t="s">
        <v>44</v>
      </c>
      <c r="D630">
        <v>104</v>
      </c>
      <c r="E630" t="s">
        <v>247</v>
      </c>
      <c r="F630" t="s">
        <v>241</v>
      </c>
      <c r="G630" t="s">
        <v>13</v>
      </c>
      <c r="H630" t="s">
        <v>14</v>
      </c>
      <c r="I630">
        <v>4911215</v>
      </c>
      <c r="J630" t="s">
        <v>15</v>
      </c>
      <c r="K630" s="1" t="str">
        <f>VLOOKUP(I630,'[1]PC50 Y2018 Status'!$D:$H,5,FALSE)</f>
        <v>REL  NMAT PRC  SETC</v>
      </c>
    </row>
    <row r="631" spans="2:11" x14ac:dyDescent="0.25">
      <c r="B631">
        <v>610000004031</v>
      </c>
      <c r="C631" t="s">
        <v>16</v>
      </c>
      <c r="D631">
        <v>106</v>
      </c>
      <c r="E631" t="s">
        <v>247</v>
      </c>
      <c r="F631" t="s">
        <v>241</v>
      </c>
      <c r="G631" t="s">
        <v>13</v>
      </c>
      <c r="H631" t="s">
        <v>14</v>
      </c>
      <c r="I631">
        <v>4915448</v>
      </c>
      <c r="J631" t="s">
        <v>15</v>
      </c>
      <c r="K631" s="1" t="str">
        <f>VLOOKUP(I631,'[1]PC50 Y2018 Status'!$D:$H,5,FALSE)</f>
        <v>REL  NMAT PRC  SETC</v>
      </c>
    </row>
    <row r="632" spans="2:11" x14ac:dyDescent="0.25">
      <c r="B632">
        <v>610000004051</v>
      </c>
      <c r="C632" t="s">
        <v>17</v>
      </c>
      <c r="D632">
        <v>107</v>
      </c>
      <c r="E632" t="s">
        <v>247</v>
      </c>
      <c r="F632" t="s">
        <v>241</v>
      </c>
      <c r="G632" t="s">
        <v>13</v>
      </c>
      <c r="H632" t="s">
        <v>14</v>
      </c>
      <c r="I632">
        <v>4915348</v>
      </c>
      <c r="J632" t="s">
        <v>15</v>
      </c>
      <c r="K632" s="1" t="str">
        <f>VLOOKUP(I632,'[1]PC50 Y2018 Status'!$D:$H,5,FALSE)</f>
        <v>REL  NMAT PRC  SETC</v>
      </c>
    </row>
    <row r="633" spans="2:11" x14ac:dyDescent="0.25">
      <c r="B633">
        <v>342258</v>
      </c>
      <c r="C633" t="s">
        <v>18</v>
      </c>
      <c r="D633">
        <v>90</v>
      </c>
      <c r="E633" t="s">
        <v>248</v>
      </c>
      <c r="F633" t="s">
        <v>241</v>
      </c>
      <c r="G633" t="s">
        <v>13</v>
      </c>
      <c r="H633" t="s">
        <v>14</v>
      </c>
      <c r="I633">
        <v>4915421</v>
      </c>
      <c r="J633" t="s">
        <v>15</v>
      </c>
      <c r="K633" s="1" t="str">
        <f>VLOOKUP(I633,'[1]PC50 Y2018 Status'!$D:$H,5,FALSE)</f>
        <v>REL  NMAT PRC  SETC</v>
      </c>
    </row>
    <row r="634" spans="2:11" x14ac:dyDescent="0.25">
      <c r="B634">
        <v>610000004026</v>
      </c>
      <c r="C634" t="s">
        <v>44</v>
      </c>
      <c r="D634">
        <v>50</v>
      </c>
      <c r="E634" t="s">
        <v>248</v>
      </c>
      <c r="F634" t="s">
        <v>241</v>
      </c>
      <c r="G634" t="s">
        <v>13</v>
      </c>
      <c r="H634" t="s">
        <v>14</v>
      </c>
      <c r="I634">
        <v>4915456</v>
      </c>
      <c r="J634" t="s">
        <v>15</v>
      </c>
      <c r="K634" s="1" t="str">
        <f>VLOOKUP(I634,'[1]PC50 Y2018 Status'!$D:$H,5,FALSE)</f>
        <v>REL  NMAT PRC  SETC</v>
      </c>
    </row>
    <row r="635" spans="2:11" x14ac:dyDescent="0.25">
      <c r="B635">
        <v>610000004028</v>
      </c>
      <c r="C635" t="s">
        <v>44</v>
      </c>
      <c r="D635">
        <v>48</v>
      </c>
      <c r="E635" t="s">
        <v>248</v>
      </c>
      <c r="F635" t="s">
        <v>241</v>
      </c>
      <c r="G635" t="s">
        <v>13</v>
      </c>
      <c r="H635" t="s">
        <v>14</v>
      </c>
      <c r="I635">
        <v>4915382</v>
      </c>
      <c r="J635" t="s">
        <v>15</v>
      </c>
      <c r="K635" s="1" t="str">
        <f>VLOOKUP(I635,'[1]PC50 Y2018 Status'!$D:$H,5,FALSE)</f>
        <v>REL  NMAT PRC  SETC</v>
      </c>
    </row>
    <row r="636" spans="2:11" x14ac:dyDescent="0.25">
      <c r="B636">
        <v>610000004061</v>
      </c>
      <c r="C636" t="s">
        <v>64</v>
      </c>
      <c r="D636">
        <v>50</v>
      </c>
      <c r="E636" t="s">
        <v>248</v>
      </c>
      <c r="F636" t="s">
        <v>241</v>
      </c>
      <c r="G636" t="s">
        <v>13</v>
      </c>
      <c r="H636" t="s">
        <v>14</v>
      </c>
      <c r="I636">
        <v>4915401</v>
      </c>
      <c r="J636" t="s">
        <v>15</v>
      </c>
      <c r="K636" s="1" t="str">
        <f>VLOOKUP(I636,'[1]PC50 Y2018 Status'!$D:$H,5,FALSE)</f>
        <v>REL  NMAT PRC  SETC</v>
      </c>
    </row>
    <row r="637" spans="2:11" x14ac:dyDescent="0.25">
      <c r="B637">
        <v>610000004062</v>
      </c>
      <c r="C637" t="s">
        <v>64</v>
      </c>
      <c r="D637">
        <v>50</v>
      </c>
      <c r="E637" t="s">
        <v>248</v>
      </c>
      <c r="F637" t="s">
        <v>241</v>
      </c>
      <c r="G637" t="s">
        <v>13</v>
      </c>
      <c r="H637" t="s">
        <v>14</v>
      </c>
      <c r="I637">
        <v>4915420</v>
      </c>
      <c r="J637" t="s">
        <v>15</v>
      </c>
      <c r="K637" s="1" t="str">
        <f>VLOOKUP(I637,'[1]PC50 Y2018 Status'!$D:$H,5,FALSE)</f>
        <v>REL  NMAT PRC  SETC</v>
      </c>
    </row>
    <row r="638" spans="2:11" x14ac:dyDescent="0.25">
      <c r="B638">
        <v>610000004063</v>
      </c>
      <c r="C638" t="s">
        <v>64</v>
      </c>
      <c r="D638">
        <v>48</v>
      </c>
      <c r="E638" t="s">
        <v>248</v>
      </c>
      <c r="F638" t="s">
        <v>241</v>
      </c>
      <c r="G638" t="s">
        <v>13</v>
      </c>
      <c r="H638" t="s">
        <v>14</v>
      </c>
      <c r="I638">
        <v>4915435</v>
      </c>
      <c r="J638" t="s">
        <v>15</v>
      </c>
      <c r="K638" s="1" t="str">
        <f>VLOOKUP(I638,'[1]PC50 Y2018 Status'!$D:$H,5,FALSE)</f>
        <v>REL  NMAT PRC  SETC</v>
      </c>
    </row>
    <row r="639" spans="2:11" x14ac:dyDescent="0.25">
      <c r="B639">
        <v>610000004064</v>
      </c>
      <c r="C639" t="s">
        <v>64</v>
      </c>
      <c r="D639">
        <v>48</v>
      </c>
      <c r="E639" t="s">
        <v>248</v>
      </c>
      <c r="F639" t="s">
        <v>241</v>
      </c>
      <c r="G639" t="s">
        <v>13</v>
      </c>
      <c r="H639" t="s">
        <v>14</v>
      </c>
      <c r="I639">
        <v>4915402</v>
      </c>
      <c r="J639" t="s">
        <v>15</v>
      </c>
      <c r="K639" s="1" t="str">
        <f>VLOOKUP(I639,'[1]PC50 Y2018 Status'!$D:$H,5,FALSE)</f>
        <v>REL  NMAT PRC  SETC</v>
      </c>
    </row>
    <row r="640" spans="2:11" x14ac:dyDescent="0.25">
      <c r="B640">
        <v>610000004071</v>
      </c>
      <c r="C640" t="s">
        <v>70</v>
      </c>
      <c r="D640">
        <v>60</v>
      </c>
      <c r="E640" t="s">
        <v>248</v>
      </c>
      <c r="F640" t="s">
        <v>241</v>
      </c>
      <c r="G640" t="s">
        <v>13</v>
      </c>
      <c r="H640" t="s">
        <v>14</v>
      </c>
      <c r="I640">
        <v>4915440</v>
      </c>
      <c r="J640" t="s">
        <v>15</v>
      </c>
      <c r="K640" s="1" t="str">
        <f>VLOOKUP(I640,'[1]PC50 Y2018 Status'!$D:$H,5,FALSE)</f>
        <v>REL  NMAT PRC  SETC</v>
      </c>
    </row>
    <row r="641" spans="2:11" x14ac:dyDescent="0.25">
      <c r="B641">
        <v>610000004072</v>
      </c>
      <c r="C641" t="s">
        <v>70</v>
      </c>
      <c r="D641">
        <v>48</v>
      </c>
      <c r="E641" t="s">
        <v>248</v>
      </c>
      <c r="F641" t="s">
        <v>241</v>
      </c>
      <c r="G641" t="s">
        <v>13</v>
      </c>
      <c r="H641" t="s">
        <v>14</v>
      </c>
      <c r="I641">
        <v>4915404</v>
      </c>
      <c r="J641" t="s">
        <v>15</v>
      </c>
      <c r="K641" s="1" t="str">
        <f>VLOOKUP(I641,'[1]PC50 Y2018 Status'!$D:$H,5,FALSE)</f>
        <v>REL  NMAT PRC  SETC</v>
      </c>
    </row>
    <row r="642" spans="2:11" x14ac:dyDescent="0.25">
      <c r="B642">
        <v>610000004073</v>
      </c>
      <c r="C642" t="s">
        <v>70</v>
      </c>
      <c r="D642">
        <v>47</v>
      </c>
      <c r="E642" t="s">
        <v>248</v>
      </c>
      <c r="F642" t="s">
        <v>241</v>
      </c>
      <c r="G642" t="s">
        <v>13</v>
      </c>
      <c r="H642" t="s">
        <v>14</v>
      </c>
      <c r="I642">
        <v>4915405</v>
      </c>
      <c r="J642" t="s">
        <v>15</v>
      </c>
      <c r="K642" s="1" t="str">
        <f>VLOOKUP(I642,'[1]PC50 Y2018 Status'!$D:$H,5,FALSE)</f>
        <v>REL  NMAT PRC  SETC</v>
      </c>
    </row>
    <row r="643" spans="2:11" x14ac:dyDescent="0.25">
      <c r="B643">
        <v>610000004078</v>
      </c>
      <c r="C643" t="s">
        <v>71</v>
      </c>
      <c r="D643">
        <v>48</v>
      </c>
      <c r="E643" t="s">
        <v>248</v>
      </c>
      <c r="F643" t="s">
        <v>241</v>
      </c>
      <c r="G643" t="s">
        <v>13</v>
      </c>
      <c r="H643" t="s">
        <v>14</v>
      </c>
      <c r="I643">
        <v>4915387</v>
      </c>
      <c r="J643" t="s">
        <v>15</v>
      </c>
      <c r="K643" s="1" t="str">
        <f>VLOOKUP(I643,'[1]PC50 Y2018 Status'!$D:$H,5,FALSE)</f>
        <v>REL  NMAT PRC  SETC</v>
      </c>
    </row>
    <row r="644" spans="2:11" x14ac:dyDescent="0.25">
      <c r="B644">
        <v>610000004068</v>
      </c>
      <c r="C644" t="s">
        <v>24</v>
      </c>
      <c r="D644">
        <v>216</v>
      </c>
      <c r="E644" t="s">
        <v>249</v>
      </c>
      <c r="F644" t="s">
        <v>241</v>
      </c>
      <c r="G644" t="s">
        <v>13</v>
      </c>
      <c r="H644" t="s">
        <v>14</v>
      </c>
      <c r="I644">
        <v>4917266</v>
      </c>
      <c r="J644" t="s">
        <v>15</v>
      </c>
      <c r="K644" s="1" t="str">
        <f>VLOOKUP(I644,'[1]PC50 Y2018 Status'!$D:$H,5,FALSE)</f>
        <v>REL  NMAT PRC  SETC</v>
      </c>
    </row>
    <row r="645" spans="2:11" x14ac:dyDescent="0.25">
      <c r="B645">
        <v>342694</v>
      </c>
      <c r="C645" t="s">
        <v>32</v>
      </c>
      <c r="D645">
        <v>34</v>
      </c>
      <c r="E645" t="s">
        <v>250</v>
      </c>
      <c r="F645" t="s">
        <v>241</v>
      </c>
      <c r="G645" t="s">
        <v>13</v>
      </c>
      <c r="H645" t="s">
        <v>14</v>
      </c>
      <c r="I645">
        <v>4916263</v>
      </c>
      <c r="J645" t="s">
        <v>15</v>
      </c>
      <c r="K645" s="1" t="str">
        <f>VLOOKUP(I645,'[1]PC50 Y2018 Status'!$D:$H,5,FALSE)</f>
        <v>REL  NMAT PRC  SETC</v>
      </c>
    </row>
    <row r="646" spans="2:11" x14ac:dyDescent="0.25">
      <c r="B646">
        <v>350834</v>
      </c>
      <c r="C646" t="s">
        <v>64</v>
      </c>
      <c r="D646">
        <v>2</v>
      </c>
      <c r="E646" t="s">
        <v>250</v>
      </c>
      <c r="F646" t="s">
        <v>241</v>
      </c>
      <c r="G646" t="s">
        <v>13</v>
      </c>
      <c r="H646" t="s">
        <v>14</v>
      </c>
      <c r="I646">
        <v>4916290</v>
      </c>
      <c r="J646" t="s">
        <v>15</v>
      </c>
      <c r="K646" s="1" t="str">
        <f>VLOOKUP(I646,'[1]PC50 Y2018 Status'!$D:$H,5,FALSE)</f>
        <v>REL  NMAT PRC  SETC</v>
      </c>
    </row>
    <row r="647" spans="2:11" x14ac:dyDescent="0.25">
      <c r="B647">
        <v>610000004021</v>
      </c>
      <c r="C647" t="s">
        <v>10</v>
      </c>
      <c r="D647">
        <v>104</v>
      </c>
      <c r="E647" t="s">
        <v>250</v>
      </c>
      <c r="F647" t="s">
        <v>241</v>
      </c>
      <c r="G647" t="s">
        <v>13</v>
      </c>
      <c r="H647" t="s">
        <v>14</v>
      </c>
      <c r="I647">
        <v>4916200</v>
      </c>
      <c r="J647" t="s">
        <v>15</v>
      </c>
      <c r="K647" s="1" t="str">
        <f>VLOOKUP(I647,'[1]PC50 Y2018 Status'!$D:$H,5,FALSE)</f>
        <v>REL  NMAT PRC  SETC</v>
      </c>
    </row>
    <row r="648" spans="2:11" x14ac:dyDescent="0.25">
      <c r="B648">
        <v>610000004022</v>
      </c>
      <c r="C648" t="s">
        <v>10</v>
      </c>
      <c r="D648">
        <v>48</v>
      </c>
      <c r="E648" t="s">
        <v>250</v>
      </c>
      <c r="F648" t="s">
        <v>241</v>
      </c>
      <c r="G648" t="s">
        <v>13</v>
      </c>
      <c r="H648" t="s">
        <v>14</v>
      </c>
      <c r="I648">
        <v>4916243</v>
      </c>
      <c r="J648" t="s">
        <v>15</v>
      </c>
      <c r="K648" s="1" t="str">
        <f>VLOOKUP(I648,'[1]PC50 Y2018 Status'!$D:$H,5,FALSE)</f>
        <v>REL  NMAT PRC  SETC</v>
      </c>
    </row>
    <row r="649" spans="2:11" x14ac:dyDescent="0.25">
      <c r="B649">
        <v>610000004027</v>
      </c>
      <c r="C649" t="s">
        <v>44</v>
      </c>
      <c r="D649">
        <v>50</v>
      </c>
      <c r="E649" t="s">
        <v>250</v>
      </c>
      <c r="F649" t="s">
        <v>241</v>
      </c>
      <c r="G649" t="s">
        <v>13</v>
      </c>
      <c r="H649" t="s">
        <v>14</v>
      </c>
      <c r="I649">
        <v>4916250</v>
      </c>
      <c r="J649" t="s">
        <v>15</v>
      </c>
      <c r="K649" s="1" t="str">
        <f>VLOOKUP(I649,'[1]PC50 Y2018 Status'!$D:$H,5,FALSE)</f>
        <v>REL  NMAT PRC  SETC</v>
      </c>
    </row>
    <row r="650" spans="2:11" x14ac:dyDescent="0.25">
      <c r="B650">
        <v>610000004033</v>
      </c>
      <c r="C650" t="s">
        <v>32</v>
      </c>
      <c r="D650">
        <v>47</v>
      </c>
      <c r="E650" t="s">
        <v>250</v>
      </c>
      <c r="F650" t="s">
        <v>241</v>
      </c>
      <c r="G650" t="s">
        <v>13</v>
      </c>
      <c r="H650" t="s">
        <v>14</v>
      </c>
      <c r="I650">
        <v>4916244</v>
      </c>
      <c r="J650" t="s">
        <v>15</v>
      </c>
      <c r="K650" s="1" t="str">
        <f>VLOOKUP(I650,'[1]PC50 Y2018 Status'!$D:$H,5,FALSE)</f>
        <v>REL  NMAT PRC  SETC</v>
      </c>
    </row>
    <row r="651" spans="2:11" x14ac:dyDescent="0.25">
      <c r="B651">
        <v>610000004053</v>
      </c>
      <c r="C651" t="s">
        <v>46</v>
      </c>
      <c r="D651">
        <v>49</v>
      </c>
      <c r="E651" t="s">
        <v>250</v>
      </c>
      <c r="F651" t="s">
        <v>241</v>
      </c>
      <c r="G651" t="s">
        <v>13</v>
      </c>
      <c r="H651" t="s">
        <v>14</v>
      </c>
      <c r="I651">
        <v>4916259</v>
      </c>
      <c r="J651" t="s">
        <v>15</v>
      </c>
      <c r="K651" s="1" t="str">
        <f>VLOOKUP(I651,'[1]PC50 Y2018 Status'!$D:$H,5,FALSE)</f>
        <v>REL  NMAT PRC  SETC</v>
      </c>
    </row>
    <row r="652" spans="2:11" x14ac:dyDescent="0.25">
      <c r="B652">
        <v>610000004054</v>
      </c>
      <c r="C652" t="s">
        <v>46</v>
      </c>
      <c r="D652">
        <v>49</v>
      </c>
      <c r="E652" t="s">
        <v>250</v>
      </c>
      <c r="F652" t="s">
        <v>241</v>
      </c>
      <c r="G652" t="s">
        <v>13</v>
      </c>
      <c r="H652" t="s">
        <v>14</v>
      </c>
      <c r="I652">
        <v>4916201</v>
      </c>
      <c r="J652" t="s">
        <v>15</v>
      </c>
      <c r="K652" s="1" t="str">
        <f>VLOOKUP(I652,'[1]PC50 Y2018 Status'!$D:$H,5,FALSE)</f>
        <v>REL  NMAT PRC  SETC</v>
      </c>
    </row>
    <row r="653" spans="2:11" x14ac:dyDescent="0.25">
      <c r="B653">
        <v>610000004079</v>
      </c>
      <c r="C653" t="s">
        <v>71</v>
      </c>
      <c r="D653">
        <v>48</v>
      </c>
      <c r="E653" t="s">
        <v>250</v>
      </c>
      <c r="F653" t="s">
        <v>241</v>
      </c>
      <c r="G653" t="s">
        <v>13</v>
      </c>
      <c r="H653" t="s">
        <v>14</v>
      </c>
      <c r="I653">
        <v>4916066</v>
      </c>
      <c r="J653" t="s">
        <v>15</v>
      </c>
      <c r="K653" s="1" t="str">
        <f>VLOOKUP(I653,'[1]PC50 Y2018 Status'!$D:$H,5,FALSE)</f>
        <v>REL  NMAT PRC  SETC</v>
      </c>
    </row>
    <row r="654" spans="2:11" x14ac:dyDescent="0.25">
      <c r="B654">
        <v>610000004080</v>
      </c>
      <c r="C654" t="s">
        <v>71</v>
      </c>
      <c r="D654">
        <v>49</v>
      </c>
      <c r="E654" t="s">
        <v>250</v>
      </c>
      <c r="F654" t="s">
        <v>241</v>
      </c>
      <c r="G654" t="s">
        <v>13</v>
      </c>
      <c r="H654" t="s">
        <v>14</v>
      </c>
      <c r="I654">
        <v>4916260</v>
      </c>
      <c r="J654" t="s">
        <v>15</v>
      </c>
      <c r="K654" s="1" t="str">
        <f>VLOOKUP(I654,'[1]PC50 Y2018 Status'!$D:$H,5,FALSE)</f>
        <v>REL  NMAT PRC  SETC</v>
      </c>
    </row>
    <row r="655" spans="2:11" x14ac:dyDescent="0.25">
      <c r="B655">
        <v>610000004087</v>
      </c>
      <c r="C655" t="s">
        <v>72</v>
      </c>
      <c r="D655">
        <v>47</v>
      </c>
      <c r="E655" t="s">
        <v>250</v>
      </c>
      <c r="F655" t="s">
        <v>241</v>
      </c>
      <c r="G655" t="s">
        <v>13</v>
      </c>
      <c r="H655" t="s">
        <v>14</v>
      </c>
      <c r="I655">
        <v>4916233</v>
      </c>
      <c r="J655" t="s">
        <v>15</v>
      </c>
      <c r="K655" s="1" t="str">
        <f>VLOOKUP(I655,'[1]PC50 Y2018 Status'!$D:$H,5,FALSE)</f>
        <v>REL  NMAT PRC  SETC</v>
      </c>
    </row>
    <row r="656" spans="2:11" x14ac:dyDescent="0.25">
      <c r="B656">
        <v>610000004088</v>
      </c>
      <c r="C656" t="s">
        <v>72</v>
      </c>
      <c r="D656">
        <v>47</v>
      </c>
      <c r="E656" t="s">
        <v>250</v>
      </c>
      <c r="F656" t="s">
        <v>241</v>
      </c>
      <c r="G656" t="s">
        <v>13</v>
      </c>
      <c r="H656" t="s">
        <v>14</v>
      </c>
      <c r="I656">
        <v>4916223</v>
      </c>
      <c r="J656" t="s">
        <v>15</v>
      </c>
      <c r="K656" s="1" t="str">
        <f>VLOOKUP(I656,'[1]PC50 Y2018 Status'!$D:$H,5,FALSE)</f>
        <v>REL  NMAT PRC  SETC</v>
      </c>
    </row>
    <row r="657" spans="2:11" x14ac:dyDescent="0.25">
      <c r="B657">
        <v>610000004092</v>
      </c>
      <c r="C657" t="s">
        <v>73</v>
      </c>
      <c r="D657">
        <v>47</v>
      </c>
      <c r="E657" t="s">
        <v>250</v>
      </c>
      <c r="F657" t="s">
        <v>241</v>
      </c>
      <c r="G657" t="s">
        <v>13</v>
      </c>
      <c r="H657" t="s">
        <v>14</v>
      </c>
      <c r="I657">
        <v>4916261</v>
      </c>
      <c r="J657" t="s">
        <v>15</v>
      </c>
      <c r="K657" s="1" t="str">
        <f>VLOOKUP(I657,'[1]PC50 Y2018 Status'!$D:$H,5,FALSE)</f>
        <v>REL  NMAT PRC  SETC</v>
      </c>
    </row>
    <row r="658" spans="2:11" x14ac:dyDescent="0.25">
      <c r="B658">
        <v>342257</v>
      </c>
      <c r="C658" t="s">
        <v>25</v>
      </c>
      <c r="D658">
        <v>181</v>
      </c>
      <c r="E658" t="s">
        <v>251</v>
      </c>
      <c r="F658" t="s">
        <v>241</v>
      </c>
      <c r="G658" t="s">
        <v>13</v>
      </c>
      <c r="H658" t="s">
        <v>14</v>
      </c>
      <c r="I658">
        <v>4917282</v>
      </c>
      <c r="J658" t="s">
        <v>15</v>
      </c>
      <c r="K658" s="1" t="str">
        <f>VLOOKUP(I658,'[1]PC50 Y2018 Status'!$D:$H,5,FALSE)</f>
        <v>REL  NMAT PRC  SETC</v>
      </c>
    </row>
    <row r="659" spans="2:11" x14ac:dyDescent="0.25">
      <c r="B659">
        <v>347637</v>
      </c>
      <c r="C659" t="s">
        <v>27</v>
      </c>
      <c r="D659">
        <v>39</v>
      </c>
      <c r="E659" t="s">
        <v>251</v>
      </c>
      <c r="F659" t="s">
        <v>241</v>
      </c>
      <c r="G659" t="s">
        <v>13</v>
      </c>
      <c r="H659" t="s">
        <v>14</v>
      </c>
      <c r="I659">
        <v>4918129</v>
      </c>
      <c r="J659" t="s">
        <v>15</v>
      </c>
      <c r="K659" s="1" t="str">
        <f>VLOOKUP(I659,'[1]PC50 Y2018 Status'!$D:$H,5,FALSE)</f>
        <v>CRTD MANC NMAT PRC</v>
      </c>
    </row>
    <row r="660" spans="2:11" x14ac:dyDescent="0.25">
      <c r="B660">
        <v>347638</v>
      </c>
      <c r="C660" t="s">
        <v>16</v>
      </c>
      <c r="D660">
        <v>20</v>
      </c>
      <c r="E660" t="s">
        <v>251</v>
      </c>
      <c r="F660" t="s">
        <v>241</v>
      </c>
      <c r="G660" t="s">
        <v>13</v>
      </c>
      <c r="H660" t="s">
        <v>14</v>
      </c>
      <c r="I660">
        <v>4916283</v>
      </c>
      <c r="J660" t="s">
        <v>15</v>
      </c>
      <c r="K660" s="1" t="str">
        <f>VLOOKUP(I660,'[1]PC50 Y2018 Status'!$D:$H,5,FALSE)</f>
        <v>REL  NMAT PRC  SETC</v>
      </c>
    </row>
    <row r="661" spans="2:11" x14ac:dyDescent="0.25">
      <c r="B661">
        <v>610000004023</v>
      </c>
      <c r="C661" t="s">
        <v>30</v>
      </c>
      <c r="D661">
        <v>12</v>
      </c>
      <c r="E661" t="s">
        <v>251</v>
      </c>
      <c r="F661" t="s">
        <v>241</v>
      </c>
      <c r="G661" t="s">
        <v>13</v>
      </c>
      <c r="H661" t="s">
        <v>14</v>
      </c>
      <c r="I661">
        <v>4909494</v>
      </c>
      <c r="J661" t="s">
        <v>15</v>
      </c>
      <c r="K661" s="1" t="str">
        <f>VLOOKUP(I661,'[1]PC50 Y2018 Status'!$D:$H,5,FALSE)</f>
        <v>REL  NMAT PRC  SETC</v>
      </c>
    </row>
    <row r="662" spans="2:11" x14ac:dyDescent="0.25">
      <c r="B662">
        <v>610000004165</v>
      </c>
      <c r="C662" t="s">
        <v>31</v>
      </c>
      <c r="D662">
        <v>27</v>
      </c>
      <c r="E662" t="s">
        <v>251</v>
      </c>
      <c r="F662" t="s">
        <v>241</v>
      </c>
      <c r="G662" t="s">
        <v>13</v>
      </c>
      <c r="H662" t="s">
        <v>14</v>
      </c>
      <c r="I662">
        <v>4917262</v>
      </c>
      <c r="J662" t="s">
        <v>22</v>
      </c>
      <c r="K662" s="1" t="str">
        <f>VLOOKUP(I662,'[1]PC50 Y2018 Status'!$D:$H,5,FALSE)</f>
        <v>REL  NMAT PRC  SETC</v>
      </c>
    </row>
    <row r="663" spans="2:11" x14ac:dyDescent="0.25">
      <c r="B663">
        <v>610000004166</v>
      </c>
      <c r="C663" t="s">
        <v>31</v>
      </c>
      <c r="D663">
        <v>27</v>
      </c>
      <c r="E663" t="s">
        <v>251</v>
      </c>
      <c r="F663" t="s">
        <v>241</v>
      </c>
      <c r="G663" t="s">
        <v>13</v>
      </c>
      <c r="H663" t="s">
        <v>14</v>
      </c>
      <c r="I663">
        <v>4917263</v>
      </c>
      <c r="J663" t="s">
        <v>22</v>
      </c>
      <c r="K663" s="1" t="str">
        <f>VLOOKUP(I663,'[1]PC50 Y2018 Status'!$D:$H,5,FALSE)</f>
        <v>REL  NMAT PRC  SETC</v>
      </c>
    </row>
    <row r="664" spans="2:11" x14ac:dyDescent="0.25">
      <c r="B664">
        <v>342595</v>
      </c>
      <c r="C664" t="s">
        <v>137</v>
      </c>
      <c r="D664">
        <v>13</v>
      </c>
      <c r="E664" t="s">
        <v>252</v>
      </c>
      <c r="F664" t="s">
        <v>241</v>
      </c>
      <c r="G664" t="s">
        <v>13</v>
      </c>
      <c r="H664" t="s">
        <v>14</v>
      </c>
      <c r="I664">
        <v>4916265</v>
      </c>
      <c r="J664" t="s">
        <v>15</v>
      </c>
      <c r="K664" s="1" t="str">
        <f>VLOOKUP(I664,'[1]PC50 Y2018 Status'!$D:$H,5,FALSE)</f>
        <v>CRTD MANC NMAT PRC</v>
      </c>
    </row>
    <row r="665" spans="2:11" x14ac:dyDescent="0.25">
      <c r="B665">
        <v>610000004065</v>
      </c>
      <c r="C665" t="s">
        <v>150</v>
      </c>
      <c r="D665">
        <v>17</v>
      </c>
      <c r="E665" t="s">
        <v>252</v>
      </c>
      <c r="F665" t="s">
        <v>241</v>
      </c>
      <c r="G665" t="s">
        <v>13</v>
      </c>
      <c r="H665" t="s">
        <v>14</v>
      </c>
      <c r="I665">
        <v>4912073</v>
      </c>
      <c r="J665" t="s">
        <v>15</v>
      </c>
      <c r="K665" s="1" t="str">
        <f>VLOOKUP(I665,'[1]PC50 Y2018 Status'!$D:$H,5,FALSE)</f>
        <v>CRTD MANC NMAT PRC</v>
      </c>
    </row>
    <row r="666" spans="2:11" x14ac:dyDescent="0.25">
      <c r="B666">
        <v>342730</v>
      </c>
      <c r="C666" t="s">
        <v>23</v>
      </c>
      <c r="D666">
        <v>3</v>
      </c>
      <c r="E666" t="s">
        <v>253</v>
      </c>
      <c r="F666" t="s">
        <v>241</v>
      </c>
      <c r="G666" t="s">
        <v>13</v>
      </c>
      <c r="H666" t="s">
        <v>14</v>
      </c>
      <c r="I666">
        <v>4912119</v>
      </c>
      <c r="J666" t="s">
        <v>22</v>
      </c>
      <c r="K666" s="1" t="str">
        <f>VLOOKUP(I666,'[1]PC50 Y2018 Status'!$D:$H,5,FALSE)</f>
        <v>REL  NMAT PRC  SETC</v>
      </c>
    </row>
    <row r="667" spans="2:11" x14ac:dyDescent="0.25">
      <c r="B667">
        <v>342761</v>
      </c>
      <c r="C667" t="s">
        <v>254</v>
      </c>
      <c r="D667">
        <v>2</v>
      </c>
      <c r="E667" t="s">
        <v>253</v>
      </c>
      <c r="F667" t="s">
        <v>241</v>
      </c>
      <c r="G667" t="s">
        <v>13</v>
      </c>
      <c r="H667" t="s">
        <v>14</v>
      </c>
      <c r="I667">
        <v>4910150</v>
      </c>
      <c r="J667" t="s">
        <v>22</v>
      </c>
      <c r="K667" s="1" t="str">
        <f>VLOOKUP(I667,'[1]PC50 Y2018 Status'!$D:$H,5,FALSE)</f>
        <v>REL  NMAT PRC  SETC</v>
      </c>
    </row>
    <row r="668" spans="2:11" x14ac:dyDescent="0.25">
      <c r="B668">
        <v>610000004095</v>
      </c>
      <c r="C668" t="s">
        <v>40</v>
      </c>
      <c r="D668">
        <v>52</v>
      </c>
      <c r="E668" t="s">
        <v>253</v>
      </c>
      <c r="F668" t="s">
        <v>241</v>
      </c>
      <c r="G668" t="s">
        <v>13</v>
      </c>
      <c r="H668" t="s">
        <v>14</v>
      </c>
      <c r="I668">
        <v>4917287</v>
      </c>
      <c r="J668" t="s">
        <v>22</v>
      </c>
      <c r="K668" s="1" t="str">
        <f>VLOOKUP(I668,'[1]PC50 Y2018 Status'!$D:$H,5,FALSE)</f>
        <v>REL  NMAT PRC  SETC</v>
      </c>
    </row>
    <row r="669" spans="2:11" x14ac:dyDescent="0.25">
      <c r="B669">
        <v>610000004146</v>
      </c>
      <c r="C669" t="s">
        <v>41</v>
      </c>
      <c r="D669">
        <v>17</v>
      </c>
      <c r="E669" t="s">
        <v>253</v>
      </c>
      <c r="F669" t="s">
        <v>241</v>
      </c>
      <c r="G669" t="s">
        <v>13</v>
      </c>
      <c r="H669" t="s">
        <v>14</v>
      </c>
      <c r="I669">
        <v>4916208</v>
      </c>
      <c r="J669" t="s">
        <v>22</v>
      </c>
      <c r="K669" s="1" t="str">
        <f>VLOOKUP(I669,'[1]PC50 Y2018 Status'!$D:$H,5,FALSE)</f>
        <v>REL  NMAT PRC  SETC</v>
      </c>
    </row>
    <row r="670" spans="2:11" x14ac:dyDescent="0.25">
      <c r="B670">
        <v>610000004156</v>
      </c>
      <c r="C670" t="s">
        <v>42</v>
      </c>
      <c r="D670">
        <v>17</v>
      </c>
      <c r="E670" t="s">
        <v>253</v>
      </c>
      <c r="F670" t="s">
        <v>241</v>
      </c>
      <c r="G670" t="s">
        <v>13</v>
      </c>
      <c r="H670" t="s">
        <v>14</v>
      </c>
      <c r="I670">
        <v>4916234</v>
      </c>
      <c r="J670" t="s">
        <v>22</v>
      </c>
      <c r="K670" s="1" t="str">
        <f>VLOOKUP(I670,'[1]PC50 Y2018 Status'!$D:$H,5,FALSE)</f>
        <v>REL  NMAT PRC  SETC</v>
      </c>
    </row>
    <row r="671" spans="2:11" x14ac:dyDescent="0.25">
      <c r="B671">
        <v>610000004163</v>
      </c>
      <c r="C671" t="s">
        <v>43</v>
      </c>
      <c r="D671">
        <v>52</v>
      </c>
      <c r="E671" t="s">
        <v>253</v>
      </c>
      <c r="F671" t="s">
        <v>241</v>
      </c>
      <c r="G671" t="s">
        <v>13</v>
      </c>
      <c r="H671" t="s">
        <v>14</v>
      </c>
      <c r="I671">
        <v>4917288</v>
      </c>
      <c r="J671" t="s">
        <v>22</v>
      </c>
      <c r="K671" s="1" t="str">
        <f>VLOOKUP(I671,'[1]PC50 Y2018 Status'!$D:$H,5,FALSE)</f>
        <v>REL  NMAT PRC  SETC</v>
      </c>
    </row>
    <row r="672" spans="2:11" x14ac:dyDescent="0.25">
      <c r="B672">
        <v>610000004175</v>
      </c>
      <c r="C672" t="s">
        <v>34</v>
      </c>
      <c r="D672">
        <v>107</v>
      </c>
      <c r="E672" t="s">
        <v>253</v>
      </c>
      <c r="F672" t="s">
        <v>241</v>
      </c>
      <c r="G672" t="s">
        <v>13</v>
      </c>
      <c r="H672" t="s">
        <v>14</v>
      </c>
      <c r="I672">
        <v>4917291</v>
      </c>
      <c r="J672" t="s">
        <v>22</v>
      </c>
      <c r="K672" s="1" t="str">
        <f>VLOOKUP(I672,'[1]PC50 Y2018 Status'!$D:$H,5,FALSE)</f>
        <v>REL  NMAT PRC  SETC</v>
      </c>
    </row>
    <row r="673" spans="2:11" x14ac:dyDescent="0.25">
      <c r="B673">
        <v>610000004069</v>
      </c>
      <c r="C673" t="s">
        <v>35</v>
      </c>
      <c r="D673">
        <v>108</v>
      </c>
      <c r="E673" t="s">
        <v>255</v>
      </c>
      <c r="F673" t="s">
        <v>241</v>
      </c>
      <c r="G673" t="s">
        <v>13</v>
      </c>
      <c r="H673" t="s">
        <v>14</v>
      </c>
      <c r="I673">
        <v>4917280</v>
      </c>
      <c r="J673" t="s">
        <v>15</v>
      </c>
      <c r="K673" s="1" t="str">
        <f>VLOOKUP(I673,'[1]PC50 Y2018 Status'!$D:$H,5,FALSE)</f>
        <v>CRTD MANC NMAT PRC</v>
      </c>
    </row>
    <row r="674" spans="2:11" x14ac:dyDescent="0.25">
      <c r="B674">
        <v>610000004070</v>
      </c>
      <c r="C674" t="s">
        <v>35</v>
      </c>
      <c r="D674">
        <v>108</v>
      </c>
      <c r="E674" t="s">
        <v>255</v>
      </c>
      <c r="F674" t="s">
        <v>241</v>
      </c>
      <c r="G674" t="s">
        <v>13</v>
      </c>
      <c r="H674" t="s">
        <v>14</v>
      </c>
      <c r="I674">
        <v>4917285</v>
      </c>
      <c r="J674" t="s">
        <v>15</v>
      </c>
      <c r="K674" s="1" t="str">
        <f>VLOOKUP(I674,'[1]PC50 Y2018 Status'!$D:$H,5,FALSE)</f>
        <v>CRTD MANC NMAT PRC</v>
      </c>
    </row>
    <row r="675" spans="2:11" x14ac:dyDescent="0.25">
      <c r="B675">
        <v>610000004068</v>
      </c>
      <c r="C675" t="s">
        <v>24</v>
      </c>
      <c r="D675">
        <v>217</v>
      </c>
      <c r="E675" t="s">
        <v>256</v>
      </c>
      <c r="F675" t="s">
        <v>257</v>
      </c>
      <c r="G675" t="s">
        <v>13</v>
      </c>
      <c r="H675" t="s">
        <v>14</v>
      </c>
      <c r="J675" t="s">
        <v>15</v>
      </c>
      <c r="K675" s="1" t="e">
        <f>VLOOKUP(I675,'[1]PC50 Y2018 Status'!$D:$H,5,FALSE)</f>
        <v>#N/A</v>
      </c>
    </row>
    <row r="676" spans="2:11" x14ac:dyDescent="0.25">
      <c r="B676">
        <v>610000004077</v>
      </c>
      <c r="C676" t="s">
        <v>39</v>
      </c>
      <c r="D676">
        <v>108</v>
      </c>
      <c r="E676" t="s">
        <v>256</v>
      </c>
      <c r="F676" t="s">
        <v>241</v>
      </c>
      <c r="G676" t="s">
        <v>13</v>
      </c>
      <c r="H676" t="s">
        <v>14</v>
      </c>
      <c r="I676">
        <v>4918097</v>
      </c>
      <c r="J676" t="s">
        <v>15</v>
      </c>
      <c r="K676" s="1" t="str">
        <f>VLOOKUP(I676,'[1]PC50 Y2018 Status'!$D:$H,5,FALSE)</f>
        <v>CRTD MANC NMAT PRC</v>
      </c>
    </row>
    <row r="677" spans="2:11" x14ac:dyDescent="0.25">
      <c r="B677">
        <v>610000004085</v>
      </c>
      <c r="C677" t="s">
        <v>18</v>
      </c>
      <c r="D677">
        <v>108</v>
      </c>
      <c r="E677" t="s">
        <v>256</v>
      </c>
      <c r="F677" t="s">
        <v>241</v>
      </c>
      <c r="G677" t="s">
        <v>13</v>
      </c>
      <c r="H677" t="s">
        <v>14</v>
      </c>
      <c r="I677">
        <v>4918080</v>
      </c>
      <c r="J677" t="s">
        <v>15</v>
      </c>
      <c r="K677" s="1" t="str">
        <f>VLOOKUP(I677,'[1]PC50 Y2018 Status'!$D:$H,5,FALSE)</f>
        <v>CRTD MANC NMAT PRC</v>
      </c>
    </row>
    <row r="678" spans="2:11" x14ac:dyDescent="0.25">
      <c r="B678">
        <v>610000004086</v>
      </c>
      <c r="C678" t="s">
        <v>18</v>
      </c>
      <c r="D678">
        <v>108</v>
      </c>
      <c r="E678" t="s">
        <v>256</v>
      </c>
      <c r="F678" t="s">
        <v>241</v>
      </c>
      <c r="G678" t="s">
        <v>13</v>
      </c>
      <c r="H678" t="s">
        <v>14</v>
      </c>
      <c r="I678">
        <v>4918111</v>
      </c>
      <c r="J678" t="s">
        <v>15</v>
      </c>
      <c r="K678" s="1" t="str">
        <f>VLOOKUP(I678,'[1]PC50 Y2018 Status'!$D:$H,5,FALSE)</f>
        <v>CRTD MANC NMAT PRC</v>
      </c>
    </row>
    <row r="679" spans="2:11" x14ac:dyDescent="0.25">
      <c r="B679">
        <v>610000004091</v>
      </c>
      <c r="C679" t="s">
        <v>47</v>
      </c>
      <c r="D679">
        <v>107</v>
      </c>
      <c r="E679" t="s">
        <v>258</v>
      </c>
      <c r="F679" t="s">
        <v>241</v>
      </c>
      <c r="G679" t="s">
        <v>13</v>
      </c>
      <c r="H679" t="s">
        <v>14</v>
      </c>
      <c r="I679">
        <v>4917930</v>
      </c>
      <c r="J679" t="s">
        <v>15</v>
      </c>
      <c r="K679" s="1" t="str">
        <f>VLOOKUP(I679,'[1]PC50 Y2018 Status'!$D:$H,5,FALSE)</f>
        <v>CRTD MANC NMAT PRC</v>
      </c>
    </row>
    <row r="680" spans="2:11" x14ac:dyDescent="0.25">
      <c r="B680">
        <v>610000004161</v>
      </c>
      <c r="C680" t="s">
        <v>48</v>
      </c>
      <c r="D680">
        <v>109</v>
      </c>
      <c r="E680" t="s">
        <v>258</v>
      </c>
      <c r="F680" t="s">
        <v>241</v>
      </c>
      <c r="G680" t="s">
        <v>13</v>
      </c>
      <c r="H680" t="s">
        <v>14</v>
      </c>
      <c r="I680">
        <v>4917933</v>
      </c>
      <c r="J680" t="s">
        <v>22</v>
      </c>
      <c r="K680" s="1" t="str">
        <f>VLOOKUP(I680,'[1]PC50 Y2018 Status'!$D:$H,5,FALSE)</f>
        <v>REL  NMAT PRC  SETC</v>
      </c>
    </row>
    <row r="681" spans="2:11" x14ac:dyDescent="0.25">
      <c r="B681">
        <v>342257</v>
      </c>
      <c r="C681" t="s">
        <v>25</v>
      </c>
      <c r="D681">
        <v>182</v>
      </c>
      <c r="E681" t="s">
        <v>259</v>
      </c>
      <c r="F681" t="s">
        <v>257</v>
      </c>
      <c r="G681" t="s">
        <v>13</v>
      </c>
      <c r="H681" t="s">
        <v>14</v>
      </c>
      <c r="J681" t="s">
        <v>15</v>
      </c>
      <c r="K681" s="1" t="e">
        <f>VLOOKUP(I681,'[1]PC50 Y2018 Status'!$D:$H,5,FALSE)</f>
        <v>#N/A</v>
      </c>
    </row>
    <row r="682" spans="2:11" x14ac:dyDescent="0.25">
      <c r="B682">
        <v>347637</v>
      </c>
      <c r="C682" t="s">
        <v>27</v>
      </c>
      <c r="D682">
        <v>40</v>
      </c>
      <c r="E682" t="s">
        <v>259</v>
      </c>
      <c r="F682" t="s">
        <v>257</v>
      </c>
      <c r="G682" t="s">
        <v>13</v>
      </c>
      <c r="H682" t="s">
        <v>14</v>
      </c>
      <c r="J682" t="s">
        <v>15</v>
      </c>
      <c r="K682" s="1" t="e">
        <f>VLOOKUP(I682,'[1]PC50 Y2018 Status'!$D:$H,5,FALSE)</f>
        <v>#N/A</v>
      </c>
    </row>
    <row r="683" spans="2:11" x14ac:dyDescent="0.25">
      <c r="B683">
        <v>610000004101</v>
      </c>
      <c r="C683" t="s">
        <v>51</v>
      </c>
      <c r="D683">
        <v>59</v>
      </c>
      <c r="E683" t="s">
        <v>259</v>
      </c>
      <c r="F683" t="s">
        <v>241</v>
      </c>
      <c r="G683" t="s">
        <v>13</v>
      </c>
      <c r="H683" t="s">
        <v>14</v>
      </c>
      <c r="I683">
        <v>4918107</v>
      </c>
      <c r="J683" t="s">
        <v>22</v>
      </c>
      <c r="K683" s="1" t="str">
        <f>VLOOKUP(I683,'[1]PC50 Y2018 Status'!$D:$H,5,FALSE)</f>
        <v>REL  NMAT PRC  SETC</v>
      </c>
    </row>
    <row r="684" spans="2:11" x14ac:dyDescent="0.25">
      <c r="B684">
        <v>610000004109</v>
      </c>
      <c r="C684" t="s">
        <v>53</v>
      </c>
      <c r="D684">
        <v>9</v>
      </c>
      <c r="E684" t="s">
        <v>259</v>
      </c>
      <c r="F684" t="s">
        <v>241</v>
      </c>
      <c r="G684" t="s">
        <v>13</v>
      </c>
      <c r="H684" t="s">
        <v>14</v>
      </c>
      <c r="I684">
        <v>4914475</v>
      </c>
      <c r="J684" t="s">
        <v>22</v>
      </c>
      <c r="K684" s="1" t="str">
        <f>VLOOKUP(I684,'[1]PC50 Y2018 Status'!$D:$H,5,FALSE)</f>
        <v>REL  NMAT PRC  SETC</v>
      </c>
    </row>
    <row r="685" spans="2:11" x14ac:dyDescent="0.25">
      <c r="B685">
        <v>610000004121</v>
      </c>
      <c r="C685" t="s">
        <v>54</v>
      </c>
      <c r="D685">
        <v>59</v>
      </c>
      <c r="E685" t="s">
        <v>259</v>
      </c>
      <c r="F685" t="s">
        <v>241</v>
      </c>
      <c r="G685" t="s">
        <v>13</v>
      </c>
      <c r="H685" t="s">
        <v>14</v>
      </c>
      <c r="I685">
        <v>4918116</v>
      </c>
      <c r="J685" t="s">
        <v>22</v>
      </c>
      <c r="K685" s="1" t="str">
        <f>VLOOKUP(I685,'[1]PC50 Y2018 Status'!$D:$H,5,FALSE)</f>
        <v>REL  NMAT PRC  SETC</v>
      </c>
    </row>
    <row r="686" spans="2:11" x14ac:dyDescent="0.25">
      <c r="B686">
        <v>610000004143</v>
      </c>
      <c r="C686" t="s">
        <v>55</v>
      </c>
      <c r="D686">
        <v>27</v>
      </c>
      <c r="E686" t="s">
        <v>259</v>
      </c>
      <c r="F686" t="s">
        <v>257</v>
      </c>
      <c r="G686" t="s">
        <v>13</v>
      </c>
      <c r="H686" t="s">
        <v>14</v>
      </c>
      <c r="J686" t="s">
        <v>22</v>
      </c>
      <c r="K686" s="1" t="e">
        <f>VLOOKUP(I686,'[1]PC50 Y2018 Status'!$D:$H,5,FALSE)</f>
        <v>#N/A</v>
      </c>
    </row>
    <row r="687" spans="2:11" x14ac:dyDescent="0.25">
      <c r="B687">
        <v>610000004153</v>
      </c>
      <c r="C687" t="s">
        <v>56</v>
      </c>
      <c r="D687">
        <v>27</v>
      </c>
      <c r="E687" t="s">
        <v>259</v>
      </c>
      <c r="F687" t="s">
        <v>257</v>
      </c>
      <c r="G687" t="s">
        <v>13</v>
      </c>
      <c r="H687" t="s">
        <v>14</v>
      </c>
      <c r="J687" t="s">
        <v>22</v>
      </c>
      <c r="K687" s="1" t="e">
        <f>VLOOKUP(I687,'[1]PC50 Y2018 Status'!$D:$H,5,FALSE)</f>
        <v>#N/A</v>
      </c>
    </row>
    <row r="688" spans="2:11" x14ac:dyDescent="0.25">
      <c r="B688">
        <v>610000004050</v>
      </c>
      <c r="C688" t="s">
        <v>17</v>
      </c>
      <c r="D688">
        <v>108</v>
      </c>
      <c r="E688" t="s">
        <v>260</v>
      </c>
      <c r="F688" t="s">
        <v>241</v>
      </c>
      <c r="G688" t="s">
        <v>13</v>
      </c>
      <c r="H688" t="s">
        <v>14</v>
      </c>
      <c r="I688">
        <v>4918089</v>
      </c>
      <c r="J688" t="s">
        <v>15</v>
      </c>
      <c r="K688" s="1" t="str">
        <f>VLOOKUP(I688,'[1]PC50 Y2018 Status'!$D:$H,5,FALSE)</f>
        <v>CRTD MANC NMAT PRC</v>
      </c>
    </row>
    <row r="689" spans="2:11" x14ac:dyDescent="0.25">
      <c r="B689">
        <v>610000004149</v>
      </c>
      <c r="C689" t="s">
        <v>58</v>
      </c>
      <c r="D689">
        <v>9</v>
      </c>
      <c r="E689" t="s">
        <v>260</v>
      </c>
      <c r="F689" t="s">
        <v>241</v>
      </c>
      <c r="G689" t="s">
        <v>13</v>
      </c>
      <c r="H689" t="s">
        <v>14</v>
      </c>
      <c r="I689">
        <v>4914459</v>
      </c>
      <c r="J689" t="s">
        <v>22</v>
      </c>
      <c r="K689" s="1" t="str">
        <f>VLOOKUP(I689,'[1]PC50 Y2018 Status'!$D:$H,5,FALSE)</f>
        <v>REL  NMAT PRC  SETC</v>
      </c>
    </row>
    <row r="690" spans="2:11" x14ac:dyDescent="0.25">
      <c r="B690">
        <v>610000004178</v>
      </c>
      <c r="C690" t="s">
        <v>59</v>
      </c>
      <c r="D690">
        <v>27</v>
      </c>
      <c r="E690" t="s">
        <v>260</v>
      </c>
      <c r="F690" t="s">
        <v>257</v>
      </c>
      <c r="G690" t="s">
        <v>13</v>
      </c>
      <c r="H690" t="s">
        <v>14</v>
      </c>
      <c r="J690" t="s">
        <v>22</v>
      </c>
      <c r="K690" s="1" t="e">
        <f>VLOOKUP(I690,'[1]PC50 Y2018 Status'!$D:$H,5,FALSE)</f>
        <v>#N/A</v>
      </c>
    </row>
    <row r="691" spans="2:11" x14ac:dyDescent="0.25">
      <c r="B691">
        <v>610000004128</v>
      </c>
      <c r="C691" t="s">
        <v>61</v>
      </c>
      <c r="D691">
        <v>60</v>
      </c>
      <c r="E691" t="s">
        <v>261</v>
      </c>
      <c r="F691" t="s">
        <v>241</v>
      </c>
      <c r="G691" t="s">
        <v>13</v>
      </c>
      <c r="H691" t="s">
        <v>14</v>
      </c>
      <c r="I691">
        <v>4917931</v>
      </c>
      <c r="J691" t="s">
        <v>22</v>
      </c>
      <c r="K691" s="1" t="str">
        <f>VLOOKUP(I691,'[1]PC50 Y2018 Status'!$D:$H,5,FALSE)</f>
        <v>REL  NMAT PRC  SETC</v>
      </c>
    </row>
    <row r="692" spans="2:11" x14ac:dyDescent="0.25">
      <c r="B692">
        <v>610000004142</v>
      </c>
      <c r="C692" t="s">
        <v>55</v>
      </c>
      <c r="D692">
        <v>59</v>
      </c>
      <c r="E692" t="s">
        <v>261</v>
      </c>
      <c r="F692" t="s">
        <v>241</v>
      </c>
      <c r="G692" t="s">
        <v>13</v>
      </c>
      <c r="H692" t="s">
        <v>14</v>
      </c>
      <c r="I692">
        <v>4918115</v>
      </c>
      <c r="J692" t="s">
        <v>22</v>
      </c>
      <c r="K692" s="1" t="str">
        <f>VLOOKUP(I692,'[1]PC50 Y2018 Status'!$D:$H,5,FALSE)</f>
        <v>REL  NMAT PRC  SETC</v>
      </c>
    </row>
    <row r="693" spans="2:11" x14ac:dyDescent="0.25">
      <c r="B693">
        <v>610000004151</v>
      </c>
      <c r="C693" t="s">
        <v>62</v>
      </c>
      <c r="D693">
        <v>59</v>
      </c>
      <c r="E693" t="s">
        <v>261</v>
      </c>
      <c r="F693" t="s">
        <v>241</v>
      </c>
      <c r="G693" t="s">
        <v>13</v>
      </c>
      <c r="H693" t="s">
        <v>14</v>
      </c>
      <c r="I693">
        <v>4918110</v>
      </c>
      <c r="J693" t="s">
        <v>22</v>
      </c>
      <c r="K693" s="1" t="str">
        <f>VLOOKUP(I693,'[1]PC50 Y2018 Status'!$D:$H,5,FALSE)</f>
        <v>REL  NMAT PRC  SETC</v>
      </c>
    </row>
    <row r="694" spans="2:11" x14ac:dyDescent="0.25">
      <c r="B694">
        <v>610000004031</v>
      </c>
      <c r="C694" t="s">
        <v>16</v>
      </c>
      <c r="D694">
        <v>107</v>
      </c>
      <c r="E694" t="s">
        <v>262</v>
      </c>
      <c r="F694" t="s">
        <v>257</v>
      </c>
      <c r="G694" t="s">
        <v>13</v>
      </c>
      <c r="H694" t="s">
        <v>14</v>
      </c>
      <c r="J694" t="s">
        <v>15</v>
      </c>
      <c r="K694" s="1" t="e">
        <f>VLOOKUP(I694,'[1]PC50 Y2018 Status'!$D:$H,5,FALSE)</f>
        <v>#N/A</v>
      </c>
    </row>
    <row r="695" spans="2:11" x14ac:dyDescent="0.25">
      <c r="B695">
        <v>610000004051</v>
      </c>
      <c r="C695" t="s">
        <v>17</v>
      </c>
      <c r="D695">
        <v>108</v>
      </c>
      <c r="E695" t="s">
        <v>262</v>
      </c>
      <c r="F695" t="s">
        <v>257</v>
      </c>
      <c r="G695" t="s">
        <v>13</v>
      </c>
      <c r="H695" t="s">
        <v>14</v>
      </c>
      <c r="J695" t="s">
        <v>15</v>
      </c>
      <c r="K695" s="1" t="e">
        <f>VLOOKUP(I695,'[1]PC50 Y2018 Status'!$D:$H,5,FALSE)</f>
        <v>#N/A</v>
      </c>
    </row>
    <row r="696" spans="2:11" x14ac:dyDescent="0.25">
      <c r="B696">
        <v>342258</v>
      </c>
      <c r="C696" t="s">
        <v>18</v>
      </c>
      <c r="D696">
        <v>91</v>
      </c>
      <c r="E696" t="s">
        <v>263</v>
      </c>
      <c r="F696" t="s">
        <v>257</v>
      </c>
      <c r="G696" t="s">
        <v>13</v>
      </c>
      <c r="H696" t="s">
        <v>14</v>
      </c>
      <c r="J696" t="s">
        <v>15</v>
      </c>
      <c r="K696" s="1" t="e">
        <f>VLOOKUP(I696,'[1]PC50 Y2018 Status'!$D:$H,5,FALSE)</f>
        <v>#N/A</v>
      </c>
    </row>
    <row r="697" spans="2:11" x14ac:dyDescent="0.25">
      <c r="B697">
        <v>342279</v>
      </c>
      <c r="C697" t="s">
        <v>64</v>
      </c>
      <c r="D697">
        <v>42</v>
      </c>
      <c r="E697" t="s">
        <v>263</v>
      </c>
      <c r="F697" t="s">
        <v>257</v>
      </c>
      <c r="G697" t="s">
        <v>13</v>
      </c>
      <c r="H697" t="s">
        <v>14</v>
      </c>
      <c r="J697" t="s">
        <v>15</v>
      </c>
      <c r="K697" s="1" t="e">
        <f>VLOOKUP(I697,'[1]PC50 Y2018 Status'!$D:$H,5,FALSE)</f>
        <v>#N/A</v>
      </c>
    </row>
    <row r="698" spans="2:11" x14ac:dyDescent="0.25">
      <c r="B698">
        <v>610000004032</v>
      </c>
      <c r="C698" t="s">
        <v>32</v>
      </c>
      <c r="D698">
        <v>58</v>
      </c>
      <c r="E698" t="s">
        <v>263</v>
      </c>
      <c r="F698" t="s">
        <v>257</v>
      </c>
      <c r="G698" t="s">
        <v>13</v>
      </c>
      <c r="H698" t="s">
        <v>14</v>
      </c>
      <c r="J698" t="s">
        <v>15</v>
      </c>
      <c r="K698" s="1" t="e">
        <f>VLOOKUP(I698,'[1]PC50 Y2018 Status'!$D:$H,5,FALSE)</f>
        <v>#N/A</v>
      </c>
    </row>
    <row r="699" spans="2:11" x14ac:dyDescent="0.25">
      <c r="B699">
        <v>347716</v>
      </c>
      <c r="C699" t="s">
        <v>28</v>
      </c>
      <c r="D699">
        <v>9</v>
      </c>
      <c r="E699" t="s">
        <v>264</v>
      </c>
      <c r="F699" t="s">
        <v>257</v>
      </c>
      <c r="G699" t="s">
        <v>13</v>
      </c>
      <c r="H699" t="s">
        <v>14</v>
      </c>
      <c r="J699" t="s">
        <v>22</v>
      </c>
      <c r="K699" s="1" t="e">
        <f>VLOOKUP(I699,'[1]PC50 Y2018 Status'!$D:$H,5,FALSE)</f>
        <v>#N/A</v>
      </c>
    </row>
    <row r="700" spans="2:11" x14ac:dyDescent="0.25">
      <c r="B700">
        <v>347741</v>
      </c>
      <c r="C700" t="s">
        <v>28</v>
      </c>
      <c r="D700">
        <v>9</v>
      </c>
      <c r="E700" t="s">
        <v>264</v>
      </c>
      <c r="F700" t="s">
        <v>257</v>
      </c>
      <c r="G700" t="s">
        <v>13</v>
      </c>
      <c r="H700" t="s">
        <v>14</v>
      </c>
      <c r="J700" t="s">
        <v>22</v>
      </c>
      <c r="K700" s="1" t="e">
        <f>VLOOKUP(I700,'[1]PC50 Y2018 Status'!$D:$H,5,FALSE)</f>
        <v>#N/A</v>
      </c>
    </row>
    <row r="701" spans="2:11" x14ac:dyDescent="0.25">
      <c r="B701">
        <v>610000004055</v>
      </c>
      <c r="C701" t="s">
        <v>87</v>
      </c>
      <c r="D701">
        <v>48</v>
      </c>
      <c r="E701" t="s">
        <v>264</v>
      </c>
      <c r="F701" t="s">
        <v>257</v>
      </c>
      <c r="G701" t="s">
        <v>13</v>
      </c>
      <c r="H701" t="s">
        <v>14</v>
      </c>
      <c r="J701" t="s">
        <v>15</v>
      </c>
      <c r="K701" s="1" t="e">
        <f>VLOOKUP(I701,'[1]PC50 Y2018 Status'!$D:$H,5,FALSE)</f>
        <v>#N/A</v>
      </c>
    </row>
    <row r="702" spans="2:11" x14ac:dyDescent="0.25">
      <c r="B702">
        <v>610000004068</v>
      </c>
      <c r="C702" t="s">
        <v>24</v>
      </c>
      <c r="D702">
        <v>218</v>
      </c>
      <c r="E702" t="s">
        <v>264</v>
      </c>
      <c r="F702" t="s">
        <v>257</v>
      </c>
      <c r="G702" t="s">
        <v>13</v>
      </c>
      <c r="H702" t="s">
        <v>14</v>
      </c>
      <c r="J702" t="s">
        <v>15</v>
      </c>
      <c r="K702" s="1" t="e">
        <f>VLOOKUP(I702,'[1]PC50 Y2018 Status'!$D:$H,5,FALSE)</f>
        <v>#N/A</v>
      </c>
    </row>
    <row r="703" spans="2:11" x14ac:dyDescent="0.25">
      <c r="B703">
        <v>610000004102</v>
      </c>
      <c r="C703" t="s">
        <v>67</v>
      </c>
      <c r="D703">
        <v>51</v>
      </c>
      <c r="E703" t="s">
        <v>264</v>
      </c>
      <c r="F703" t="s">
        <v>257</v>
      </c>
      <c r="G703" t="s">
        <v>13</v>
      </c>
      <c r="H703" t="s">
        <v>14</v>
      </c>
      <c r="J703" t="s">
        <v>22</v>
      </c>
      <c r="K703" s="1" t="e">
        <f>VLOOKUP(I703,'[1]PC50 Y2018 Status'!$D:$H,5,FALSE)</f>
        <v>#N/A</v>
      </c>
    </row>
    <row r="704" spans="2:11" x14ac:dyDescent="0.25">
      <c r="B704">
        <v>610000004129</v>
      </c>
      <c r="C704" t="s">
        <v>68</v>
      </c>
      <c r="D704">
        <v>51</v>
      </c>
      <c r="E704" t="s">
        <v>264</v>
      </c>
      <c r="F704" t="s">
        <v>257</v>
      </c>
      <c r="G704" t="s">
        <v>13</v>
      </c>
      <c r="H704" t="s">
        <v>14</v>
      </c>
      <c r="J704" t="s">
        <v>22</v>
      </c>
      <c r="K704" s="1" t="e">
        <f>VLOOKUP(I704,'[1]PC50 Y2018 Status'!$D:$H,5,FALSE)</f>
        <v>#N/A</v>
      </c>
    </row>
    <row r="705" spans="2:11" x14ac:dyDescent="0.25">
      <c r="B705">
        <v>610000004177</v>
      </c>
      <c r="C705" t="s">
        <v>37</v>
      </c>
      <c r="D705">
        <v>52</v>
      </c>
      <c r="E705" t="s">
        <v>264</v>
      </c>
      <c r="F705" t="s">
        <v>257</v>
      </c>
      <c r="G705" t="s">
        <v>13</v>
      </c>
      <c r="H705" t="s">
        <v>14</v>
      </c>
      <c r="J705" t="s">
        <v>22</v>
      </c>
      <c r="K705" s="1" t="e">
        <f>VLOOKUP(I705,'[1]PC50 Y2018 Status'!$D:$H,5,FALSE)</f>
        <v>#N/A</v>
      </c>
    </row>
    <row r="706" spans="2:11" x14ac:dyDescent="0.25">
      <c r="B706">
        <v>342257</v>
      </c>
      <c r="C706" t="s">
        <v>25</v>
      </c>
      <c r="D706">
        <v>183</v>
      </c>
      <c r="E706" t="s">
        <v>265</v>
      </c>
      <c r="F706" t="s">
        <v>257</v>
      </c>
      <c r="G706" t="s">
        <v>13</v>
      </c>
      <c r="H706" t="s">
        <v>14</v>
      </c>
      <c r="J706" t="s">
        <v>15</v>
      </c>
      <c r="K706" s="1" t="e">
        <f>VLOOKUP(I706,'[1]PC50 Y2018 Status'!$D:$H,5,FALSE)</f>
        <v>#N/A</v>
      </c>
    </row>
    <row r="707" spans="2:11" x14ac:dyDescent="0.25">
      <c r="B707">
        <v>347637</v>
      </c>
      <c r="C707" t="s">
        <v>27</v>
      </c>
      <c r="D707">
        <v>41</v>
      </c>
      <c r="E707" t="s">
        <v>265</v>
      </c>
      <c r="F707" t="s">
        <v>257</v>
      </c>
      <c r="G707" t="s">
        <v>13</v>
      </c>
      <c r="H707" t="s">
        <v>14</v>
      </c>
      <c r="J707" t="s">
        <v>15</v>
      </c>
      <c r="K707" s="1" t="e">
        <f>VLOOKUP(I707,'[1]PC50 Y2018 Status'!$D:$H,5,FALSE)</f>
        <v>#N/A</v>
      </c>
    </row>
    <row r="708" spans="2:11" x14ac:dyDescent="0.25">
      <c r="B708">
        <v>347638</v>
      </c>
      <c r="C708" t="s">
        <v>16</v>
      </c>
      <c r="D708">
        <v>21</v>
      </c>
      <c r="E708" t="s">
        <v>265</v>
      </c>
      <c r="F708" t="s">
        <v>257</v>
      </c>
      <c r="G708" t="s">
        <v>13</v>
      </c>
      <c r="H708" t="s">
        <v>14</v>
      </c>
      <c r="J708" t="s">
        <v>15</v>
      </c>
      <c r="K708" s="1" t="e">
        <f>VLOOKUP(I708,'[1]PC50 Y2018 Status'!$D:$H,5,FALSE)</f>
        <v>#N/A</v>
      </c>
    </row>
    <row r="709" spans="2:11" x14ac:dyDescent="0.25">
      <c r="B709">
        <v>610000004090</v>
      </c>
      <c r="C709" t="s">
        <v>74</v>
      </c>
      <c r="D709">
        <v>9</v>
      </c>
      <c r="E709" t="s">
        <v>265</v>
      </c>
      <c r="F709" t="s">
        <v>241</v>
      </c>
      <c r="G709" t="s">
        <v>13</v>
      </c>
      <c r="H709" t="s">
        <v>14</v>
      </c>
      <c r="I709">
        <v>4916067</v>
      </c>
      <c r="J709" t="s">
        <v>15</v>
      </c>
      <c r="K709" s="1" t="str">
        <f>VLOOKUP(I709,'[1]PC50 Y2018 Status'!$D:$H,5,FALSE)</f>
        <v>CRTD MANC NMAT PRC</v>
      </c>
    </row>
    <row r="710" spans="2:11" x14ac:dyDescent="0.25">
      <c r="B710">
        <v>342741</v>
      </c>
      <c r="C710" t="s">
        <v>77</v>
      </c>
      <c r="D710">
        <v>7</v>
      </c>
      <c r="E710" t="s">
        <v>266</v>
      </c>
      <c r="F710" t="s">
        <v>241</v>
      </c>
      <c r="G710" t="s">
        <v>13</v>
      </c>
      <c r="H710" t="s">
        <v>14</v>
      </c>
      <c r="I710">
        <v>4916268</v>
      </c>
      <c r="J710" t="s">
        <v>22</v>
      </c>
      <c r="K710" s="1" t="str">
        <f>VLOOKUP(I710,'[1]PC50 Y2018 Status'!$D:$H,5,FALSE)</f>
        <v>REL  NMAT PRC  SETC</v>
      </c>
    </row>
    <row r="711" spans="2:11" x14ac:dyDescent="0.25">
      <c r="B711">
        <v>347678</v>
      </c>
      <c r="C711" t="s">
        <v>28</v>
      </c>
      <c r="D711">
        <v>10</v>
      </c>
      <c r="E711" t="s">
        <v>266</v>
      </c>
      <c r="F711" t="s">
        <v>257</v>
      </c>
      <c r="G711" t="s">
        <v>13</v>
      </c>
      <c r="H711" t="s">
        <v>14</v>
      </c>
      <c r="J711" t="s">
        <v>22</v>
      </c>
      <c r="K711" s="1" t="e">
        <f>VLOOKUP(I711,'[1]PC50 Y2018 Status'!$D:$H,5,FALSE)</f>
        <v>#N/A</v>
      </c>
    </row>
    <row r="712" spans="2:11" x14ac:dyDescent="0.25">
      <c r="B712">
        <v>347679</v>
      </c>
      <c r="C712" t="s">
        <v>78</v>
      </c>
      <c r="D712">
        <v>5</v>
      </c>
      <c r="E712" t="s">
        <v>266</v>
      </c>
      <c r="F712" t="s">
        <v>241</v>
      </c>
      <c r="G712" t="s">
        <v>13</v>
      </c>
      <c r="H712" t="s">
        <v>14</v>
      </c>
      <c r="I712">
        <v>4917318</v>
      </c>
      <c r="J712" t="s">
        <v>22</v>
      </c>
      <c r="K712" s="1" t="str">
        <f>VLOOKUP(I712,'[1]PC50 Y2018 Status'!$D:$H,5,FALSE)</f>
        <v>REL  NMAT PRC  SETC</v>
      </c>
    </row>
    <row r="713" spans="2:11" x14ac:dyDescent="0.25">
      <c r="B713">
        <v>610000004049</v>
      </c>
      <c r="C713" t="s">
        <v>79</v>
      </c>
      <c r="D713">
        <v>9</v>
      </c>
      <c r="E713" t="s">
        <v>266</v>
      </c>
      <c r="F713" t="s">
        <v>241</v>
      </c>
      <c r="G713" t="s">
        <v>13</v>
      </c>
      <c r="H713" t="s">
        <v>14</v>
      </c>
      <c r="I713">
        <v>4913039</v>
      </c>
      <c r="J713" t="s">
        <v>15</v>
      </c>
      <c r="K713" s="1" t="str">
        <f>VLOOKUP(I713,'[1]PC50 Y2018 Status'!$D:$H,5,FALSE)</f>
        <v>CRTD MANC NMAT PRC</v>
      </c>
    </row>
    <row r="714" spans="2:11" x14ac:dyDescent="0.25">
      <c r="B714">
        <v>610000004162</v>
      </c>
      <c r="C714" t="s">
        <v>43</v>
      </c>
      <c r="D714">
        <v>51</v>
      </c>
      <c r="E714" t="s">
        <v>266</v>
      </c>
      <c r="F714" t="s">
        <v>257</v>
      </c>
      <c r="G714" t="s">
        <v>13</v>
      </c>
      <c r="H714" t="s">
        <v>14</v>
      </c>
      <c r="J714" t="s">
        <v>22</v>
      </c>
      <c r="K714" s="1" t="e">
        <f>VLOOKUP(I714,'[1]PC50 Y2018 Status'!$D:$H,5,FALSE)</f>
        <v>#N/A</v>
      </c>
    </row>
    <row r="715" spans="2:11" x14ac:dyDescent="0.25">
      <c r="B715">
        <v>342586</v>
      </c>
      <c r="C715" t="s">
        <v>82</v>
      </c>
      <c r="D715">
        <v>38</v>
      </c>
      <c r="E715" t="s">
        <v>267</v>
      </c>
      <c r="F715" t="s">
        <v>257</v>
      </c>
      <c r="G715" t="s">
        <v>13</v>
      </c>
      <c r="H715" t="s">
        <v>14</v>
      </c>
      <c r="J715" t="s">
        <v>22</v>
      </c>
      <c r="K715" s="1" t="e">
        <f>VLOOKUP(I715,'[1]PC50 Y2018 Status'!$D:$H,5,FALSE)</f>
        <v>#N/A</v>
      </c>
    </row>
    <row r="716" spans="2:11" x14ac:dyDescent="0.25">
      <c r="B716">
        <v>610000004175</v>
      </c>
      <c r="C716" t="s">
        <v>34</v>
      </c>
      <c r="D716">
        <v>108</v>
      </c>
      <c r="E716" t="s">
        <v>267</v>
      </c>
      <c r="F716" t="s">
        <v>257</v>
      </c>
      <c r="G716" t="s">
        <v>13</v>
      </c>
      <c r="H716" t="s">
        <v>14</v>
      </c>
      <c r="J716" t="s">
        <v>22</v>
      </c>
      <c r="K716" s="1" t="e">
        <f>VLOOKUP(I716,'[1]PC50 Y2018 Status'!$D:$H,5,FALSE)</f>
        <v>#N/A</v>
      </c>
    </row>
    <row r="717" spans="2:11" x14ac:dyDescent="0.25">
      <c r="B717">
        <v>610000004069</v>
      </c>
      <c r="C717" t="s">
        <v>35</v>
      </c>
      <c r="D717">
        <v>109</v>
      </c>
      <c r="E717" t="s">
        <v>268</v>
      </c>
      <c r="F717" t="s">
        <v>257</v>
      </c>
      <c r="G717" t="s">
        <v>13</v>
      </c>
      <c r="H717" t="s">
        <v>14</v>
      </c>
      <c r="J717" t="s">
        <v>15</v>
      </c>
      <c r="K717" s="1" t="e">
        <f>VLOOKUP(I717,'[1]PC50 Y2018 Status'!$D:$H,5,FALSE)</f>
        <v>#N/A</v>
      </c>
    </row>
    <row r="718" spans="2:11" x14ac:dyDescent="0.25">
      <c r="B718">
        <v>610000004070</v>
      </c>
      <c r="C718" t="s">
        <v>35</v>
      </c>
      <c r="D718">
        <v>109</v>
      </c>
      <c r="E718" t="s">
        <v>268</v>
      </c>
      <c r="F718" t="s">
        <v>257</v>
      </c>
      <c r="G718" t="s">
        <v>13</v>
      </c>
      <c r="H718" t="s">
        <v>14</v>
      </c>
      <c r="J718" t="s">
        <v>15</v>
      </c>
      <c r="K718" s="1" t="e">
        <f>VLOOKUP(I718,'[1]PC50 Y2018 Status'!$D:$H,5,FALSE)</f>
        <v>#N/A</v>
      </c>
    </row>
    <row r="719" spans="2:11" x14ac:dyDescent="0.25">
      <c r="B719">
        <v>610000004152</v>
      </c>
      <c r="C719" t="s">
        <v>82</v>
      </c>
      <c r="D719">
        <v>51</v>
      </c>
      <c r="E719" t="s">
        <v>268</v>
      </c>
      <c r="F719" t="s">
        <v>257</v>
      </c>
      <c r="G719" t="s">
        <v>13</v>
      </c>
      <c r="H719" t="s">
        <v>14</v>
      </c>
      <c r="J719" t="s">
        <v>22</v>
      </c>
      <c r="K719" s="1" t="e">
        <f>VLOOKUP(I719,'[1]PC50 Y2018 Status'!$D:$H,5,FALSE)</f>
        <v>#N/A</v>
      </c>
    </row>
    <row r="720" spans="2:11" x14ac:dyDescent="0.25">
      <c r="B720">
        <v>347639</v>
      </c>
      <c r="C720" t="s">
        <v>32</v>
      </c>
      <c r="D720">
        <v>9</v>
      </c>
      <c r="E720" t="s">
        <v>269</v>
      </c>
      <c r="F720" t="s">
        <v>257</v>
      </c>
      <c r="G720" t="s">
        <v>13</v>
      </c>
      <c r="H720" t="s">
        <v>14</v>
      </c>
      <c r="J720" t="s">
        <v>15</v>
      </c>
      <c r="K720" s="1" t="e">
        <f>VLOOKUP(I720,'[1]PC50 Y2018 Status'!$D:$H,5,FALSE)</f>
        <v>#N/A</v>
      </c>
    </row>
    <row r="721" spans="2:11" x14ac:dyDescent="0.25">
      <c r="B721">
        <v>610000004052</v>
      </c>
      <c r="C721" t="s">
        <v>46</v>
      </c>
      <c r="D721">
        <v>50</v>
      </c>
      <c r="E721" t="s">
        <v>269</v>
      </c>
      <c r="F721" t="s">
        <v>257</v>
      </c>
      <c r="G721" t="s">
        <v>13</v>
      </c>
      <c r="H721" t="s">
        <v>14</v>
      </c>
      <c r="J721" t="s">
        <v>15</v>
      </c>
      <c r="K721" s="1" t="e">
        <f>VLOOKUP(I721,'[1]PC50 Y2018 Status'!$D:$H,5,FALSE)</f>
        <v>#N/A</v>
      </c>
    </row>
    <row r="722" spans="2:11" x14ac:dyDescent="0.25">
      <c r="B722">
        <v>610000004068</v>
      </c>
      <c r="C722" t="s">
        <v>24</v>
      </c>
      <c r="D722">
        <v>219</v>
      </c>
      <c r="E722" t="s">
        <v>269</v>
      </c>
      <c r="F722" t="s">
        <v>257</v>
      </c>
      <c r="G722" t="s">
        <v>13</v>
      </c>
      <c r="H722" t="s">
        <v>14</v>
      </c>
      <c r="J722" t="s">
        <v>15</v>
      </c>
      <c r="K722" s="1" t="e">
        <f>VLOOKUP(I722,'[1]PC50 Y2018 Status'!$D:$H,5,FALSE)</f>
        <v>#N/A</v>
      </c>
    </row>
    <row r="723" spans="2:11" x14ac:dyDescent="0.25">
      <c r="B723">
        <v>610000004077</v>
      </c>
      <c r="C723" t="s">
        <v>39</v>
      </c>
      <c r="D723">
        <v>109</v>
      </c>
      <c r="E723" t="s">
        <v>269</v>
      </c>
      <c r="F723" t="s">
        <v>257</v>
      </c>
      <c r="G723" t="s">
        <v>13</v>
      </c>
      <c r="H723" t="s">
        <v>14</v>
      </c>
      <c r="J723" t="s">
        <v>15</v>
      </c>
      <c r="K723" s="1" t="e">
        <f>VLOOKUP(I723,'[1]PC50 Y2018 Status'!$D:$H,5,FALSE)</f>
        <v>#N/A</v>
      </c>
    </row>
    <row r="724" spans="2:11" x14ac:dyDescent="0.25">
      <c r="B724">
        <v>610000004081</v>
      </c>
      <c r="C724" t="s">
        <v>71</v>
      </c>
      <c r="D724">
        <v>20</v>
      </c>
      <c r="E724" t="s">
        <v>269</v>
      </c>
      <c r="F724" t="s">
        <v>257</v>
      </c>
      <c r="G724" t="s">
        <v>13</v>
      </c>
      <c r="H724" t="s">
        <v>14</v>
      </c>
      <c r="J724" t="s">
        <v>15</v>
      </c>
      <c r="K724" s="1" t="e">
        <f>VLOOKUP(I724,'[1]PC50 Y2018 Status'!$D:$H,5,FALSE)</f>
        <v>#N/A</v>
      </c>
    </row>
    <row r="725" spans="2:11" x14ac:dyDescent="0.25">
      <c r="B725">
        <v>610000004085</v>
      </c>
      <c r="C725" t="s">
        <v>18</v>
      </c>
      <c r="D725">
        <v>109</v>
      </c>
      <c r="E725" t="s">
        <v>269</v>
      </c>
      <c r="F725" t="s">
        <v>257</v>
      </c>
      <c r="G725" t="s">
        <v>13</v>
      </c>
      <c r="H725" t="s">
        <v>14</v>
      </c>
      <c r="J725" t="s">
        <v>15</v>
      </c>
      <c r="K725" s="1" t="e">
        <f>VLOOKUP(I725,'[1]PC50 Y2018 Status'!$D:$H,5,FALSE)</f>
        <v>#N/A</v>
      </c>
    </row>
    <row r="726" spans="2:11" x14ac:dyDescent="0.25">
      <c r="B726">
        <v>610000004086</v>
      </c>
      <c r="C726" t="s">
        <v>18</v>
      </c>
      <c r="D726">
        <v>109</v>
      </c>
      <c r="E726" t="s">
        <v>269</v>
      </c>
      <c r="F726" t="s">
        <v>257</v>
      </c>
      <c r="G726" t="s">
        <v>13</v>
      </c>
      <c r="H726" t="s">
        <v>14</v>
      </c>
      <c r="J726" t="s">
        <v>15</v>
      </c>
      <c r="K726" s="1" t="e">
        <f>VLOOKUP(I726,'[1]PC50 Y2018 Status'!$D:$H,5,FALSE)</f>
        <v>#N/A</v>
      </c>
    </row>
    <row r="727" spans="2:11" x14ac:dyDescent="0.25">
      <c r="B727">
        <v>610000004091</v>
      </c>
      <c r="C727" t="s">
        <v>47</v>
      </c>
      <c r="D727">
        <v>108</v>
      </c>
      <c r="E727" t="s">
        <v>270</v>
      </c>
      <c r="F727" t="s">
        <v>257</v>
      </c>
      <c r="G727" t="s">
        <v>13</v>
      </c>
      <c r="H727" t="s">
        <v>14</v>
      </c>
      <c r="J727" t="s">
        <v>15</v>
      </c>
      <c r="K727" s="1" t="e">
        <f>VLOOKUP(I727,'[1]PC50 Y2018 Status'!$D:$H,5,FALSE)</f>
        <v>#N/A</v>
      </c>
    </row>
    <row r="728" spans="2:11" x14ac:dyDescent="0.25">
      <c r="B728">
        <v>610000004161</v>
      </c>
      <c r="C728" t="s">
        <v>48</v>
      </c>
      <c r="D728">
        <v>110</v>
      </c>
      <c r="E728" t="s">
        <v>270</v>
      </c>
      <c r="F728" t="s">
        <v>257</v>
      </c>
      <c r="G728" t="s">
        <v>13</v>
      </c>
      <c r="H728" t="s">
        <v>14</v>
      </c>
      <c r="J728" t="s">
        <v>22</v>
      </c>
      <c r="K728" s="1" t="e">
        <f>VLOOKUP(I728,'[1]PC50 Y2018 Status'!$D:$H,5,FALSE)</f>
        <v>#N/A</v>
      </c>
    </row>
    <row r="729" spans="2:11" x14ac:dyDescent="0.25">
      <c r="B729">
        <v>342257</v>
      </c>
      <c r="C729" t="s">
        <v>25</v>
      </c>
      <c r="D729">
        <v>184</v>
      </c>
      <c r="E729" t="s">
        <v>271</v>
      </c>
      <c r="F729" t="s">
        <v>257</v>
      </c>
      <c r="G729" t="s">
        <v>13</v>
      </c>
      <c r="H729" t="s">
        <v>14</v>
      </c>
      <c r="J729" t="s">
        <v>15</v>
      </c>
      <c r="K729" s="1" t="e">
        <f>VLOOKUP(I729,'[1]PC50 Y2018 Status'!$D:$H,5,FALSE)</f>
        <v>#N/A</v>
      </c>
    </row>
    <row r="730" spans="2:11" x14ac:dyDescent="0.25">
      <c r="B730">
        <v>342588</v>
      </c>
      <c r="C730" t="s">
        <v>82</v>
      </c>
      <c r="D730">
        <v>39</v>
      </c>
      <c r="E730" t="s">
        <v>271</v>
      </c>
      <c r="F730" t="s">
        <v>257</v>
      </c>
      <c r="G730" t="s">
        <v>13</v>
      </c>
      <c r="H730" t="s">
        <v>14</v>
      </c>
      <c r="J730" t="s">
        <v>22</v>
      </c>
      <c r="K730" s="1" t="e">
        <f>VLOOKUP(I730,'[1]PC50 Y2018 Status'!$D:$H,5,FALSE)</f>
        <v>#N/A</v>
      </c>
    </row>
    <row r="731" spans="2:11" x14ac:dyDescent="0.25">
      <c r="B731">
        <v>347637</v>
      </c>
      <c r="C731" t="s">
        <v>27</v>
      </c>
      <c r="D731">
        <v>42</v>
      </c>
      <c r="E731" t="s">
        <v>271</v>
      </c>
      <c r="F731" t="s">
        <v>257</v>
      </c>
      <c r="G731" t="s">
        <v>13</v>
      </c>
      <c r="H731" t="s">
        <v>14</v>
      </c>
      <c r="J731" t="s">
        <v>15</v>
      </c>
      <c r="K731" s="1" t="e">
        <f>VLOOKUP(I731,'[1]PC50 Y2018 Status'!$D:$H,5,FALSE)</f>
        <v>#N/A</v>
      </c>
    </row>
    <row r="732" spans="2:11" x14ac:dyDescent="0.25">
      <c r="B732">
        <v>610000004050</v>
      </c>
      <c r="C732" t="s">
        <v>17</v>
      </c>
      <c r="D732">
        <v>109</v>
      </c>
      <c r="E732" t="s">
        <v>272</v>
      </c>
      <c r="F732" t="s">
        <v>257</v>
      </c>
      <c r="G732" t="s">
        <v>13</v>
      </c>
      <c r="H732" t="s">
        <v>14</v>
      </c>
      <c r="J732" t="s">
        <v>15</v>
      </c>
      <c r="K732" s="1" t="e">
        <f>VLOOKUP(I732,'[1]PC50 Y2018 Status'!$D:$H,5,FALSE)</f>
        <v>#N/A</v>
      </c>
    </row>
    <row r="733" spans="2:11" x14ac:dyDescent="0.25">
      <c r="B733">
        <v>610000004104</v>
      </c>
      <c r="C733" t="s">
        <v>51</v>
      </c>
      <c r="D733">
        <v>26</v>
      </c>
      <c r="E733" t="s">
        <v>272</v>
      </c>
      <c r="F733" t="s">
        <v>257</v>
      </c>
      <c r="G733" t="s">
        <v>13</v>
      </c>
      <c r="H733" t="s">
        <v>14</v>
      </c>
      <c r="J733" t="s">
        <v>22</v>
      </c>
      <c r="K733" s="1" t="e">
        <f>VLOOKUP(I733,'[1]PC50 Y2018 Status'!$D:$H,5,FALSE)</f>
        <v>#N/A</v>
      </c>
    </row>
    <row r="734" spans="2:11" x14ac:dyDescent="0.25">
      <c r="B734">
        <v>610000004106</v>
      </c>
      <c r="C734" t="s">
        <v>51</v>
      </c>
      <c r="D734">
        <v>26</v>
      </c>
      <c r="E734" t="s">
        <v>273</v>
      </c>
      <c r="F734" t="s">
        <v>257</v>
      </c>
      <c r="G734" t="s">
        <v>13</v>
      </c>
      <c r="H734" t="s">
        <v>14</v>
      </c>
      <c r="J734" t="s">
        <v>22</v>
      </c>
      <c r="K734" s="1" t="e">
        <f>VLOOKUP(I734,'[1]PC50 Y2018 Status'!$D:$H,5,FALSE)</f>
        <v>#N/A</v>
      </c>
    </row>
    <row r="735" spans="2:11" x14ac:dyDescent="0.25">
      <c r="B735">
        <v>342461</v>
      </c>
      <c r="C735" t="s">
        <v>77</v>
      </c>
      <c r="D735">
        <v>7</v>
      </c>
      <c r="E735" t="s">
        <v>274</v>
      </c>
      <c r="F735" t="s">
        <v>241</v>
      </c>
      <c r="G735" t="s">
        <v>13</v>
      </c>
      <c r="H735" t="s">
        <v>14</v>
      </c>
      <c r="I735">
        <v>4918120</v>
      </c>
      <c r="J735" t="s">
        <v>22</v>
      </c>
      <c r="K735" s="1" t="str">
        <f>VLOOKUP(I735,'[1]PC50 Y2018 Status'!$D:$H,5,FALSE)</f>
        <v>REL  NMAT PRC  SETC</v>
      </c>
    </row>
    <row r="736" spans="2:11" x14ac:dyDescent="0.25">
      <c r="B736">
        <v>610000004031</v>
      </c>
      <c r="C736" t="s">
        <v>16</v>
      </c>
      <c r="D736">
        <v>108</v>
      </c>
      <c r="E736" t="s">
        <v>274</v>
      </c>
      <c r="F736" t="s">
        <v>257</v>
      </c>
      <c r="G736" t="s">
        <v>13</v>
      </c>
      <c r="H736" t="s">
        <v>14</v>
      </c>
      <c r="J736" t="s">
        <v>15</v>
      </c>
      <c r="K736" s="1" t="e">
        <f>VLOOKUP(I736,'[1]PC50 Y2018 Status'!$D:$H,5,FALSE)</f>
        <v>#N/A</v>
      </c>
    </row>
    <row r="737" spans="2:11" x14ac:dyDescent="0.25">
      <c r="B737">
        <v>610000004051</v>
      </c>
      <c r="C737" t="s">
        <v>17</v>
      </c>
      <c r="D737">
        <v>109</v>
      </c>
      <c r="E737" t="s">
        <v>274</v>
      </c>
      <c r="F737" t="s">
        <v>257</v>
      </c>
      <c r="G737" t="s">
        <v>13</v>
      </c>
      <c r="H737" t="s">
        <v>14</v>
      </c>
      <c r="J737" t="s">
        <v>15</v>
      </c>
      <c r="K737" s="1" t="e">
        <f>VLOOKUP(I737,'[1]PC50 Y2018 Status'!$D:$H,5,FALSE)</f>
        <v>#N/A</v>
      </c>
    </row>
    <row r="738" spans="2:11" x14ac:dyDescent="0.25">
      <c r="B738">
        <v>342258</v>
      </c>
      <c r="C738" t="s">
        <v>18</v>
      </c>
      <c r="D738">
        <v>92</v>
      </c>
      <c r="E738" t="s">
        <v>275</v>
      </c>
      <c r="F738" t="s">
        <v>257</v>
      </c>
      <c r="G738" t="s">
        <v>13</v>
      </c>
      <c r="H738" t="s">
        <v>14</v>
      </c>
      <c r="J738" t="s">
        <v>15</v>
      </c>
      <c r="K738" s="1" t="e">
        <f>VLOOKUP(I738,'[1]PC50 Y2018 Status'!$D:$H,5,FALSE)</f>
        <v>#N/A</v>
      </c>
    </row>
    <row r="739" spans="2:11" x14ac:dyDescent="0.25">
      <c r="B739">
        <v>610000004132</v>
      </c>
      <c r="C739" t="s">
        <v>61</v>
      </c>
      <c r="D739">
        <v>25</v>
      </c>
      <c r="E739" t="s">
        <v>275</v>
      </c>
      <c r="F739" t="s">
        <v>241</v>
      </c>
      <c r="G739" t="s">
        <v>13</v>
      </c>
      <c r="H739" t="s">
        <v>14</v>
      </c>
      <c r="I739">
        <v>4918101</v>
      </c>
      <c r="J739" t="s">
        <v>22</v>
      </c>
      <c r="K739" s="1" t="str">
        <f>VLOOKUP(I739,'[1]PC50 Y2018 Status'!$D:$H,5,FALSE)</f>
        <v>CRTD MANC NMAT PRC</v>
      </c>
    </row>
    <row r="740" spans="2:11" x14ac:dyDescent="0.25">
      <c r="B740">
        <v>343825</v>
      </c>
      <c r="C740" t="s">
        <v>58</v>
      </c>
      <c r="D740">
        <v>5</v>
      </c>
      <c r="E740" t="s">
        <v>276</v>
      </c>
      <c r="F740" t="s">
        <v>257</v>
      </c>
      <c r="G740" t="s">
        <v>13</v>
      </c>
      <c r="H740" t="s">
        <v>14</v>
      </c>
      <c r="J740" t="s">
        <v>22</v>
      </c>
      <c r="K740" s="1" t="e">
        <f>VLOOKUP(I740,'[1]PC50 Y2018 Status'!$D:$H,5,FALSE)</f>
        <v>#N/A</v>
      </c>
    </row>
    <row r="741" spans="2:11" x14ac:dyDescent="0.25">
      <c r="B741">
        <v>610000004025</v>
      </c>
      <c r="C741" t="s">
        <v>44</v>
      </c>
      <c r="D741">
        <v>105</v>
      </c>
      <c r="E741" t="s">
        <v>276</v>
      </c>
      <c r="F741" t="s">
        <v>257</v>
      </c>
      <c r="G741" t="s">
        <v>13</v>
      </c>
      <c r="H741" t="s">
        <v>14</v>
      </c>
      <c r="J741" t="s">
        <v>15</v>
      </c>
      <c r="K741" s="1" t="e">
        <f>VLOOKUP(I741,'[1]PC50 Y2018 Status'!$D:$H,5,FALSE)</f>
        <v>#N/A</v>
      </c>
    </row>
    <row r="742" spans="2:11" x14ac:dyDescent="0.25">
      <c r="B742">
        <v>610000004068</v>
      </c>
      <c r="C742" t="s">
        <v>24</v>
      </c>
      <c r="D742">
        <v>220</v>
      </c>
      <c r="E742" t="s">
        <v>276</v>
      </c>
      <c r="F742" t="s">
        <v>257</v>
      </c>
      <c r="G742" t="s">
        <v>13</v>
      </c>
      <c r="H742" t="s">
        <v>14</v>
      </c>
      <c r="J742" t="s">
        <v>15</v>
      </c>
      <c r="K742" s="1" t="e">
        <f>VLOOKUP(I742,'[1]PC50 Y2018 Status'!$D:$H,5,FALSE)</f>
        <v>#N/A</v>
      </c>
    </row>
    <row r="743" spans="2:11" x14ac:dyDescent="0.25">
      <c r="B743">
        <v>610000004097</v>
      </c>
      <c r="C743" t="s">
        <v>93</v>
      </c>
      <c r="D743">
        <v>26</v>
      </c>
      <c r="E743" t="s">
        <v>276</v>
      </c>
      <c r="F743" t="s">
        <v>257</v>
      </c>
      <c r="G743" t="s">
        <v>13</v>
      </c>
      <c r="H743" t="s">
        <v>14</v>
      </c>
      <c r="J743" t="s">
        <v>22</v>
      </c>
      <c r="K743" s="1" t="e">
        <f>VLOOKUP(I743,'[1]PC50 Y2018 Status'!$D:$H,5,FALSE)</f>
        <v>#N/A</v>
      </c>
    </row>
    <row r="744" spans="2:11" x14ac:dyDescent="0.25">
      <c r="B744">
        <v>610000004026</v>
      </c>
      <c r="C744" t="s">
        <v>44</v>
      </c>
      <c r="D744">
        <v>51</v>
      </c>
      <c r="E744" t="s">
        <v>277</v>
      </c>
      <c r="F744" t="s">
        <v>257</v>
      </c>
      <c r="G744" t="s">
        <v>13</v>
      </c>
      <c r="H744" t="s">
        <v>14</v>
      </c>
      <c r="J744" t="s">
        <v>15</v>
      </c>
      <c r="K744" s="1" t="e">
        <f>VLOOKUP(I744,'[1]PC50 Y2018 Status'!$D:$H,5,FALSE)</f>
        <v>#N/A</v>
      </c>
    </row>
    <row r="745" spans="2:11" x14ac:dyDescent="0.25">
      <c r="B745">
        <v>610000004028</v>
      </c>
      <c r="C745" t="s">
        <v>44</v>
      </c>
      <c r="D745">
        <v>49</v>
      </c>
      <c r="E745" t="s">
        <v>277</v>
      </c>
      <c r="F745" t="s">
        <v>257</v>
      </c>
      <c r="G745" t="s">
        <v>13</v>
      </c>
      <c r="H745" t="s">
        <v>14</v>
      </c>
      <c r="J745" t="s">
        <v>15</v>
      </c>
      <c r="K745" s="1" t="e">
        <f>VLOOKUP(I745,'[1]PC50 Y2018 Status'!$D:$H,5,FALSE)</f>
        <v>#N/A</v>
      </c>
    </row>
    <row r="746" spans="2:11" x14ac:dyDescent="0.25">
      <c r="B746">
        <v>610000004045</v>
      </c>
      <c r="C746" t="s">
        <v>79</v>
      </c>
      <c r="D746">
        <v>9</v>
      </c>
      <c r="E746" t="s">
        <v>277</v>
      </c>
      <c r="F746" t="s">
        <v>241</v>
      </c>
      <c r="G746" t="s">
        <v>13</v>
      </c>
      <c r="H746" t="s">
        <v>14</v>
      </c>
      <c r="I746">
        <v>4917261</v>
      </c>
      <c r="J746" t="s">
        <v>15</v>
      </c>
      <c r="K746" s="1" t="str">
        <f>VLOOKUP(I746,'[1]PC50 Y2018 Status'!$D:$H,5,FALSE)</f>
        <v>CRTD MANC NMAT PRC</v>
      </c>
    </row>
    <row r="747" spans="2:11" x14ac:dyDescent="0.25">
      <c r="B747">
        <v>610000004061</v>
      </c>
      <c r="C747" t="s">
        <v>64</v>
      </c>
      <c r="D747">
        <v>51</v>
      </c>
      <c r="E747" t="s">
        <v>277</v>
      </c>
      <c r="F747" t="s">
        <v>257</v>
      </c>
      <c r="G747" t="s">
        <v>13</v>
      </c>
      <c r="H747" t="s">
        <v>14</v>
      </c>
      <c r="J747" t="s">
        <v>15</v>
      </c>
      <c r="K747" s="1" t="e">
        <f>VLOOKUP(I747,'[1]PC50 Y2018 Status'!$D:$H,5,FALSE)</f>
        <v>#N/A</v>
      </c>
    </row>
    <row r="748" spans="2:11" x14ac:dyDescent="0.25">
      <c r="B748">
        <v>610000004062</v>
      </c>
      <c r="C748" t="s">
        <v>64</v>
      </c>
      <c r="D748">
        <v>51</v>
      </c>
      <c r="E748" t="s">
        <v>277</v>
      </c>
      <c r="F748" t="s">
        <v>257</v>
      </c>
      <c r="G748" t="s">
        <v>13</v>
      </c>
      <c r="H748" t="s">
        <v>14</v>
      </c>
      <c r="J748" t="s">
        <v>15</v>
      </c>
      <c r="K748" s="1" t="e">
        <f>VLOOKUP(I748,'[1]PC50 Y2018 Status'!$D:$H,5,FALSE)</f>
        <v>#N/A</v>
      </c>
    </row>
    <row r="749" spans="2:11" x14ac:dyDescent="0.25">
      <c r="B749">
        <v>610000004063</v>
      </c>
      <c r="C749" t="s">
        <v>64</v>
      </c>
      <c r="D749">
        <v>49</v>
      </c>
      <c r="E749" t="s">
        <v>277</v>
      </c>
      <c r="F749" t="s">
        <v>257</v>
      </c>
      <c r="G749" t="s">
        <v>13</v>
      </c>
      <c r="H749" t="s">
        <v>14</v>
      </c>
      <c r="J749" t="s">
        <v>15</v>
      </c>
      <c r="K749" s="1" t="e">
        <f>VLOOKUP(I749,'[1]PC50 Y2018 Status'!$D:$H,5,FALSE)</f>
        <v>#N/A</v>
      </c>
    </row>
    <row r="750" spans="2:11" x14ac:dyDescent="0.25">
      <c r="B750">
        <v>610000004064</v>
      </c>
      <c r="C750" t="s">
        <v>64</v>
      </c>
      <c r="D750">
        <v>49</v>
      </c>
      <c r="E750" t="s">
        <v>277</v>
      </c>
      <c r="F750" t="s">
        <v>257</v>
      </c>
      <c r="G750" t="s">
        <v>13</v>
      </c>
      <c r="H750" t="s">
        <v>14</v>
      </c>
      <c r="J750" t="s">
        <v>15</v>
      </c>
      <c r="K750" s="1" t="e">
        <f>VLOOKUP(I750,'[1]PC50 Y2018 Status'!$D:$H,5,FALSE)</f>
        <v>#N/A</v>
      </c>
    </row>
    <row r="751" spans="2:11" x14ac:dyDescent="0.25">
      <c r="B751">
        <v>610000004071</v>
      </c>
      <c r="C751" t="s">
        <v>70</v>
      </c>
      <c r="D751">
        <v>61</v>
      </c>
      <c r="E751" t="s">
        <v>277</v>
      </c>
      <c r="F751" t="s">
        <v>257</v>
      </c>
      <c r="G751" t="s">
        <v>13</v>
      </c>
      <c r="H751" t="s">
        <v>14</v>
      </c>
      <c r="J751" t="s">
        <v>15</v>
      </c>
      <c r="K751" s="1" t="e">
        <f>VLOOKUP(I751,'[1]PC50 Y2018 Status'!$D:$H,5,FALSE)</f>
        <v>#N/A</v>
      </c>
    </row>
    <row r="752" spans="2:11" x14ac:dyDescent="0.25">
      <c r="B752">
        <v>610000004072</v>
      </c>
      <c r="C752" t="s">
        <v>70</v>
      </c>
      <c r="D752">
        <v>49</v>
      </c>
      <c r="E752" t="s">
        <v>277</v>
      </c>
      <c r="F752" t="s">
        <v>257</v>
      </c>
      <c r="G752" t="s">
        <v>13</v>
      </c>
      <c r="H752" t="s">
        <v>14</v>
      </c>
      <c r="J752" t="s">
        <v>15</v>
      </c>
      <c r="K752" s="1" t="e">
        <f>VLOOKUP(I752,'[1]PC50 Y2018 Status'!$D:$H,5,FALSE)</f>
        <v>#N/A</v>
      </c>
    </row>
    <row r="753" spans="2:11" x14ac:dyDescent="0.25">
      <c r="B753">
        <v>610000004073</v>
      </c>
      <c r="C753" t="s">
        <v>70</v>
      </c>
      <c r="D753">
        <v>48</v>
      </c>
      <c r="E753" t="s">
        <v>277</v>
      </c>
      <c r="F753" t="s">
        <v>257</v>
      </c>
      <c r="G753" t="s">
        <v>13</v>
      </c>
      <c r="H753" t="s">
        <v>14</v>
      </c>
      <c r="J753" t="s">
        <v>15</v>
      </c>
      <c r="K753" s="1" t="e">
        <f>VLOOKUP(I753,'[1]PC50 Y2018 Status'!$D:$H,5,FALSE)</f>
        <v>#N/A</v>
      </c>
    </row>
    <row r="754" spans="2:11" x14ac:dyDescent="0.25">
      <c r="B754">
        <v>610000004078</v>
      </c>
      <c r="C754" t="s">
        <v>71</v>
      </c>
      <c r="D754">
        <v>49</v>
      </c>
      <c r="E754" t="s">
        <v>277</v>
      </c>
      <c r="F754" t="s">
        <v>257</v>
      </c>
      <c r="G754" t="s">
        <v>13</v>
      </c>
      <c r="H754" t="s">
        <v>14</v>
      </c>
      <c r="J754" t="s">
        <v>15</v>
      </c>
      <c r="K754" s="1" t="e">
        <f>VLOOKUP(I754,'[1]PC50 Y2018 Status'!$D:$H,5,FALSE)</f>
        <v>#N/A</v>
      </c>
    </row>
    <row r="755" spans="2:11" x14ac:dyDescent="0.25">
      <c r="B755">
        <v>610000004113</v>
      </c>
      <c r="C755" t="s">
        <v>78</v>
      </c>
      <c r="D755">
        <v>26</v>
      </c>
      <c r="E755" t="s">
        <v>277</v>
      </c>
      <c r="F755" t="s">
        <v>257</v>
      </c>
      <c r="G755" t="s">
        <v>13</v>
      </c>
      <c r="H755" t="s">
        <v>14</v>
      </c>
      <c r="J755" t="s">
        <v>22</v>
      </c>
      <c r="K755" s="1" t="e">
        <f>VLOOKUP(I755,'[1]PC50 Y2018 Status'!$D:$H,5,FALSE)</f>
        <v>#N/A</v>
      </c>
    </row>
    <row r="756" spans="2:11" x14ac:dyDescent="0.25">
      <c r="B756">
        <v>610000004135</v>
      </c>
      <c r="C756" t="s">
        <v>95</v>
      </c>
      <c r="D756">
        <v>17</v>
      </c>
      <c r="E756" t="s">
        <v>277</v>
      </c>
      <c r="F756" t="s">
        <v>257</v>
      </c>
      <c r="G756" t="s">
        <v>13</v>
      </c>
      <c r="H756" t="s">
        <v>14</v>
      </c>
      <c r="J756" t="s">
        <v>22</v>
      </c>
      <c r="K756" s="1" t="e">
        <f>VLOOKUP(I756,'[1]PC50 Y2018 Status'!$D:$H,5,FALSE)</f>
        <v>#N/A</v>
      </c>
    </row>
    <row r="757" spans="2:11" x14ac:dyDescent="0.25">
      <c r="B757">
        <v>610000004147</v>
      </c>
      <c r="C757" t="s">
        <v>58</v>
      </c>
      <c r="D757">
        <v>9</v>
      </c>
      <c r="E757" t="s">
        <v>277</v>
      </c>
      <c r="F757" t="s">
        <v>257</v>
      </c>
      <c r="G757" t="s">
        <v>13</v>
      </c>
      <c r="H757" t="s">
        <v>14</v>
      </c>
      <c r="J757" t="s">
        <v>22</v>
      </c>
      <c r="K757" s="1" t="e">
        <f>VLOOKUP(I757,'[1]PC50 Y2018 Status'!$D:$H,5,FALSE)</f>
        <v>#N/A</v>
      </c>
    </row>
    <row r="758" spans="2:11" x14ac:dyDescent="0.25">
      <c r="B758">
        <v>610000004148</v>
      </c>
      <c r="C758" t="s">
        <v>58</v>
      </c>
      <c r="D758">
        <v>9</v>
      </c>
      <c r="E758" t="s">
        <v>277</v>
      </c>
      <c r="F758" t="s">
        <v>257</v>
      </c>
      <c r="G758" t="s">
        <v>13</v>
      </c>
      <c r="H758" t="s">
        <v>14</v>
      </c>
      <c r="J758" t="s">
        <v>22</v>
      </c>
      <c r="K758" s="1" t="e">
        <f>VLOOKUP(I758,'[1]PC50 Y2018 Status'!$D:$H,5,FALSE)</f>
        <v>#N/A</v>
      </c>
    </row>
    <row r="759" spans="2:11" x14ac:dyDescent="0.25">
      <c r="B759">
        <v>342257</v>
      </c>
      <c r="C759" t="s">
        <v>25</v>
      </c>
      <c r="D759">
        <v>185</v>
      </c>
      <c r="E759" t="s">
        <v>278</v>
      </c>
      <c r="F759" t="s">
        <v>257</v>
      </c>
      <c r="G759" t="s">
        <v>13</v>
      </c>
      <c r="H759" t="s">
        <v>14</v>
      </c>
      <c r="J759" t="s">
        <v>15</v>
      </c>
      <c r="K759" s="1" t="e">
        <f>VLOOKUP(I759,'[1]PC50 Y2018 Status'!$D:$H,5,FALSE)</f>
        <v>#N/A</v>
      </c>
    </row>
    <row r="760" spans="2:11" x14ac:dyDescent="0.25">
      <c r="B760">
        <v>347637</v>
      </c>
      <c r="C760" t="s">
        <v>27</v>
      </c>
      <c r="D760">
        <v>43</v>
      </c>
      <c r="E760" t="s">
        <v>278</v>
      </c>
      <c r="F760" t="s">
        <v>257</v>
      </c>
      <c r="G760" t="s">
        <v>13</v>
      </c>
      <c r="H760" t="s">
        <v>14</v>
      </c>
      <c r="J760" t="s">
        <v>15</v>
      </c>
      <c r="K760" s="1" t="e">
        <f>VLOOKUP(I760,'[1]PC50 Y2018 Status'!$D:$H,5,FALSE)</f>
        <v>#N/A</v>
      </c>
    </row>
    <row r="761" spans="2:11" x14ac:dyDescent="0.25">
      <c r="B761">
        <v>347638</v>
      </c>
      <c r="C761" t="s">
        <v>16</v>
      </c>
      <c r="D761">
        <v>22</v>
      </c>
      <c r="E761" t="s">
        <v>278</v>
      </c>
      <c r="F761" t="s">
        <v>257</v>
      </c>
      <c r="G761" t="s">
        <v>13</v>
      </c>
      <c r="H761" t="s">
        <v>14</v>
      </c>
      <c r="J761" t="s">
        <v>15</v>
      </c>
      <c r="K761" s="1" t="e">
        <f>VLOOKUP(I761,'[1]PC50 Y2018 Status'!$D:$H,5,FALSE)</f>
        <v>#N/A</v>
      </c>
    </row>
    <row r="762" spans="2:11" x14ac:dyDescent="0.25">
      <c r="B762">
        <v>342300</v>
      </c>
      <c r="C762" t="s">
        <v>96</v>
      </c>
      <c r="D762">
        <v>8</v>
      </c>
      <c r="E762" t="s">
        <v>279</v>
      </c>
      <c r="F762" t="s">
        <v>257</v>
      </c>
      <c r="G762" t="s">
        <v>13</v>
      </c>
      <c r="H762" t="s">
        <v>14</v>
      </c>
      <c r="J762" t="s">
        <v>22</v>
      </c>
      <c r="K762" s="1" t="e">
        <f>VLOOKUP(I762,'[1]PC50 Y2018 Status'!$D:$H,5,FALSE)</f>
        <v>#N/A</v>
      </c>
    </row>
    <row r="763" spans="2:11" x14ac:dyDescent="0.25">
      <c r="B763">
        <v>342331</v>
      </c>
      <c r="C763" t="s">
        <v>96</v>
      </c>
      <c r="D763">
        <v>8</v>
      </c>
      <c r="E763" t="s">
        <v>279</v>
      </c>
      <c r="F763" t="s">
        <v>257</v>
      </c>
      <c r="G763" t="s">
        <v>13</v>
      </c>
      <c r="H763" t="s">
        <v>14</v>
      </c>
      <c r="J763" t="s">
        <v>22</v>
      </c>
      <c r="K763" s="1" t="e">
        <f>VLOOKUP(I763,'[1]PC50 Y2018 Status'!$D:$H,5,FALSE)</f>
        <v>#N/A</v>
      </c>
    </row>
    <row r="764" spans="2:11" x14ac:dyDescent="0.25">
      <c r="B764">
        <v>342694</v>
      </c>
      <c r="C764" t="s">
        <v>32</v>
      </c>
      <c r="D764">
        <v>35</v>
      </c>
      <c r="E764" t="s">
        <v>279</v>
      </c>
      <c r="F764" t="s">
        <v>257</v>
      </c>
      <c r="G764" t="s">
        <v>13</v>
      </c>
      <c r="H764" t="s">
        <v>14</v>
      </c>
      <c r="J764" t="s">
        <v>15</v>
      </c>
      <c r="K764" s="1" t="e">
        <f>VLOOKUP(I764,'[1]PC50 Y2018 Status'!$D:$H,5,FALSE)</f>
        <v>#N/A</v>
      </c>
    </row>
    <row r="765" spans="2:11" x14ac:dyDescent="0.25">
      <c r="B765">
        <v>350834</v>
      </c>
      <c r="C765" t="s">
        <v>64</v>
      </c>
      <c r="D765">
        <v>3</v>
      </c>
      <c r="E765" t="s">
        <v>279</v>
      </c>
      <c r="F765" t="s">
        <v>257</v>
      </c>
      <c r="G765" t="s">
        <v>13</v>
      </c>
      <c r="H765" t="s">
        <v>14</v>
      </c>
      <c r="J765" t="s">
        <v>15</v>
      </c>
      <c r="K765" s="1" t="e">
        <f>VLOOKUP(I765,'[1]PC50 Y2018 Status'!$D:$H,5,FALSE)</f>
        <v>#N/A</v>
      </c>
    </row>
    <row r="766" spans="2:11" x14ac:dyDescent="0.25">
      <c r="B766">
        <v>610000004021</v>
      </c>
      <c r="C766" t="s">
        <v>10</v>
      </c>
      <c r="D766">
        <v>105</v>
      </c>
      <c r="E766" t="s">
        <v>279</v>
      </c>
      <c r="F766" t="s">
        <v>257</v>
      </c>
      <c r="G766" t="s">
        <v>13</v>
      </c>
      <c r="H766" t="s">
        <v>14</v>
      </c>
      <c r="J766" t="s">
        <v>15</v>
      </c>
      <c r="K766" s="1" t="e">
        <f>VLOOKUP(I766,'[1]PC50 Y2018 Status'!$D:$H,5,FALSE)</f>
        <v>#N/A</v>
      </c>
    </row>
    <row r="767" spans="2:11" x14ac:dyDescent="0.25">
      <c r="B767">
        <v>610000004022</v>
      </c>
      <c r="C767" t="s">
        <v>10</v>
      </c>
      <c r="D767">
        <v>49</v>
      </c>
      <c r="E767" t="s">
        <v>279</v>
      </c>
      <c r="F767" t="s">
        <v>257</v>
      </c>
      <c r="G767" t="s">
        <v>13</v>
      </c>
      <c r="H767" t="s">
        <v>14</v>
      </c>
      <c r="J767" t="s">
        <v>15</v>
      </c>
      <c r="K767" s="1" t="e">
        <f>VLOOKUP(I767,'[1]PC50 Y2018 Status'!$D:$H,5,FALSE)</f>
        <v>#N/A</v>
      </c>
    </row>
    <row r="768" spans="2:11" x14ac:dyDescent="0.25">
      <c r="B768">
        <v>610000004027</v>
      </c>
      <c r="C768" t="s">
        <v>44</v>
      </c>
      <c r="D768">
        <v>51</v>
      </c>
      <c r="E768" t="s">
        <v>279</v>
      </c>
      <c r="F768" t="s">
        <v>257</v>
      </c>
      <c r="G768" t="s">
        <v>13</v>
      </c>
      <c r="H768" t="s">
        <v>14</v>
      </c>
      <c r="J768" t="s">
        <v>15</v>
      </c>
      <c r="K768" s="1" t="e">
        <f>VLOOKUP(I768,'[1]PC50 Y2018 Status'!$D:$H,5,FALSE)</f>
        <v>#N/A</v>
      </c>
    </row>
    <row r="769" spans="2:11" x14ac:dyDescent="0.25">
      <c r="B769">
        <v>610000004033</v>
      </c>
      <c r="C769" t="s">
        <v>32</v>
      </c>
      <c r="D769">
        <v>48</v>
      </c>
      <c r="E769" t="s">
        <v>279</v>
      </c>
      <c r="F769" t="s">
        <v>257</v>
      </c>
      <c r="G769" t="s">
        <v>13</v>
      </c>
      <c r="H769" t="s">
        <v>14</v>
      </c>
      <c r="J769" t="s">
        <v>15</v>
      </c>
      <c r="K769" s="1" t="e">
        <f>VLOOKUP(I769,'[1]PC50 Y2018 Status'!$D:$H,5,FALSE)</f>
        <v>#N/A</v>
      </c>
    </row>
    <row r="770" spans="2:11" x14ac:dyDescent="0.25">
      <c r="B770">
        <v>610000004053</v>
      </c>
      <c r="C770" t="s">
        <v>46</v>
      </c>
      <c r="D770">
        <v>50</v>
      </c>
      <c r="E770" t="s">
        <v>279</v>
      </c>
      <c r="F770" t="s">
        <v>257</v>
      </c>
      <c r="G770" t="s">
        <v>13</v>
      </c>
      <c r="H770" t="s">
        <v>14</v>
      </c>
      <c r="J770" t="s">
        <v>15</v>
      </c>
      <c r="K770" s="1" t="e">
        <f>VLOOKUP(I770,'[1]PC50 Y2018 Status'!$D:$H,5,FALSE)</f>
        <v>#N/A</v>
      </c>
    </row>
    <row r="771" spans="2:11" x14ac:dyDescent="0.25">
      <c r="B771">
        <v>610000004054</v>
      </c>
      <c r="C771" t="s">
        <v>46</v>
      </c>
      <c r="D771">
        <v>50</v>
      </c>
      <c r="E771" t="s">
        <v>279</v>
      </c>
      <c r="F771" t="s">
        <v>257</v>
      </c>
      <c r="G771" t="s">
        <v>13</v>
      </c>
      <c r="H771" t="s">
        <v>14</v>
      </c>
      <c r="J771" t="s">
        <v>15</v>
      </c>
      <c r="K771" s="1" t="e">
        <f>VLOOKUP(I771,'[1]PC50 Y2018 Status'!$D:$H,5,FALSE)</f>
        <v>#N/A</v>
      </c>
    </row>
    <row r="772" spans="2:11" x14ac:dyDescent="0.25">
      <c r="B772">
        <v>610000004079</v>
      </c>
      <c r="C772" t="s">
        <v>71</v>
      </c>
      <c r="D772">
        <v>49</v>
      </c>
      <c r="E772" t="s">
        <v>279</v>
      </c>
      <c r="F772" t="s">
        <v>257</v>
      </c>
      <c r="G772" t="s">
        <v>13</v>
      </c>
      <c r="H772" t="s">
        <v>14</v>
      </c>
      <c r="J772" t="s">
        <v>15</v>
      </c>
      <c r="K772" s="1" t="e">
        <f>VLOOKUP(I772,'[1]PC50 Y2018 Status'!$D:$H,5,FALSE)</f>
        <v>#N/A</v>
      </c>
    </row>
    <row r="773" spans="2:11" x14ac:dyDescent="0.25">
      <c r="B773">
        <v>610000004080</v>
      </c>
      <c r="C773" t="s">
        <v>71</v>
      </c>
      <c r="D773">
        <v>50</v>
      </c>
      <c r="E773" t="s">
        <v>279</v>
      </c>
      <c r="F773" t="s">
        <v>257</v>
      </c>
      <c r="G773" t="s">
        <v>13</v>
      </c>
      <c r="H773" t="s">
        <v>14</v>
      </c>
      <c r="J773" t="s">
        <v>15</v>
      </c>
      <c r="K773" s="1" t="e">
        <f>VLOOKUP(I773,'[1]PC50 Y2018 Status'!$D:$H,5,FALSE)</f>
        <v>#N/A</v>
      </c>
    </row>
    <row r="774" spans="2:11" x14ac:dyDescent="0.25">
      <c r="B774">
        <v>610000004087</v>
      </c>
      <c r="C774" t="s">
        <v>72</v>
      </c>
      <c r="D774">
        <v>48</v>
      </c>
      <c r="E774" t="s">
        <v>279</v>
      </c>
      <c r="F774" t="s">
        <v>257</v>
      </c>
      <c r="G774" t="s">
        <v>13</v>
      </c>
      <c r="H774" t="s">
        <v>14</v>
      </c>
      <c r="J774" t="s">
        <v>15</v>
      </c>
      <c r="K774" s="1" t="e">
        <f>VLOOKUP(I774,'[1]PC50 Y2018 Status'!$D:$H,5,FALSE)</f>
        <v>#N/A</v>
      </c>
    </row>
    <row r="775" spans="2:11" x14ac:dyDescent="0.25">
      <c r="B775">
        <v>610000004088</v>
      </c>
      <c r="C775" t="s">
        <v>72</v>
      </c>
      <c r="D775">
        <v>48</v>
      </c>
      <c r="E775" t="s">
        <v>279</v>
      </c>
      <c r="F775" t="s">
        <v>257</v>
      </c>
      <c r="G775" t="s">
        <v>13</v>
      </c>
      <c r="H775" t="s">
        <v>14</v>
      </c>
      <c r="J775" t="s">
        <v>15</v>
      </c>
      <c r="K775" s="1" t="e">
        <f>VLOOKUP(I775,'[1]PC50 Y2018 Status'!$D:$H,5,FALSE)</f>
        <v>#N/A</v>
      </c>
    </row>
    <row r="776" spans="2:11" x14ac:dyDescent="0.25">
      <c r="B776">
        <v>610000004092</v>
      </c>
      <c r="C776" t="s">
        <v>73</v>
      </c>
      <c r="D776">
        <v>48</v>
      </c>
      <c r="E776" t="s">
        <v>279</v>
      </c>
      <c r="F776" t="s">
        <v>257</v>
      </c>
      <c r="G776" t="s">
        <v>13</v>
      </c>
      <c r="H776" t="s">
        <v>14</v>
      </c>
      <c r="J776" t="s">
        <v>15</v>
      </c>
      <c r="K776" s="1" t="e">
        <f>VLOOKUP(I776,'[1]PC50 Y2018 Status'!$D:$H,5,FALSE)</f>
        <v>#N/A</v>
      </c>
    </row>
    <row r="777" spans="2:11" x14ac:dyDescent="0.25">
      <c r="B777">
        <v>610000004047</v>
      </c>
      <c r="C777" t="s">
        <v>207</v>
      </c>
      <c r="D777">
        <v>6</v>
      </c>
      <c r="E777" t="s">
        <v>280</v>
      </c>
      <c r="F777" t="s">
        <v>241</v>
      </c>
      <c r="G777" t="s">
        <v>13</v>
      </c>
      <c r="H777" t="s">
        <v>14</v>
      </c>
      <c r="I777">
        <v>4918100</v>
      </c>
      <c r="J777" t="s">
        <v>15</v>
      </c>
      <c r="K777" s="1" t="str">
        <f>VLOOKUP(I777,'[1]PC50 Y2018 Status'!$D:$H,5,FALSE)</f>
        <v>CRTD MANC NMAT PRC</v>
      </c>
    </row>
    <row r="778" spans="2:11" x14ac:dyDescent="0.25">
      <c r="B778">
        <v>610000004096</v>
      </c>
      <c r="C778" t="s">
        <v>93</v>
      </c>
      <c r="D778">
        <v>39</v>
      </c>
      <c r="E778" t="s">
        <v>280</v>
      </c>
      <c r="F778" t="s">
        <v>257</v>
      </c>
      <c r="G778" t="s">
        <v>13</v>
      </c>
      <c r="H778" t="s">
        <v>14</v>
      </c>
      <c r="J778" t="s">
        <v>22</v>
      </c>
      <c r="K778" s="1" t="e">
        <f>VLOOKUP(I778,'[1]PC50 Y2018 Status'!$D:$H,5,FALSE)</f>
        <v>#N/A</v>
      </c>
    </row>
    <row r="779" spans="2:11" x14ac:dyDescent="0.25">
      <c r="B779">
        <v>610000004116</v>
      </c>
      <c r="C779" t="s">
        <v>78</v>
      </c>
      <c r="D779">
        <v>26</v>
      </c>
      <c r="E779" t="s">
        <v>280</v>
      </c>
      <c r="F779" t="s">
        <v>257</v>
      </c>
      <c r="G779" t="s">
        <v>13</v>
      </c>
      <c r="H779" t="s">
        <v>14</v>
      </c>
      <c r="J779" t="s">
        <v>22</v>
      </c>
      <c r="K779" s="1" t="e">
        <f>VLOOKUP(I779,'[1]PC50 Y2018 Status'!$D:$H,5,FALSE)</f>
        <v>#N/A</v>
      </c>
    </row>
    <row r="780" spans="2:11" x14ac:dyDescent="0.25">
      <c r="B780">
        <v>610000004175</v>
      </c>
      <c r="C780" t="s">
        <v>34</v>
      </c>
      <c r="D780">
        <v>109</v>
      </c>
      <c r="E780" t="s">
        <v>280</v>
      </c>
      <c r="F780" t="s">
        <v>257</v>
      </c>
      <c r="G780" t="s">
        <v>13</v>
      </c>
      <c r="H780" t="s">
        <v>14</v>
      </c>
      <c r="J780" t="s">
        <v>22</v>
      </c>
      <c r="K780" s="1" t="e">
        <f>VLOOKUP(I780,'[1]PC50 Y2018 Status'!$D:$H,5,FALSE)</f>
        <v>#N/A</v>
      </c>
    </row>
    <row r="781" spans="2:11" x14ac:dyDescent="0.25">
      <c r="B781">
        <v>610000004069</v>
      </c>
      <c r="C781" t="s">
        <v>35</v>
      </c>
      <c r="D781">
        <v>110</v>
      </c>
      <c r="E781" t="s">
        <v>281</v>
      </c>
      <c r="F781" t="s">
        <v>257</v>
      </c>
      <c r="G781" t="s">
        <v>13</v>
      </c>
      <c r="H781" t="s">
        <v>14</v>
      </c>
      <c r="J781" t="s">
        <v>15</v>
      </c>
      <c r="K781" s="1" t="e">
        <f>VLOOKUP(I781,'[1]PC50 Y2018 Status'!$D:$H,5,FALSE)</f>
        <v>#N/A</v>
      </c>
    </row>
    <row r="782" spans="2:11" x14ac:dyDescent="0.25">
      <c r="B782">
        <v>610000004070</v>
      </c>
      <c r="C782" t="s">
        <v>35</v>
      </c>
      <c r="D782">
        <v>110</v>
      </c>
      <c r="E782" t="s">
        <v>281</v>
      </c>
      <c r="F782" t="s">
        <v>257</v>
      </c>
      <c r="G782" t="s">
        <v>13</v>
      </c>
      <c r="H782" t="s">
        <v>14</v>
      </c>
      <c r="J782" t="s">
        <v>15</v>
      </c>
      <c r="K782" s="1" t="e">
        <f>VLOOKUP(I782,'[1]PC50 Y2018 Status'!$D:$H,5,FALSE)</f>
        <v>#N/A</v>
      </c>
    </row>
    <row r="783" spans="2:11" x14ac:dyDescent="0.25">
      <c r="B783">
        <v>610000004068</v>
      </c>
      <c r="C783" t="s">
        <v>24</v>
      </c>
      <c r="D783">
        <v>221</v>
      </c>
      <c r="E783" t="s">
        <v>282</v>
      </c>
      <c r="F783" t="s">
        <v>257</v>
      </c>
      <c r="G783" t="s">
        <v>13</v>
      </c>
      <c r="H783" t="s">
        <v>14</v>
      </c>
      <c r="J783" t="s">
        <v>15</v>
      </c>
      <c r="K783" s="1" t="e">
        <f>VLOOKUP(I783,'[1]PC50 Y2018 Status'!$D:$H,5,FALSE)</f>
        <v>#N/A</v>
      </c>
    </row>
    <row r="784" spans="2:11" x14ac:dyDescent="0.25">
      <c r="B784">
        <v>610000004077</v>
      </c>
      <c r="C784" t="s">
        <v>39</v>
      </c>
      <c r="D784">
        <v>110</v>
      </c>
      <c r="E784" t="s">
        <v>282</v>
      </c>
      <c r="F784" t="s">
        <v>257</v>
      </c>
      <c r="G784" t="s">
        <v>13</v>
      </c>
      <c r="H784" t="s">
        <v>14</v>
      </c>
      <c r="J784" t="s">
        <v>15</v>
      </c>
      <c r="K784" s="1" t="e">
        <f>VLOOKUP(I784,'[1]PC50 Y2018 Status'!$D:$H,5,FALSE)</f>
        <v>#N/A</v>
      </c>
    </row>
    <row r="785" spans="2:11" x14ac:dyDescent="0.25">
      <c r="B785">
        <v>610000004085</v>
      </c>
      <c r="C785" t="s">
        <v>18</v>
      </c>
      <c r="D785">
        <v>110</v>
      </c>
      <c r="E785" t="s">
        <v>282</v>
      </c>
      <c r="F785" t="s">
        <v>257</v>
      </c>
      <c r="G785" t="s">
        <v>13</v>
      </c>
      <c r="H785" t="s">
        <v>14</v>
      </c>
      <c r="J785" t="s">
        <v>15</v>
      </c>
      <c r="K785" s="1" t="e">
        <f>VLOOKUP(I785,'[1]PC50 Y2018 Status'!$D:$H,5,FALSE)</f>
        <v>#N/A</v>
      </c>
    </row>
    <row r="786" spans="2:11" x14ac:dyDescent="0.25">
      <c r="B786">
        <v>610000004086</v>
      </c>
      <c r="C786" t="s">
        <v>18</v>
      </c>
      <c r="D786">
        <v>110</v>
      </c>
      <c r="E786" t="s">
        <v>282</v>
      </c>
      <c r="F786" t="s">
        <v>257</v>
      </c>
      <c r="G786" t="s">
        <v>13</v>
      </c>
      <c r="H786" t="s">
        <v>14</v>
      </c>
      <c r="J786" t="s">
        <v>15</v>
      </c>
      <c r="K786" s="1" t="e">
        <f>VLOOKUP(I786,'[1]PC50 Y2018 Status'!$D:$H,5,FALSE)</f>
        <v>#N/A</v>
      </c>
    </row>
    <row r="787" spans="2:11" x14ac:dyDescent="0.25">
      <c r="B787">
        <v>610000004095</v>
      </c>
      <c r="C787" t="s">
        <v>40</v>
      </c>
      <c r="D787">
        <v>53</v>
      </c>
      <c r="E787" t="s">
        <v>282</v>
      </c>
      <c r="F787" t="s">
        <v>257</v>
      </c>
      <c r="G787" t="s">
        <v>13</v>
      </c>
      <c r="H787" t="s">
        <v>14</v>
      </c>
      <c r="J787" t="s">
        <v>22</v>
      </c>
      <c r="K787" s="1" t="e">
        <f>VLOOKUP(I787,'[1]PC50 Y2018 Status'!$D:$H,5,FALSE)</f>
        <v>#N/A</v>
      </c>
    </row>
    <row r="788" spans="2:11" x14ac:dyDescent="0.25">
      <c r="B788">
        <v>610000004163</v>
      </c>
      <c r="C788" t="s">
        <v>43</v>
      </c>
      <c r="D788">
        <v>53</v>
      </c>
      <c r="E788" t="s">
        <v>282</v>
      </c>
      <c r="F788" t="s">
        <v>257</v>
      </c>
      <c r="G788" t="s">
        <v>13</v>
      </c>
      <c r="H788" t="s">
        <v>14</v>
      </c>
      <c r="J788" t="s">
        <v>22</v>
      </c>
      <c r="K788" s="1" t="e">
        <f>VLOOKUP(I788,'[1]PC50 Y2018 Status'!$D:$H,5,FALSE)</f>
        <v>#N/A</v>
      </c>
    </row>
    <row r="789" spans="2:11" x14ac:dyDescent="0.25">
      <c r="B789">
        <v>610000004091</v>
      </c>
      <c r="C789" t="s">
        <v>47</v>
      </c>
      <c r="D789">
        <v>109</v>
      </c>
      <c r="E789" t="s">
        <v>283</v>
      </c>
      <c r="F789" t="s">
        <v>257</v>
      </c>
      <c r="G789" t="s">
        <v>13</v>
      </c>
      <c r="H789" t="s">
        <v>14</v>
      </c>
      <c r="J789" t="s">
        <v>15</v>
      </c>
      <c r="K789" s="1" t="e">
        <f>VLOOKUP(I789,'[1]PC50 Y2018 Status'!$D:$H,5,FALSE)</f>
        <v>#N/A</v>
      </c>
    </row>
    <row r="790" spans="2:11" x14ac:dyDescent="0.25">
      <c r="B790">
        <v>610000004161</v>
      </c>
      <c r="C790" t="s">
        <v>48</v>
      </c>
      <c r="D790">
        <v>111</v>
      </c>
      <c r="E790" t="s">
        <v>283</v>
      </c>
      <c r="F790" t="s">
        <v>257</v>
      </c>
      <c r="G790" t="s">
        <v>13</v>
      </c>
      <c r="H790" t="s">
        <v>14</v>
      </c>
      <c r="J790" t="s">
        <v>22</v>
      </c>
      <c r="K790" s="1" t="e">
        <f>VLOOKUP(I790,'[1]PC50 Y2018 Status'!$D:$H,5,FALSE)</f>
        <v>#N/A</v>
      </c>
    </row>
    <row r="791" spans="2:11" x14ac:dyDescent="0.25">
      <c r="B791">
        <v>342257</v>
      </c>
      <c r="C791" t="s">
        <v>25</v>
      </c>
      <c r="D791">
        <v>186</v>
      </c>
      <c r="E791" t="s">
        <v>284</v>
      </c>
      <c r="F791" t="s">
        <v>257</v>
      </c>
      <c r="G791" t="s">
        <v>13</v>
      </c>
      <c r="H791" t="s">
        <v>14</v>
      </c>
      <c r="J791" t="s">
        <v>15</v>
      </c>
      <c r="K791" s="1" t="e">
        <f>VLOOKUP(I791,'[1]PC50 Y2018 Status'!$D:$H,5,FALSE)</f>
        <v>#N/A</v>
      </c>
    </row>
    <row r="792" spans="2:11" x14ac:dyDescent="0.25">
      <c r="B792">
        <v>347637</v>
      </c>
      <c r="C792" t="s">
        <v>27</v>
      </c>
      <c r="D792">
        <v>44</v>
      </c>
      <c r="E792" t="s">
        <v>284</v>
      </c>
      <c r="F792" t="s">
        <v>257</v>
      </c>
      <c r="G792" t="s">
        <v>13</v>
      </c>
      <c r="H792" t="s">
        <v>14</v>
      </c>
      <c r="J792" t="s">
        <v>15</v>
      </c>
      <c r="K792" s="1" t="e">
        <f>VLOOKUP(I792,'[1]PC50 Y2018 Status'!$D:$H,5,FALSE)</f>
        <v>#N/A</v>
      </c>
    </row>
    <row r="793" spans="2:11" x14ac:dyDescent="0.25">
      <c r="B793">
        <v>347677</v>
      </c>
      <c r="C793" t="s">
        <v>104</v>
      </c>
      <c r="D793">
        <v>4</v>
      </c>
      <c r="E793" t="s">
        <v>285</v>
      </c>
      <c r="F793" t="s">
        <v>257</v>
      </c>
      <c r="G793" t="s">
        <v>13</v>
      </c>
      <c r="H793" t="s">
        <v>14</v>
      </c>
      <c r="J793" t="s">
        <v>22</v>
      </c>
      <c r="K793" s="1" t="e">
        <f>VLOOKUP(I793,'[1]PC50 Y2018 Status'!$D:$H,5,FALSE)</f>
        <v>#N/A</v>
      </c>
    </row>
    <row r="794" spans="2:11" x14ac:dyDescent="0.25">
      <c r="B794">
        <v>610000004050</v>
      </c>
      <c r="C794" t="s">
        <v>17</v>
      </c>
      <c r="D794">
        <v>110</v>
      </c>
      <c r="E794" t="s">
        <v>285</v>
      </c>
      <c r="F794" t="s">
        <v>257</v>
      </c>
      <c r="G794" t="s">
        <v>13</v>
      </c>
      <c r="H794" t="s">
        <v>14</v>
      </c>
      <c r="J794" t="s">
        <v>15</v>
      </c>
      <c r="K794" s="1" t="e">
        <f>VLOOKUP(I794,'[1]PC50 Y2018 Status'!$D:$H,5,FALSE)</f>
        <v>#N/A</v>
      </c>
    </row>
    <row r="795" spans="2:11" x14ac:dyDescent="0.25">
      <c r="B795">
        <v>610000004067</v>
      </c>
      <c r="C795" t="s">
        <v>106</v>
      </c>
      <c r="D795">
        <v>9</v>
      </c>
      <c r="E795" t="s">
        <v>285</v>
      </c>
      <c r="F795" t="s">
        <v>257</v>
      </c>
      <c r="G795" t="s">
        <v>13</v>
      </c>
      <c r="H795" t="s">
        <v>14</v>
      </c>
      <c r="J795" t="s">
        <v>15</v>
      </c>
      <c r="K795" s="1" t="e">
        <f>VLOOKUP(I795,'[1]PC50 Y2018 Status'!$D:$H,5,FALSE)</f>
        <v>#N/A</v>
      </c>
    </row>
    <row r="796" spans="2:11" x14ac:dyDescent="0.25">
      <c r="B796">
        <v>610000004031</v>
      </c>
      <c r="C796" t="s">
        <v>16</v>
      </c>
      <c r="D796">
        <v>109</v>
      </c>
      <c r="E796" t="s">
        <v>286</v>
      </c>
      <c r="F796" t="s">
        <v>257</v>
      </c>
      <c r="G796" t="s">
        <v>13</v>
      </c>
      <c r="H796" t="s">
        <v>14</v>
      </c>
      <c r="J796" t="s">
        <v>15</v>
      </c>
      <c r="K796" s="1" t="e">
        <f>VLOOKUP(I796,'[1]PC50 Y2018 Status'!$D:$H,5,FALSE)</f>
        <v>#N/A</v>
      </c>
    </row>
    <row r="797" spans="2:11" x14ac:dyDescent="0.25">
      <c r="B797">
        <v>610000004051</v>
      </c>
      <c r="C797" t="s">
        <v>17</v>
      </c>
      <c r="D797">
        <v>110</v>
      </c>
      <c r="E797" t="s">
        <v>286</v>
      </c>
      <c r="F797" t="s">
        <v>257</v>
      </c>
      <c r="G797" t="s">
        <v>13</v>
      </c>
      <c r="H797" t="s">
        <v>14</v>
      </c>
      <c r="J797" t="s">
        <v>15</v>
      </c>
      <c r="K797" s="1" t="e">
        <f>VLOOKUP(I797,'[1]PC50 Y2018 Status'!$D:$H,5,FALSE)</f>
        <v>#N/A</v>
      </c>
    </row>
    <row r="798" spans="2:11" x14ac:dyDescent="0.25">
      <c r="B798">
        <v>610000004131</v>
      </c>
      <c r="C798" t="s">
        <v>61</v>
      </c>
      <c r="D798">
        <v>37</v>
      </c>
      <c r="E798" t="s">
        <v>286</v>
      </c>
      <c r="F798" t="s">
        <v>257</v>
      </c>
      <c r="G798" t="s">
        <v>13</v>
      </c>
      <c r="H798" t="s">
        <v>14</v>
      </c>
      <c r="J798" t="s">
        <v>22</v>
      </c>
      <c r="K798" s="1" t="e">
        <f>VLOOKUP(I798,'[1]PC50 Y2018 Status'!$D:$H,5,FALSE)</f>
        <v>#N/A</v>
      </c>
    </row>
    <row r="799" spans="2:11" x14ac:dyDescent="0.25">
      <c r="B799">
        <v>342258</v>
      </c>
      <c r="C799" t="s">
        <v>18</v>
      </c>
      <c r="D799">
        <v>93</v>
      </c>
      <c r="E799" t="s">
        <v>287</v>
      </c>
      <c r="F799" t="s">
        <v>257</v>
      </c>
      <c r="G799" t="s">
        <v>13</v>
      </c>
      <c r="H799" t="s">
        <v>14</v>
      </c>
      <c r="J799" t="s">
        <v>15</v>
      </c>
      <c r="K799" s="1" t="e">
        <f>VLOOKUP(I799,'[1]PC50 Y2018 Status'!$D:$H,5,FALSE)</f>
        <v>#N/A</v>
      </c>
    </row>
    <row r="800" spans="2:11" x14ac:dyDescent="0.25">
      <c r="B800">
        <v>610000004068</v>
      </c>
      <c r="C800" t="s">
        <v>24</v>
      </c>
      <c r="D800">
        <v>222</v>
      </c>
      <c r="E800" t="s">
        <v>288</v>
      </c>
      <c r="F800" t="s">
        <v>257</v>
      </c>
      <c r="G800" t="s">
        <v>13</v>
      </c>
      <c r="H800" t="s">
        <v>14</v>
      </c>
      <c r="J800" t="s">
        <v>15</v>
      </c>
      <c r="K800" s="1" t="e">
        <f>VLOOKUP(I800,'[1]PC50 Y2018 Status'!$D:$H,5,FALSE)</f>
        <v>#N/A</v>
      </c>
    </row>
    <row r="801" spans="2:11" x14ac:dyDescent="0.25">
      <c r="B801">
        <v>610000004103</v>
      </c>
      <c r="C801" t="s">
        <v>51</v>
      </c>
      <c r="D801">
        <v>36</v>
      </c>
      <c r="E801" t="s">
        <v>288</v>
      </c>
      <c r="F801" t="s">
        <v>257</v>
      </c>
      <c r="G801" t="s">
        <v>13</v>
      </c>
      <c r="H801" t="s">
        <v>14</v>
      </c>
      <c r="J801" t="s">
        <v>22</v>
      </c>
      <c r="K801" s="1" t="e">
        <f>VLOOKUP(I801,'[1]PC50 Y2018 Status'!$D:$H,5,FALSE)</f>
        <v>#N/A</v>
      </c>
    </row>
    <row r="802" spans="2:11" x14ac:dyDescent="0.25">
      <c r="B802">
        <v>342279</v>
      </c>
      <c r="C802" t="s">
        <v>64</v>
      </c>
      <c r="D802">
        <v>43</v>
      </c>
      <c r="E802" t="s">
        <v>289</v>
      </c>
      <c r="F802" t="s">
        <v>257</v>
      </c>
      <c r="G802" t="s">
        <v>13</v>
      </c>
      <c r="H802" t="s">
        <v>14</v>
      </c>
      <c r="J802" t="s">
        <v>15</v>
      </c>
      <c r="K802" s="1" t="e">
        <f>VLOOKUP(I802,'[1]PC50 Y2018 Status'!$D:$H,5,FALSE)</f>
        <v>#N/A</v>
      </c>
    </row>
    <row r="803" spans="2:11" x14ac:dyDescent="0.25">
      <c r="B803">
        <v>610000004032</v>
      </c>
      <c r="C803" t="s">
        <v>32</v>
      </c>
      <c r="D803">
        <v>59</v>
      </c>
      <c r="E803" t="s">
        <v>289</v>
      </c>
      <c r="F803" t="s">
        <v>257</v>
      </c>
      <c r="G803" t="s">
        <v>13</v>
      </c>
      <c r="H803" t="s">
        <v>14</v>
      </c>
      <c r="J803" t="s">
        <v>15</v>
      </c>
      <c r="K803" s="1" t="e">
        <f>VLOOKUP(I803,'[1]PC50 Y2018 Status'!$D:$H,5,FALSE)</f>
        <v>#N/A</v>
      </c>
    </row>
    <row r="804" spans="2:11" x14ac:dyDescent="0.25">
      <c r="B804">
        <v>342257</v>
      </c>
      <c r="C804" t="s">
        <v>25</v>
      </c>
      <c r="D804">
        <v>187</v>
      </c>
      <c r="E804" t="s">
        <v>290</v>
      </c>
      <c r="F804" t="s">
        <v>257</v>
      </c>
      <c r="G804" t="s">
        <v>13</v>
      </c>
      <c r="H804" t="s">
        <v>14</v>
      </c>
      <c r="J804" t="s">
        <v>15</v>
      </c>
      <c r="K804" s="1" t="e">
        <f>VLOOKUP(I804,'[1]PC50 Y2018 Status'!$D:$H,5,FALSE)</f>
        <v>#N/A</v>
      </c>
    </row>
    <row r="805" spans="2:11" x14ac:dyDescent="0.25">
      <c r="B805">
        <v>347637</v>
      </c>
      <c r="C805" t="s">
        <v>27</v>
      </c>
      <c r="D805">
        <v>45</v>
      </c>
      <c r="E805" t="s">
        <v>290</v>
      </c>
      <c r="F805" t="s">
        <v>257</v>
      </c>
      <c r="G805" t="s">
        <v>13</v>
      </c>
      <c r="H805" t="s">
        <v>14</v>
      </c>
      <c r="J805" t="s">
        <v>15</v>
      </c>
      <c r="K805" s="1" t="e">
        <f>VLOOKUP(I805,'[1]PC50 Y2018 Status'!$D:$H,5,FALSE)</f>
        <v>#N/A</v>
      </c>
    </row>
    <row r="806" spans="2:11" x14ac:dyDescent="0.25">
      <c r="B806">
        <v>347638</v>
      </c>
      <c r="C806" t="s">
        <v>16</v>
      </c>
      <c r="D806">
        <v>23</v>
      </c>
      <c r="E806" t="s">
        <v>290</v>
      </c>
      <c r="F806" t="s">
        <v>257</v>
      </c>
      <c r="G806" t="s">
        <v>13</v>
      </c>
      <c r="H806" t="s">
        <v>14</v>
      </c>
      <c r="J806" t="s">
        <v>15</v>
      </c>
      <c r="K806" s="1" t="e">
        <f>VLOOKUP(I806,'[1]PC50 Y2018 Status'!$D:$H,5,FALSE)</f>
        <v>#N/A</v>
      </c>
    </row>
    <row r="807" spans="2:11" x14ac:dyDescent="0.25">
      <c r="B807">
        <v>347716</v>
      </c>
      <c r="C807" t="s">
        <v>28</v>
      </c>
      <c r="D807">
        <v>10</v>
      </c>
      <c r="E807" t="s">
        <v>290</v>
      </c>
      <c r="F807" t="s">
        <v>257</v>
      </c>
      <c r="G807" t="s">
        <v>13</v>
      </c>
      <c r="H807" t="s">
        <v>14</v>
      </c>
      <c r="J807" t="s">
        <v>22</v>
      </c>
      <c r="K807" s="1" t="e">
        <f>VLOOKUP(I807,'[1]PC50 Y2018 Status'!$D:$H,5,FALSE)</f>
        <v>#N/A</v>
      </c>
    </row>
    <row r="808" spans="2:11" x14ac:dyDescent="0.25">
      <c r="B808">
        <v>347741</v>
      </c>
      <c r="C808" t="s">
        <v>28</v>
      </c>
      <c r="D808">
        <v>10</v>
      </c>
      <c r="E808" t="s">
        <v>290</v>
      </c>
      <c r="F808" t="s">
        <v>257</v>
      </c>
      <c r="G808" t="s">
        <v>13</v>
      </c>
      <c r="H808" t="s">
        <v>14</v>
      </c>
      <c r="J808" t="s">
        <v>22</v>
      </c>
      <c r="K808" s="1" t="e">
        <f>VLOOKUP(I808,'[1]PC50 Y2018 Status'!$D:$H,5,FALSE)</f>
        <v>#N/A</v>
      </c>
    </row>
    <row r="809" spans="2:11" x14ac:dyDescent="0.25">
      <c r="B809">
        <v>610000004102</v>
      </c>
      <c r="C809" t="s">
        <v>67</v>
      </c>
      <c r="D809">
        <v>52</v>
      </c>
      <c r="E809" t="s">
        <v>290</v>
      </c>
      <c r="F809" t="s">
        <v>257</v>
      </c>
      <c r="G809" t="s">
        <v>13</v>
      </c>
      <c r="H809" t="s">
        <v>14</v>
      </c>
      <c r="J809" t="s">
        <v>22</v>
      </c>
      <c r="K809" s="1" t="e">
        <f>VLOOKUP(I809,'[1]PC50 Y2018 Status'!$D:$H,5,FALSE)</f>
        <v>#N/A</v>
      </c>
    </row>
    <row r="810" spans="2:11" x14ac:dyDescent="0.25">
      <c r="B810">
        <v>610000004111</v>
      </c>
      <c r="C810" t="s">
        <v>78</v>
      </c>
      <c r="D810">
        <v>47</v>
      </c>
      <c r="E810" t="s">
        <v>290</v>
      </c>
      <c r="F810" t="s">
        <v>257</v>
      </c>
      <c r="G810" t="s">
        <v>13</v>
      </c>
      <c r="H810" t="s">
        <v>14</v>
      </c>
      <c r="J810" t="s">
        <v>22</v>
      </c>
      <c r="K810" s="1" t="e">
        <f>VLOOKUP(I810,'[1]PC50 Y2018 Status'!$D:$H,5,FALSE)</f>
        <v>#N/A</v>
      </c>
    </row>
    <row r="811" spans="2:11" x14ac:dyDescent="0.25">
      <c r="B811">
        <v>610000004115</v>
      </c>
      <c r="C811" t="s">
        <v>78</v>
      </c>
      <c r="D811">
        <v>26</v>
      </c>
      <c r="E811" t="s">
        <v>290</v>
      </c>
      <c r="F811" t="s">
        <v>257</v>
      </c>
      <c r="G811" t="s">
        <v>13</v>
      </c>
      <c r="H811" t="s">
        <v>14</v>
      </c>
      <c r="J811" t="s">
        <v>22</v>
      </c>
      <c r="K811" s="1" t="e">
        <f>VLOOKUP(I811,'[1]PC50 Y2018 Status'!$D:$H,5,FALSE)</f>
        <v>#N/A</v>
      </c>
    </row>
    <row r="812" spans="2:11" x14ac:dyDescent="0.25">
      <c r="B812">
        <v>610000004129</v>
      </c>
      <c r="C812" t="s">
        <v>68</v>
      </c>
      <c r="D812">
        <v>52</v>
      </c>
      <c r="E812" t="s">
        <v>290</v>
      </c>
      <c r="F812" t="s">
        <v>257</v>
      </c>
      <c r="G812" t="s">
        <v>13</v>
      </c>
      <c r="H812" t="s">
        <v>14</v>
      </c>
      <c r="J812" t="s">
        <v>22</v>
      </c>
      <c r="K812" s="1" t="e">
        <f>VLOOKUP(I812,'[1]PC50 Y2018 Status'!$D:$H,5,FALSE)</f>
        <v>#N/A</v>
      </c>
    </row>
    <row r="813" spans="2:11" x14ac:dyDescent="0.25">
      <c r="B813">
        <v>610000004177</v>
      </c>
      <c r="C813" t="s">
        <v>37</v>
      </c>
      <c r="D813">
        <v>53</v>
      </c>
      <c r="E813" t="s">
        <v>290</v>
      </c>
      <c r="F813" t="s">
        <v>257</v>
      </c>
      <c r="G813" t="s">
        <v>13</v>
      </c>
      <c r="H813" t="s">
        <v>14</v>
      </c>
      <c r="J813" t="s">
        <v>22</v>
      </c>
      <c r="K813" s="1" t="e">
        <f>VLOOKUP(I813,'[1]PC50 Y2018 Status'!$D:$H,5,FALSE)</f>
        <v>#N/A</v>
      </c>
    </row>
    <row r="814" spans="2:11" x14ac:dyDescent="0.25">
      <c r="B814">
        <v>342742</v>
      </c>
      <c r="C814" t="s">
        <v>77</v>
      </c>
      <c r="D814">
        <v>7</v>
      </c>
      <c r="E814" t="s">
        <v>291</v>
      </c>
      <c r="F814" t="s">
        <v>257</v>
      </c>
      <c r="G814" t="s">
        <v>13</v>
      </c>
      <c r="H814" t="s">
        <v>14</v>
      </c>
      <c r="J814" t="s">
        <v>22</v>
      </c>
      <c r="K814" s="1" t="e">
        <f>VLOOKUP(I814,'[1]PC50 Y2018 Status'!$D:$H,5,FALSE)</f>
        <v>#N/A</v>
      </c>
    </row>
    <row r="815" spans="2:11" x14ac:dyDescent="0.25">
      <c r="B815">
        <v>610000004112</v>
      </c>
      <c r="C815" t="s">
        <v>78</v>
      </c>
      <c r="D815">
        <v>38</v>
      </c>
      <c r="E815" t="s">
        <v>292</v>
      </c>
      <c r="F815" t="s">
        <v>257</v>
      </c>
      <c r="G815" t="s">
        <v>13</v>
      </c>
      <c r="H815" t="s">
        <v>14</v>
      </c>
      <c r="J815" t="s">
        <v>22</v>
      </c>
      <c r="K815" s="1" t="e">
        <f>VLOOKUP(I815,'[1]PC50 Y2018 Status'!$D:$H,5,FALSE)</f>
        <v>#N/A</v>
      </c>
    </row>
    <row r="816" spans="2:11" x14ac:dyDescent="0.25">
      <c r="B816">
        <v>610000004122</v>
      </c>
      <c r="C816" t="s">
        <v>54</v>
      </c>
      <c r="D816">
        <v>38</v>
      </c>
      <c r="E816" t="s">
        <v>292</v>
      </c>
      <c r="F816" t="s">
        <v>257</v>
      </c>
      <c r="G816" t="s">
        <v>13</v>
      </c>
      <c r="H816" t="s">
        <v>14</v>
      </c>
      <c r="J816" t="s">
        <v>22</v>
      </c>
      <c r="K816" s="1" t="e">
        <f>VLOOKUP(I816,'[1]PC50 Y2018 Status'!$D:$H,5,FALSE)</f>
        <v>#N/A</v>
      </c>
    </row>
    <row r="817" spans="2:11" x14ac:dyDescent="0.25">
      <c r="B817">
        <v>610000004130</v>
      </c>
      <c r="C817" t="s">
        <v>61</v>
      </c>
      <c r="D817">
        <v>38</v>
      </c>
      <c r="E817" t="s">
        <v>292</v>
      </c>
      <c r="F817" t="s">
        <v>257</v>
      </c>
      <c r="G817" t="s">
        <v>13</v>
      </c>
      <c r="H817" t="s">
        <v>14</v>
      </c>
      <c r="J817" t="s">
        <v>22</v>
      </c>
      <c r="K817" s="1" t="e">
        <f>VLOOKUP(I817,'[1]PC50 Y2018 Status'!$D:$H,5,FALSE)</f>
        <v>#N/A</v>
      </c>
    </row>
    <row r="818" spans="2:11" x14ac:dyDescent="0.25">
      <c r="B818">
        <v>347678</v>
      </c>
      <c r="C818" t="s">
        <v>28</v>
      </c>
      <c r="D818">
        <v>11</v>
      </c>
      <c r="E818" t="s">
        <v>293</v>
      </c>
      <c r="F818" t="s">
        <v>257</v>
      </c>
      <c r="G818" t="s">
        <v>13</v>
      </c>
      <c r="H818" t="s">
        <v>14</v>
      </c>
      <c r="J818" t="s">
        <v>22</v>
      </c>
      <c r="K818" s="1" t="e">
        <f>VLOOKUP(I818,'[1]PC50 Y2018 Status'!$D:$H,5,FALSE)</f>
        <v>#N/A</v>
      </c>
    </row>
    <row r="819" spans="2:11" x14ac:dyDescent="0.25">
      <c r="B819">
        <v>610000004162</v>
      </c>
      <c r="C819" t="s">
        <v>43</v>
      </c>
      <c r="D819">
        <v>52</v>
      </c>
      <c r="E819" t="s">
        <v>293</v>
      </c>
      <c r="F819" t="s">
        <v>257</v>
      </c>
      <c r="G819" t="s">
        <v>13</v>
      </c>
      <c r="H819" t="s">
        <v>14</v>
      </c>
      <c r="J819" t="s">
        <v>22</v>
      </c>
      <c r="K819" s="1" t="e">
        <f>VLOOKUP(I819,'[1]PC50 Y2018 Status'!$D:$H,5,FALSE)</f>
        <v>#N/A</v>
      </c>
    </row>
    <row r="820" spans="2:11" x14ac:dyDescent="0.25">
      <c r="B820">
        <v>610000004170</v>
      </c>
      <c r="C820" t="s">
        <v>115</v>
      </c>
      <c r="D820">
        <v>16</v>
      </c>
      <c r="E820" t="s">
        <v>293</v>
      </c>
      <c r="F820" t="s">
        <v>257</v>
      </c>
      <c r="G820" t="s">
        <v>13</v>
      </c>
      <c r="H820" t="s">
        <v>14</v>
      </c>
      <c r="J820" t="s">
        <v>22</v>
      </c>
      <c r="K820" s="1" t="e">
        <f>VLOOKUP(I820,'[1]PC50 Y2018 Status'!$D:$H,5,FALSE)</f>
        <v>#N/A</v>
      </c>
    </row>
    <row r="821" spans="2:11" x14ac:dyDescent="0.25">
      <c r="B821">
        <v>610000004175</v>
      </c>
      <c r="C821" t="s">
        <v>34</v>
      </c>
      <c r="D821">
        <v>110</v>
      </c>
      <c r="E821" t="s">
        <v>293</v>
      </c>
      <c r="F821" t="s">
        <v>257</v>
      </c>
      <c r="G821" t="s">
        <v>13</v>
      </c>
      <c r="H821" t="s">
        <v>14</v>
      </c>
      <c r="J821" t="s">
        <v>22</v>
      </c>
      <c r="K821" s="1" t="e">
        <f>VLOOKUP(I821,'[1]PC50 Y2018 Status'!$D:$H,5,FALSE)</f>
        <v>#N/A</v>
      </c>
    </row>
    <row r="822" spans="2:11" x14ac:dyDescent="0.25">
      <c r="B822">
        <v>610000004069</v>
      </c>
      <c r="C822" t="s">
        <v>35</v>
      </c>
      <c r="D822">
        <v>111</v>
      </c>
      <c r="E822" t="s">
        <v>294</v>
      </c>
      <c r="F822" t="s">
        <v>257</v>
      </c>
      <c r="G822" t="s">
        <v>13</v>
      </c>
      <c r="H822" t="s">
        <v>14</v>
      </c>
      <c r="J822" t="s">
        <v>15</v>
      </c>
      <c r="K822" s="1" t="e">
        <f>VLOOKUP(I822,'[1]PC50 Y2018 Status'!$D:$H,5,FALSE)</f>
        <v>#N/A</v>
      </c>
    </row>
    <row r="823" spans="2:11" x14ac:dyDescent="0.25">
      <c r="B823">
        <v>610000004070</v>
      </c>
      <c r="C823" t="s">
        <v>35</v>
      </c>
      <c r="D823">
        <v>111</v>
      </c>
      <c r="E823" t="s">
        <v>294</v>
      </c>
      <c r="F823" t="s">
        <v>257</v>
      </c>
      <c r="G823" t="s">
        <v>13</v>
      </c>
      <c r="H823" t="s">
        <v>14</v>
      </c>
      <c r="J823" t="s">
        <v>15</v>
      </c>
      <c r="K823" s="1" t="e">
        <f>VLOOKUP(I823,'[1]PC50 Y2018 Status'!$D:$H,5,FALSE)</f>
        <v>#N/A</v>
      </c>
    </row>
    <row r="824" spans="2:11" x14ac:dyDescent="0.25">
      <c r="B824">
        <v>610000004176</v>
      </c>
      <c r="C824" t="s">
        <v>59</v>
      </c>
      <c r="D824">
        <v>38</v>
      </c>
      <c r="E824" t="s">
        <v>294</v>
      </c>
      <c r="F824" t="s">
        <v>257</v>
      </c>
      <c r="G824" t="s">
        <v>13</v>
      </c>
      <c r="H824" t="s">
        <v>14</v>
      </c>
      <c r="J824" t="s">
        <v>22</v>
      </c>
      <c r="K824" s="1" t="e">
        <f>VLOOKUP(I824,'[1]PC50 Y2018 Status'!$D:$H,5,FALSE)</f>
        <v>#N/A</v>
      </c>
    </row>
    <row r="825" spans="2:11" x14ac:dyDescent="0.25">
      <c r="B825">
        <v>342586</v>
      </c>
      <c r="C825" t="s">
        <v>82</v>
      </c>
      <c r="D825">
        <v>39</v>
      </c>
      <c r="E825" t="s">
        <v>295</v>
      </c>
      <c r="F825" t="s">
        <v>257</v>
      </c>
      <c r="G825" t="s">
        <v>13</v>
      </c>
      <c r="H825" t="s">
        <v>14</v>
      </c>
      <c r="J825" t="s">
        <v>22</v>
      </c>
      <c r="K825" s="1" t="e">
        <f>VLOOKUP(I825,'[1]PC50 Y2018 Status'!$D:$H,5,FALSE)</f>
        <v>#N/A</v>
      </c>
    </row>
    <row r="826" spans="2:11" x14ac:dyDescent="0.25">
      <c r="B826">
        <v>610000004068</v>
      </c>
      <c r="C826" t="s">
        <v>24</v>
      </c>
      <c r="D826">
        <v>223</v>
      </c>
      <c r="E826" t="s">
        <v>295</v>
      </c>
      <c r="F826" t="s">
        <v>257</v>
      </c>
      <c r="G826" t="s">
        <v>13</v>
      </c>
      <c r="H826" t="s">
        <v>14</v>
      </c>
      <c r="J826" t="s">
        <v>15</v>
      </c>
      <c r="K826" s="1" t="e">
        <f>VLOOKUP(I826,'[1]PC50 Y2018 Status'!$D:$H,5,FALSE)</f>
        <v>#N/A</v>
      </c>
    </row>
    <row r="827" spans="2:11" x14ac:dyDescent="0.25">
      <c r="B827">
        <v>610000004077</v>
      </c>
      <c r="C827" t="s">
        <v>39</v>
      </c>
      <c r="D827">
        <v>111</v>
      </c>
      <c r="E827" t="s">
        <v>295</v>
      </c>
      <c r="F827" t="s">
        <v>257</v>
      </c>
      <c r="G827" t="s">
        <v>13</v>
      </c>
      <c r="H827" t="s">
        <v>14</v>
      </c>
      <c r="J827" t="s">
        <v>15</v>
      </c>
      <c r="K827" s="1" t="e">
        <f>VLOOKUP(I827,'[1]PC50 Y2018 Status'!$D:$H,5,FALSE)</f>
        <v>#N/A</v>
      </c>
    </row>
    <row r="828" spans="2:11" x14ac:dyDescent="0.25">
      <c r="B828">
        <v>610000004085</v>
      </c>
      <c r="C828" t="s">
        <v>18</v>
      </c>
      <c r="D828">
        <v>111</v>
      </c>
      <c r="E828" t="s">
        <v>295</v>
      </c>
      <c r="F828" t="s">
        <v>257</v>
      </c>
      <c r="G828" t="s">
        <v>13</v>
      </c>
      <c r="H828" t="s">
        <v>14</v>
      </c>
      <c r="J828" t="s">
        <v>15</v>
      </c>
      <c r="K828" s="1" t="e">
        <f>VLOOKUP(I828,'[1]PC50 Y2018 Status'!$D:$H,5,FALSE)</f>
        <v>#N/A</v>
      </c>
    </row>
    <row r="829" spans="2:11" x14ac:dyDescent="0.25">
      <c r="B829">
        <v>610000004086</v>
      </c>
      <c r="C829" t="s">
        <v>18</v>
      </c>
      <c r="D829">
        <v>111</v>
      </c>
      <c r="E829" t="s">
        <v>295</v>
      </c>
      <c r="F829" t="s">
        <v>257</v>
      </c>
      <c r="G829" t="s">
        <v>13</v>
      </c>
      <c r="H829" t="s">
        <v>14</v>
      </c>
      <c r="J829" t="s">
        <v>15</v>
      </c>
      <c r="K829" s="1" t="e">
        <f>VLOOKUP(I829,'[1]PC50 Y2018 Status'!$D:$H,5,FALSE)</f>
        <v>#N/A</v>
      </c>
    </row>
    <row r="830" spans="2:11" x14ac:dyDescent="0.25">
      <c r="B830">
        <v>610000004123</v>
      </c>
      <c r="C830" t="s">
        <v>54</v>
      </c>
      <c r="D830">
        <v>26</v>
      </c>
      <c r="E830" t="s">
        <v>295</v>
      </c>
      <c r="F830" t="s">
        <v>257</v>
      </c>
      <c r="G830" t="s">
        <v>13</v>
      </c>
      <c r="H830" t="s">
        <v>14</v>
      </c>
      <c r="J830" t="s">
        <v>22</v>
      </c>
      <c r="K830" s="1" t="e">
        <f>VLOOKUP(I830,'[1]PC50 Y2018 Status'!$D:$H,5,FALSE)</f>
        <v>#N/A</v>
      </c>
    </row>
    <row r="831" spans="2:11" x14ac:dyDescent="0.25">
      <c r="B831">
        <v>610000004091</v>
      </c>
      <c r="C831" t="s">
        <v>47</v>
      </c>
      <c r="D831">
        <v>110</v>
      </c>
      <c r="E831" t="s">
        <v>296</v>
      </c>
      <c r="F831" t="s">
        <v>257</v>
      </c>
      <c r="G831" t="s">
        <v>13</v>
      </c>
      <c r="H831" t="s">
        <v>14</v>
      </c>
      <c r="J831" t="s">
        <v>15</v>
      </c>
      <c r="K831" s="1" t="e">
        <f>VLOOKUP(I831,'[1]PC50 Y2018 Status'!$D:$H,5,FALSE)</f>
        <v>#N/A</v>
      </c>
    </row>
    <row r="832" spans="2:11" x14ac:dyDescent="0.25">
      <c r="B832">
        <v>610000004152</v>
      </c>
      <c r="C832" t="s">
        <v>82</v>
      </c>
      <c r="D832">
        <v>52</v>
      </c>
      <c r="E832" t="s">
        <v>296</v>
      </c>
      <c r="F832" t="s">
        <v>257</v>
      </c>
      <c r="G832" t="s">
        <v>13</v>
      </c>
      <c r="H832" t="s">
        <v>14</v>
      </c>
      <c r="J832" t="s">
        <v>22</v>
      </c>
      <c r="K832" s="1" t="e">
        <f>VLOOKUP(I832,'[1]PC50 Y2018 Status'!$D:$H,5,FALSE)</f>
        <v>#N/A</v>
      </c>
    </row>
    <row r="833" spans="2:11" x14ac:dyDescent="0.25">
      <c r="B833">
        <v>610000004161</v>
      </c>
      <c r="C833" t="s">
        <v>48</v>
      </c>
      <c r="D833">
        <v>112</v>
      </c>
      <c r="E833" t="s">
        <v>296</v>
      </c>
      <c r="F833" t="s">
        <v>257</v>
      </c>
      <c r="G833" t="s">
        <v>13</v>
      </c>
      <c r="H833" t="s">
        <v>14</v>
      </c>
      <c r="J833" t="s">
        <v>22</v>
      </c>
      <c r="K833" s="1" t="e">
        <f>VLOOKUP(I833,'[1]PC50 Y2018 Status'!$D:$H,5,FALSE)</f>
        <v>#N/A</v>
      </c>
    </row>
    <row r="834" spans="2:11" x14ac:dyDescent="0.25">
      <c r="B834">
        <v>342257</v>
      </c>
      <c r="C834" t="s">
        <v>25</v>
      </c>
      <c r="D834">
        <v>188</v>
      </c>
      <c r="E834" t="s">
        <v>297</v>
      </c>
      <c r="F834" t="s">
        <v>257</v>
      </c>
      <c r="G834" t="s">
        <v>13</v>
      </c>
      <c r="H834" t="s">
        <v>14</v>
      </c>
      <c r="J834" t="s">
        <v>15</v>
      </c>
      <c r="K834" s="1" t="e">
        <f>VLOOKUP(I834,'[1]PC50 Y2018 Status'!$D:$H,5,FALSE)</f>
        <v>#N/A</v>
      </c>
    </row>
    <row r="835" spans="2:11" x14ac:dyDescent="0.25">
      <c r="B835">
        <v>347637</v>
      </c>
      <c r="C835" t="s">
        <v>27</v>
      </c>
      <c r="D835">
        <v>46</v>
      </c>
      <c r="E835" t="s">
        <v>297</v>
      </c>
      <c r="F835" t="s">
        <v>257</v>
      </c>
      <c r="G835" t="s">
        <v>13</v>
      </c>
      <c r="H835" t="s">
        <v>14</v>
      </c>
      <c r="J835" t="s">
        <v>15</v>
      </c>
      <c r="K835" s="1" t="e">
        <f>VLOOKUP(I835,'[1]PC50 Y2018 Status'!$D:$H,5,FALSE)</f>
        <v>#N/A</v>
      </c>
    </row>
    <row r="836" spans="2:11" x14ac:dyDescent="0.25">
      <c r="B836">
        <v>347639</v>
      </c>
      <c r="C836" t="s">
        <v>32</v>
      </c>
      <c r="D836">
        <v>10</v>
      </c>
      <c r="E836" t="s">
        <v>297</v>
      </c>
      <c r="F836" t="s">
        <v>257</v>
      </c>
      <c r="G836" t="s">
        <v>13</v>
      </c>
      <c r="H836" t="s">
        <v>14</v>
      </c>
      <c r="J836" t="s">
        <v>15</v>
      </c>
      <c r="K836" s="1" t="e">
        <f>VLOOKUP(I836,'[1]PC50 Y2018 Status'!$D:$H,5,FALSE)</f>
        <v>#N/A</v>
      </c>
    </row>
    <row r="837" spans="2:11" x14ac:dyDescent="0.25">
      <c r="B837">
        <v>610000004052</v>
      </c>
      <c r="C837" t="s">
        <v>46</v>
      </c>
      <c r="D837">
        <v>51</v>
      </c>
      <c r="E837" t="s">
        <v>297</v>
      </c>
      <c r="F837" t="s">
        <v>257</v>
      </c>
      <c r="G837" t="s">
        <v>13</v>
      </c>
      <c r="H837" t="s">
        <v>14</v>
      </c>
      <c r="J837" t="s">
        <v>15</v>
      </c>
      <c r="K837" s="1" t="e">
        <f>VLOOKUP(I837,'[1]PC50 Y2018 Status'!$D:$H,5,FALSE)</f>
        <v>#N/A</v>
      </c>
    </row>
    <row r="838" spans="2:11" x14ac:dyDescent="0.25">
      <c r="B838">
        <v>610000004081</v>
      </c>
      <c r="C838" t="s">
        <v>71</v>
      </c>
      <c r="D838">
        <v>21</v>
      </c>
      <c r="E838" t="s">
        <v>297</v>
      </c>
      <c r="F838" t="s">
        <v>257</v>
      </c>
      <c r="G838" t="s">
        <v>13</v>
      </c>
      <c r="H838" t="s">
        <v>14</v>
      </c>
      <c r="J838" t="s">
        <v>15</v>
      </c>
      <c r="K838" s="1" t="e">
        <f>VLOOKUP(I838,'[1]PC50 Y2018 Status'!$D:$H,5,FALSE)</f>
        <v>#N/A</v>
      </c>
    </row>
    <row r="839" spans="2:11" x14ac:dyDescent="0.25">
      <c r="B839">
        <v>610000004050</v>
      </c>
      <c r="C839" t="s">
        <v>17</v>
      </c>
      <c r="D839">
        <v>111</v>
      </c>
      <c r="E839" t="s">
        <v>298</v>
      </c>
      <c r="F839" t="s">
        <v>257</v>
      </c>
      <c r="G839" t="s">
        <v>13</v>
      </c>
      <c r="H839" t="s">
        <v>14</v>
      </c>
      <c r="J839" t="s">
        <v>15</v>
      </c>
      <c r="K839" s="1" t="e">
        <f>VLOOKUP(I839,'[1]PC50 Y2018 Status'!$D:$H,5,FALSE)</f>
        <v>#N/A</v>
      </c>
    </row>
    <row r="840" spans="2:11" x14ac:dyDescent="0.25">
      <c r="B840">
        <v>342588</v>
      </c>
      <c r="C840" t="s">
        <v>82</v>
      </c>
      <c r="D840">
        <v>40</v>
      </c>
      <c r="E840" t="s">
        <v>299</v>
      </c>
      <c r="F840" t="s">
        <v>257</v>
      </c>
      <c r="G840" t="s">
        <v>13</v>
      </c>
      <c r="H840" t="s">
        <v>14</v>
      </c>
      <c r="J840" t="s">
        <v>22</v>
      </c>
      <c r="K840" s="1" t="e">
        <f>VLOOKUP(I840,'[1]PC50 Y2018 Status'!$D:$H,5,FALSE)</f>
        <v>#N/A</v>
      </c>
    </row>
    <row r="841" spans="2:11" x14ac:dyDescent="0.25">
      <c r="B841">
        <v>342462</v>
      </c>
      <c r="C841" t="s">
        <v>77</v>
      </c>
      <c r="D841">
        <v>7</v>
      </c>
      <c r="E841" t="s">
        <v>300</v>
      </c>
      <c r="F841" t="s">
        <v>257</v>
      </c>
      <c r="G841" t="s">
        <v>13</v>
      </c>
      <c r="H841" t="s">
        <v>14</v>
      </c>
      <c r="J841" t="s">
        <v>22</v>
      </c>
      <c r="K841" s="1" t="e">
        <f>VLOOKUP(I841,'[1]PC50 Y2018 Status'!$D:$H,5,FALSE)</f>
        <v>#N/A</v>
      </c>
    </row>
    <row r="842" spans="2:11" x14ac:dyDescent="0.25">
      <c r="B842">
        <v>347640</v>
      </c>
      <c r="C842" t="s">
        <v>79</v>
      </c>
      <c r="D842">
        <v>2</v>
      </c>
      <c r="E842" t="s">
        <v>300</v>
      </c>
      <c r="F842" t="s">
        <v>257</v>
      </c>
      <c r="G842" t="s">
        <v>13</v>
      </c>
      <c r="H842" t="s">
        <v>14</v>
      </c>
      <c r="J842" t="s">
        <v>15</v>
      </c>
      <c r="K842" s="1" t="e">
        <f>VLOOKUP(I842,'[1]PC50 Y2018 Status'!$D:$H,5,FALSE)</f>
        <v>#N/A</v>
      </c>
    </row>
    <row r="843" spans="2:11" x14ac:dyDescent="0.25">
      <c r="B843">
        <v>610000004031</v>
      </c>
      <c r="C843" t="s">
        <v>16</v>
      </c>
      <c r="D843">
        <v>110</v>
      </c>
      <c r="E843" t="s">
        <v>300</v>
      </c>
      <c r="F843" t="s">
        <v>257</v>
      </c>
      <c r="G843" t="s">
        <v>13</v>
      </c>
      <c r="H843" t="s">
        <v>14</v>
      </c>
      <c r="J843" t="s">
        <v>15</v>
      </c>
      <c r="K843" s="1" t="e">
        <f>VLOOKUP(I843,'[1]PC50 Y2018 Status'!$D:$H,5,FALSE)</f>
        <v>#N/A</v>
      </c>
    </row>
    <row r="844" spans="2:11" x14ac:dyDescent="0.25">
      <c r="B844">
        <v>610000004051</v>
      </c>
      <c r="C844" t="s">
        <v>17</v>
      </c>
      <c r="D844">
        <v>111</v>
      </c>
      <c r="E844" t="s">
        <v>300</v>
      </c>
      <c r="F844" t="s">
        <v>257</v>
      </c>
      <c r="G844" t="s">
        <v>13</v>
      </c>
      <c r="H844" t="s">
        <v>14</v>
      </c>
      <c r="J844" t="s">
        <v>15</v>
      </c>
      <c r="K844" s="1" t="e">
        <f>VLOOKUP(I844,'[1]PC50 Y2018 Status'!$D:$H,5,FALSE)</f>
        <v>#N/A</v>
      </c>
    </row>
    <row r="845" spans="2:11" x14ac:dyDescent="0.25">
      <c r="B845">
        <v>342258</v>
      </c>
      <c r="C845" t="s">
        <v>18</v>
      </c>
      <c r="D845">
        <v>94</v>
      </c>
      <c r="E845" t="s">
        <v>301</v>
      </c>
      <c r="F845" t="s">
        <v>257</v>
      </c>
      <c r="G845" t="s">
        <v>13</v>
      </c>
      <c r="H845" t="s">
        <v>14</v>
      </c>
      <c r="J845" t="s">
        <v>15</v>
      </c>
      <c r="K845" s="1" t="e">
        <f>VLOOKUP(I845,'[1]PC50 Y2018 Status'!$D:$H,5,FALSE)</f>
        <v>#N/A</v>
      </c>
    </row>
    <row r="846" spans="2:11" x14ac:dyDescent="0.25">
      <c r="B846">
        <v>610000004068</v>
      </c>
      <c r="C846" t="s">
        <v>24</v>
      </c>
      <c r="D846">
        <v>224</v>
      </c>
      <c r="E846" t="s">
        <v>302</v>
      </c>
      <c r="F846" t="s">
        <v>257</v>
      </c>
      <c r="G846" t="s">
        <v>13</v>
      </c>
      <c r="H846" t="s">
        <v>14</v>
      </c>
      <c r="J846" t="s">
        <v>15</v>
      </c>
      <c r="K846" s="1" t="e">
        <f>VLOOKUP(I846,'[1]PC50 Y2018 Status'!$D:$H,5,FALSE)</f>
        <v>#N/A</v>
      </c>
    </row>
    <row r="847" spans="2:11" x14ac:dyDescent="0.25">
      <c r="B847">
        <v>342257</v>
      </c>
      <c r="C847" t="s">
        <v>25</v>
      </c>
      <c r="D847">
        <v>189</v>
      </c>
      <c r="E847" t="s">
        <v>303</v>
      </c>
      <c r="F847" t="s">
        <v>257</v>
      </c>
      <c r="G847" t="s">
        <v>13</v>
      </c>
      <c r="H847" t="s">
        <v>14</v>
      </c>
      <c r="J847" t="s">
        <v>15</v>
      </c>
      <c r="K847" s="1" t="e">
        <f>VLOOKUP(I847,'[1]PC50 Y2018 Status'!$D:$H,5,FALSE)</f>
        <v>#N/A</v>
      </c>
    </row>
    <row r="848" spans="2:11" x14ac:dyDescent="0.25">
      <c r="B848">
        <v>347637</v>
      </c>
      <c r="C848" t="s">
        <v>27</v>
      </c>
      <c r="D848">
        <v>47</v>
      </c>
      <c r="E848" t="s">
        <v>303</v>
      </c>
      <c r="F848" t="s">
        <v>257</v>
      </c>
      <c r="G848" t="s">
        <v>13</v>
      </c>
      <c r="H848" t="s">
        <v>14</v>
      </c>
      <c r="J848" t="s">
        <v>15</v>
      </c>
      <c r="K848" s="1" t="e">
        <f>VLOOKUP(I848,'[1]PC50 Y2018 Status'!$D:$H,5,FALSE)</f>
        <v>#N/A</v>
      </c>
    </row>
    <row r="849" spans="2:11" x14ac:dyDescent="0.25">
      <c r="B849">
        <v>347638</v>
      </c>
      <c r="C849" t="s">
        <v>16</v>
      </c>
      <c r="D849">
        <v>24</v>
      </c>
      <c r="E849" t="s">
        <v>303</v>
      </c>
      <c r="F849" t="s">
        <v>257</v>
      </c>
      <c r="G849" t="s">
        <v>13</v>
      </c>
      <c r="H849" t="s">
        <v>14</v>
      </c>
      <c r="J849" t="s">
        <v>15</v>
      </c>
      <c r="K849" s="1" t="e">
        <f>VLOOKUP(I849,'[1]PC50 Y2018 Status'!$D:$H,5,FALSE)</f>
        <v>#N/A</v>
      </c>
    </row>
    <row r="850" spans="2:11" x14ac:dyDescent="0.25">
      <c r="B850">
        <v>610000004025</v>
      </c>
      <c r="C850" t="s">
        <v>44</v>
      </c>
      <c r="D850">
        <v>106</v>
      </c>
      <c r="E850" t="s">
        <v>303</v>
      </c>
      <c r="F850" t="s">
        <v>257</v>
      </c>
      <c r="G850" t="s">
        <v>13</v>
      </c>
      <c r="H850" t="s">
        <v>14</v>
      </c>
      <c r="J850" t="s">
        <v>15</v>
      </c>
      <c r="K850" s="1" t="e">
        <f>VLOOKUP(I850,'[1]PC50 Y2018 Status'!$D:$H,5,FALSE)</f>
        <v>#N/A</v>
      </c>
    </row>
    <row r="851" spans="2:11" x14ac:dyDescent="0.25">
      <c r="B851">
        <v>610000004026</v>
      </c>
      <c r="C851" t="s">
        <v>44</v>
      </c>
      <c r="D851">
        <v>52</v>
      </c>
      <c r="E851" t="s">
        <v>304</v>
      </c>
      <c r="F851" t="s">
        <v>257</v>
      </c>
      <c r="G851" t="s">
        <v>13</v>
      </c>
      <c r="H851" t="s">
        <v>14</v>
      </c>
      <c r="J851" t="s">
        <v>15</v>
      </c>
      <c r="K851" s="1" t="e">
        <f>VLOOKUP(I851,'[1]PC50 Y2018 Status'!$D:$H,5,FALSE)</f>
        <v>#N/A</v>
      </c>
    </row>
    <row r="852" spans="2:11" x14ac:dyDescent="0.25">
      <c r="B852">
        <v>610000004028</v>
      </c>
      <c r="C852" t="s">
        <v>44</v>
      </c>
      <c r="D852">
        <v>50</v>
      </c>
      <c r="E852" t="s">
        <v>304</v>
      </c>
      <c r="F852" t="s">
        <v>257</v>
      </c>
      <c r="G852" t="s">
        <v>13</v>
      </c>
      <c r="H852" t="s">
        <v>14</v>
      </c>
      <c r="J852" t="s">
        <v>15</v>
      </c>
      <c r="K852" s="1" t="e">
        <f>VLOOKUP(I852,'[1]PC50 Y2018 Status'!$D:$H,5,FALSE)</f>
        <v>#N/A</v>
      </c>
    </row>
    <row r="853" spans="2:11" x14ac:dyDescent="0.25">
      <c r="B853">
        <v>610000004061</v>
      </c>
      <c r="C853" t="s">
        <v>64</v>
      </c>
      <c r="D853">
        <v>52</v>
      </c>
      <c r="E853" t="s">
        <v>304</v>
      </c>
      <c r="F853" t="s">
        <v>257</v>
      </c>
      <c r="G853" t="s">
        <v>13</v>
      </c>
      <c r="H853" t="s">
        <v>14</v>
      </c>
      <c r="J853" t="s">
        <v>15</v>
      </c>
      <c r="K853" s="1" t="e">
        <f>VLOOKUP(I853,'[1]PC50 Y2018 Status'!$D:$H,5,FALSE)</f>
        <v>#N/A</v>
      </c>
    </row>
    <row r="854" spans="2:11" x14ac:dyDescent="0.25">
      <c r="B854">
        <v>610000004062</v>
      </c>
      <c r="C854" t="s">
        <v>64</v>
      </c>
      <c r="D854">
        <v>52</v>
      </c>
      <c r="E854" t="s">
        <v>304</v>
      </c>
      <c r="F854" t="s">
        <v>257</v>
      </c>
      <c r="G854" t="s">
        <v>13</v>
      </c>
      <c r="H854" t="s">
        <v>14</v>
      </c>
      <c r="J854" t="s">
        <v>15</v>
      </c>
      <c r="K854" s="1" t="e">
        <f>VLOOKUP(I854,'[1]PC50 Y2018 Status'!$D:$H,5,FALSE)</f>
        <v>#N/A</v>
      </c>
    </row>
    <row r="855" spans="2:11" x14ac:dyDescent="0.25">
      <c r="B855">
        <v>610000004063</v>
      </c>
      <c r="C855" t="s">
        <v>64</v>
      </c>
      <c r="D855">
        <v>50</v>
      </c>
      <c r="E855" t="s">
        <v>304</v>
      </c>
      <c r="F855" t="s">
        <v>257</v>
      </c>
      <c r="G855" t="s">
        <v>13</v>
      </c>
      <c r="H855" t="s">
        <v>14</v>
      </c>
      <c r="J855" t="s">
        <v>15</v>
      </c>
      <c r="K855" s="1" t="e">
        <f>VLOOKUP(I855,'[1]PC50 Y2018 Status'!$D:$H,5,FALSE)</f>
        <v>#N/A</v>
      </c>
    </row>
    <row r="856" spans="2:11" x14ac:dyDescent="0.25">
      <c r="B856">
        <v>610000004064</v>
      </c>
      <c r="C856" t="s">
        <v>64</v>
      </c>
      <c r="D856">
        <v>50</v>
      </c>
      <c r="E856" t="s">
        <v>304</v>
      </c>
      <c r="F856" t="s">
        <v>257</v>
      </c>
      <c r="G856" t="s">
        <v>13</v>
      </c>
      <c r="H856" t="s">
        <v>14</v>
      </c>
      <c r="J856" t="s">
        <v>15</v>
      </c>
      <c r="K856" s="1" t="e">
        <f>VLOOKUP(I856,'[1]PC50 Y2018 Status'!$D:$H,5,FALSE)</f>
        <v>#N/A</v>
      </c>
    </row>
    <row r="857" spans="2:11" x14ac:dyDescent="0.25">
      <c r="B857">
        <v>610000004071</v>
      </c>
      <c r="C857" t="s">
        <v>70</v>
      </c>
      <c r="D857">
        <v>62</v>
      </c>
      <c r="E857" t="s">
        <v>304</v>
      </c>
      <c r="F857" t="s">
        <v>257</v>
      </c>
      <c r="G857" t="s">
        <v>13</v>
      </c>
      <c r="H857" t="s">
        <v>14</v>
      </c>
      <c r="J857" t="s">
        <v>15</v>
      </c>
      <c r="K857" s="1" t="e">
        <f>VLOOKUP(I857,'[1]PC50 Y2018 Status'!$D:$H,5,FALSE)</f>
        <v>#N/A</v>
      </c>
    </row>
    <row r="858" spans="2:11" x14ac:dyDescent="0.25">
      <c r="B858">
        <v>610000004072</v>
      </c>
      <c r="C858" t="s">
        <v>70</v>
      </c>
      <c r="D858">
        <v>50</v>
      </c>
      <c r="E858" t="s">
        <v>304</v>
      </c>
      <c r="F858" t="s">
        <v>257</v>
      </c>
      <c r="G858" t="s">
        <v>13</v>
      </c>
      <c r="H858" t="s">
        <v>14</v>
      </c>
      <c r="J858" t="s">
        <v>15</v>
      </c>
      <c r="K858" s="1" t="e">
        <f>VLOOKUP(I858,'[1]PC50 Y2018 Status'!$D:$H,5,FALSE)</f>
        <v>#N/A</v>
      </c>
    </row>
    <row r="859" spans="2:11" x14ac:dyDescent="0.25">
      <c r="B859">
        <v>610000004073</v>
      </c>
      <c r="C859" t="s">
        <v>70</v>
      </c>
      <c r="D859">
        <v>49</v>
      </c>
      <c r="E859" t="s">
        <v>304</v>
      </c>
      <c r="F859" t="s">
        <v>257</v>
      </c>
      <c r="G859" t="s">
        <v>13</v>
      </c>
      <c r="H859" t="s">
        <v>14</v>
      </c>
      <c r="J859" t="s">
        <v>15</v>
      </c>
      <c r="K859" s="1" t="e">
        <f>VLOOKUP(I859,'[1]PC50 Y2018 Status'!$D:$H,5,FALSE)</f>
        <v>#N/A</v>
      </c>
    </row>
    <row r="860" spans="2:11" x14ac:dyDescent="0.25">
      <c r="B860">
        <v>610000004078</v>
      </c>
      <c r="C860" t="s">
        <v>71</v>
      </c>
      <c r="D860">
        <v>50</v>
      </c>
      <c r="E860" t="s">
        <v>304</v>
      </c>
      <c r="F860" t="s">
        <v>257</v>
      </c>
      <c r="G860" t="s">
        <v>13</v>
      </c>
      <c r="H860" t="s">
        <v>14</v>
      </c>
      <c r="J860" t="s">
        <v>15</v>
      </c>
      <c r="K860" s="1" t="e">
        <f>VLOOKUP(I860,'[1]PC50 Y2018 Status'!$D:$H,5,FALSE)</f>
        <v>#N/A</v>
      </c>
    </row>
    <row r="861" spans="2:11" x14ac:dyDescent="0.25">
      <c r="B861">
        <v>610000004119</v>
      </c>
      <c r="C861" t="s">
        <v>127</v>
      </c>
      <c r="D861">
        <v>9</v>
      </c>
      <c r="E861" t="s">
        <v>304</v>
      </c>
      <c r="F861" t="s">
        <v>257</v>
      </c>
      <c r="G861" t="s">
        <v>13</v>
      </c>
      <c r="H861" t="s">
        <v>14</v>
      </c>
      <c r="J861" t="s">
        <v>22</v>
      </c>
      <c r="K861" s="1" t="e">
        <f>VLOOKUP(I861,'[1]PC50 Y2018 Status'!$D:$H,5,FALSE)</f>
        <v>#N/A</v>
      </c>
    </row>
    <row r="862" spans="2:11" x14ac:dyDescent="0.25">
      <c r="B862">
        <v>342694</v>
      </c>
      <c r="C862" t="s">
        <v>32</v>
      </c>
      <c r="D862">
        <v>36</v>
      </c>
      <c r="E862" t="s">
        <v>305</v>
      </c>
      <c r="F862" t="s">
        <v>257</v>
      </c>
      <c r="G862" t="s">
        <v>13</v>
      </c>
      <c r="H862" t="s">
        <v>14</v>
      </c>
      <c r="J862" t="s">
        <v>15</v>
      </c>
      <c r="K862" s="1" t="e">
        <f>VLOOKUP(I862,'[1]PC50 Y2018 Status'!$D:$H,5,FALSE)</f>
        <v>#N/A</v>
      </c>
    </row>
    <row r="863" spans="2:11" x14ac:dyDescent="0.25">
      <c r="B863">
        <v>350834</v>
      </c>
      <c r="C863" t="s">
        <v>64</v>
      </c>
      <c r="D863">
        <v>4</v>
      </c>
      <c r="E863" t="s">
        <v>305</v>
      </c>
      <c r="F863" t="s">
        <v>257</v>
      </c>
      <c r="G863" t="s">
        <v>13</v>
      </c>
      <c r="H863" t="s">
        <v>14</v>
      </c>
      <c r="J863" t="s">
        <v>15</v>
      </c>
      <c r="K863" s="1" t="e">
        <f>VLOOKUP(I863,'[1]PC50 Y2018 Status'!$D:$H,5,FALSE)</f>
        <v>#N/A</v>
      </c>
    </row>
    <row r="864" spans="2:11" x14ac:dyDescent="0.25">
      <c r="B864">
        <v>610000004021</v>
      </c>
      <c r="C864" t="s">
        <v>10</v>
      </c>
      <c r="D864">
        <v>106</v>
      </c>
      <c r="E864" t="s">
        <v>305</v>
      </c>
      <c r="F864" t="s">
        <v>257</v>
      </c>
      <c r="G864" t="s">
        <v>13</v>
      </c>
      <c r="H864" t="s">
        <v>14</v>
      </c>
      <c r="J864" t="s">
        <v>15</v>
      </c>
      <c r="K864" s="1" t="e">
        <f>VLOOKUP(I864,'[1]PC50 Y2018 Status'!$D:$H,5,FALSE)</f>
        <v>#N/A</v>
      </c>
    </row>
    <row r="865" spans="2:11" x14ac:dyDescent="0.25">
      <c r="B865">
        <v>610000004022</v>
      </c>
      <c r="C865" t="s">
        <v>10</v>
      </c>
      <c r="D865">
        <v>50</v>
      </c>
      <c r="E865" t="s">
        <v>305</v>
      </c>
      <c r="F865" t="s">
        <v>257</v>
      </c>
      <c r="G865" t="s">
        <v>13</v>
      </c>
      <c r="H865" t="s">
        <v>14</v>
      </c>
      <c r="J865" t="s">
        <v>15</v>
      </c>
      <c r="K865" s="1" t="e">
        <f>VLOOKUP(I865,'[1]PC50 Y2018 Status'!$D:$H,5,FALSE)</f>
        <v>#N/A</v>
      </c>
    </row>
    <row r="866" spans="2:11" x14ac:dyDescent="0.25">
      <c r="B866">
        <v>610000004027</v>
      </c>
      <c r="C866" t="s">
        <v>44</v>
      </c>
      <c r="D866">
        <v>52</v>
      </c>
      <c r="E866" t="s">
        <v>305</v>
      </c>
      <c r="F866" t="s">
        <v>257</v>
      </c>
      <c r="G866" t="s">
        <v>13</v>
      </c>
      <c r="H866" t="s">
        <v>14</v>
      </c>
      <c r="J866" t="s">
        <v>15</v>
      </c>
      <c r="K866" s="1" t="e">
        <f>VLOOKUP(I866,'[1]PC50 Y2018 Status'!$D:$H,5,FALSE)</f>
        <v>#N/A</v>
      </c>
    </row>
    <row r="867" spans="2:11" x14ac:dyDescent="0.25">
      <c r="B867">
        <v>610000004033</v>
      </c>
      <c r="C867" t="s">
        <v>32</v>
      </c>
      <c r="D867">
        <v>49</v>
      </c>
      <c r="E867" t="s">
        <v>305</v>
      </c>
      <c r="F867" t="s">
        <v>257</v>
      </c>
      <c r="G867" t="s">
        <v>13</v>
      </c>
      <c r="H867" t="s">
        <v>14</v>
      </c>
      <c r="J867" t="s">
        <v>15</v>
      </c>
      <c r="K867" s="1" t="e">
        <f>VLOOKUP(I867,'[1]PC50 Y2018 Status'!$D:$H,5,FALSE)</f>
        <v>#N/A</v>
      </c>
    </row>
    <row r="868" spans="2:11" x14ac:dyDescent="0.25">
      <c r="B868">
        <v>610000004053</v>
      </c>
      <c r="C868" t="s">
        <v>46</v>
      </c>
      <c r="D868">
        <v>51</v>
      </c>
      <c r="E868" t="s">
        <v>305</v>
      </c>
      <c r="F868" t="s">
        <v>257</v>
      </c>
      <c r="G868" t="s">
        <v>13</v>
      </c>
      <c r="H868" t="s">
        <v>14</v>
      </c>
      <c r="J868" t="s">
        <v>15</v>
      </c>
      <c r="K868" s="1" t="e">
        <f>VLOOKUP(I868,'[1]PC50 Y2018 Status'!$D:$H,5,FALSE)</f>
        <v>#N/A</v>
      </c>
    </row>
    <row r="869" spans="2:11" x14ac:dyDescent="0.25">
      <c r="B869">
        <v>610000004054</v>
      </c>
      <c r="C869" t="s">
        <v>46</v>
      </c>
      <c r="D869">
        <v>51</v>
      </c>
      <c r="E869" t="s">
        <v>305</v>
      </c>
      <c r="F869" t="s">
        <v>257</v>
      </c>
      <c r="G869" t="s">
        <v>13</v>
      </c>
      <c r="H869" t="s">
        <v>14</v>
      </c>
      <c r="J869" t="s">
        <v>15</v>
      </c>
      <c r="K869" s="1" t="e">
        <f>VLOOKUP(I869,'[1]PC50 Y2018 Status'!$D:$H,5,FALSE)</f>
        <v>#N/A</v>
      </c>
    </row>
    <row r="870" spans="2:11" x14ac:dyDescent="0.25">
      <c r="B870">
        <v>610000004079</v>
      </c>
      <c r="C870" t="s">
        <v>71</v>
      </c>
      <c r="D870">
        <v>50</v>
      </c>
      <c r="E870" t="s">
        <v>305</v>
      </c>
      <c r="F870" t="s">
        <v>257</v>
      </c>
      <c r="G870" t="s">
        <v>13</v>
      </c>
      <c r="H870" t="s">
        <v>14</v>
      </c>
      <c r="J870" t="s">
        <v>15</v>
      </c>
      <c r="K870" s="1" t="e">
        <f>VLOOKUP(I870,'[1]PC50 Y2018 Status'!$D:$H,5,FALSE)</f>
        <v>#N/A</v>
      </c>
    </row>
    <row r="871" spans="2:11" x14ac:dyDescent="0.25">
      <c r="B871">
        <v>610000004080</v>
      </c>
      <c r="C871" t="s">
        <v>71</v>
      </c>
      <c r="D871">
        <v>51</v>
      </c>
      <c r="E871" t="s">
        <v>305</v>
      </c>
      <c r="F871" t="s">
        <v>257</v>
      </c>
      <c r="G871" t="s">
        <v>13</v>
      </c>
      <c r="H871" t="s">
        <v>14</v>
      </c>
      <c r="J871" t="s">
        <v>15</v>
      </c>
      <c r="K871" s="1" t="e">
        <f>VLOOKUP(I871,'[1]PC50 Y2018 Status'!$D:$H,5,FALSE)</f>
        <v>#N/A</v>
      </c>
    </row>
    <row r="872" spans="2:11" x14ac:dyDescent="0.25">
      <c r="B872">
        <v>610000004087</v>
      </c>
      <c r="C872" t="s">
        <v>72</v>
      </c>
      <c r="D872">
        <v>49</v>
      </c>
      <c r="E872" t="s">
        <v>305</v>
      </c>
      <c r="F872" t="s">
        <v>257</v>
      </c>
      <c r="G872" t="s">
        <v>13</v>
      </c>
      <c r="H872" t="s">
        <v>14</v>
      </c>
      <c r="J872" t="s">
        <v>15</v>
      </c>
      <c r="K872" s="1" t="e">
        <f>VLOOKUP(I872,'[1]PC50 Y2018 Status'!$D:$H,5,FALSE)</f>
        <v>#N/A</v>
      </c>
    </row>
    <row r="873" spans="2:11" x14ac:dyDescent="0.25">
      <c r="B873">
        <v>610000004088</v>
      </c>
      <c r="C873" t="s">
        <v>72</v>
      </c>
      <c r="D873">
        <v>49</v>
      </c>
      <c r="E873" t="s">
        <v>305</v>
      </c>
      <c r="F873" t="s">
        <v>257</v>
      </c>
      <c r="G873" t="s">
        <v>13</v>
      </c>
      <c r="H873" t="s">
        <v>14</v>
      </c>
      <c r="J873" t="s">
        <v>15</v>
      </c>
      <c r="K873" s="1" t="e">
        <f>VLOOKUP(I873,'[1]PC50 Y2018 Status'!$D:$H,5,FALSE)</f>
        <v>#N/A</v>
      </c>
    </row>
    <row r="874" spans="2:11" x14ac:dyDescent="0.25">
      <c r="B874">
        <v>610000004092</v>
      </c>
      <c r="C874" t="s">
        <v>73</v>
      </c>
      <c r="D874">
        <v>49</v>
      </c>
      <c r="E874" t="s">
        <v>305</v>
      </c>
      <c r="F874" t="s">
        <v>257</v>
      </c>
      <c r="G874" t="s">
        <v>13</v>
      </c>
      <c r="H874" t="s">
        <v>14</v>
      </c>
      <c r="J874" t="s">
        <v>15</v>
      </c>
      <c r="K874" s="1" t="e">
        <f>VLOOKUP(I874,'[1]PC50 Y2018 Status'!$D:$H,5,FALSE)</f>
        <v>#N/A</v>
      </c>
    </row>
    <row r="875" spans="2:11" x14ac:dyDescent="0.25">
      <c r="B875">
        <v>610000004175</v>
      </c>
      <c r="C875" t="s">
        <v>34</v>
      </c>
      <c r="D875">
        <v>111</v>
      </c>
      <c r="E875" t="s">
        <v>305</v>
      </c>
      <c r="F875" t="s">
        <v>257</v>
      </c>
      <c r="G875" t="s">
        <v>13</v>
      </c>
      <c r="H875" t="s">
        <v>14</v>
      </c>
      <c r="J875" t="s">
        <v>22</v>
      </c>
      <c r="K875" s="1" t="e">
        <f>VLOOKUP(I875,'[1]PC50 Y2018 Status'!$D:$H,5,FALSE)</f>
        <v>#N/A</v>
      </c>
    </row>
    <row r="876" spans="2:11" x14ac:dyDescent="0.25">
      <c r="B876">
        <v>610000004069</v>
      </c>
      <c r="C876" t="s">
        <v>35</v>
      </c>
      <c r="D876">
        <v>112</v>
      </c>
      <c r="E876" t="s">
        <v>306</v>
      </c>
      <c r="F876" t="s">
        <v>257</v>
      </c>
      <c r="G876" t="s">
        <v>13</v>
      </c>
      <c r="H876" t="s">
        <v>14</v>
      </c>
      <c r="J876" t="s">
        <v>15</v>
      </c>
      <c r="K876" s="1" t="e">
        <f>VLOOKUP(I876,'[1]PC50 Y2018 Status'!$D:$H,5,FALSE)</f>
        <v>#N/A</v>
      </c>
    </row>
    <row r="877" spans="2:11" x14ac:dyDescent="0.25">
      <c r="B877">
        <v>610000004070</v>
      </c>
      <c r="C877" t="s">
        <v>35</v>
      </c>
      <c r="D877">
        <v>112</v>
      </c>
      <c r="E877" t="s">
        <v>306</v>
      </c>
      <c r="F877" t="s">
        <v>257</v>
      </c>
      <c r="G877" t="s">
        <v>13</v>
      </c>
      <c r="H877" t="s">
        <v>14</v>
      </c>
      <c r="J877" t="s">
        <v>15</v>
      </c>
      <c r="K877" s="1" t="e">
        <f>VLOOKUP(I877,'[1]PC50 Y2018 Status'!$D:$H,5,FALSE)</f>
        <v>#N/A</v>
      </c>
    </row>
    <row r="878" spans="2:11" x14ac:dyDescent="0.25">
      <c r="B878">
        <v>610000004126</v>
      </c>
      <c r="C878" t="s">
        <v>131</v>
      </c>
      <c r="D878">
        <v>18</v>
      </c>
      <c r="E878" t="s">
        <v>306</v>
      </c>
      <c r="F878" t="s">
        <v>257</v>
      </c>
      <c r="G878" t="s">
        <v>13</v>
      </c>
      <c r="H878" t="s">
        <v>14</v>
      </c>
      <c r="J878" t="s">
        <v>22</v>
      </c>
      <c r="K878" s="1" t="e">
        <f>VLOOKUP(I878,'[1]PC50 Y2018 Status'!$D:$H,5,FALSE)</f>
        <v>#N/A</v>
      </c>
    </row>
    <row r="879" spans="2:11" x14ac:dyDescent="0.25">
      <c r="B879">
        <v>610000004127</v>
      </c>
      <c r="C879" t="s">
        <v>131</v>
      </c>
      <c r="D879">
        <v>18</v>
      </c>
      <c r="E879" t="s">
        <v>306</v>
      </c>
      <c r="F879" t="s">
        <v>257</v>
      </c>
      <c r="G879" t="s">
        <v>13</v>
      </c>
      <c r="H879" t="s">
        <v>14</v>
      </c>
      <c r="J879" t="s">
        <v>22</v>
      </c>
      <c r="K879" s="1" t="e">
        <f>VLOOKUP(I879,'[1]PC50 Y2018 Status'!$D:$H,5,FALSE)</f>
        <v>#N/A</v>
      </c>
    </row>
    <row r="880" spans="2:11" x14ac:dyDescent="0.25">
      <c r="B880">
        <v>610000004165</v>
      </c>
      <c r="C880" t="s">
        <v>31</v>
      </c>
      <c r="D880">
        <v>28</v>
      </c>
      <c r="E880" t="s">
        <v>306</v>
      </c>
      <c r="F880" t="s">
        <v>257</v>
      </c>
      <c r="G880" t="s">
        <v>13</v>
      </c>
      <c r="H880" t="s">
        <v>14</v>
      </c>
      <c r="J880" t="s">
        <v>22</v>
      </c>
      <c r="K880" s="1" t="e">
        <f>VLOOKUP(I880,'[1]PC50 Y2018 Status'!$D:$H,5,FALSE)</f>
        <v>#N/A</v>
      </c>
    </row>
    <row r="881" spans="2:11" x14ac:dyDescent="0.25">
      <c r="B881">
        <v>610000004166</v>
      </c>
      <c r="C881" t="s">
        <v>31</v>
      </c>
      <c r="D881">
        <v>28</v>
      </c>
      <c r="E881" t="s">
        <v>306</v>
      </c>
      <c r="F881" t="s">
        <v>257</v>
      </c>
      <c r="G881" t="s">
        <v>13</v>
      </c>
      <c r="H881" t="s">
        <v>14</v>
      </c>
      <c r="J881" t="s">
        <v>22</v>
      </c>
      <c r="K881" s="1" t="e">
        <f>VLOOKUP(I881,'[1]PC50 Y2018 Status'!$D:$H,5,FALSE)</f>
        <v>#N/A</v>
      </c>
    </row>
    <row r="882" spans="2:11" x14ac:dyDescent="0.25">
      <c r="B882">
        <v>610000004068</v>
      </c>
      <c r="C882" t="s">
        <v>24</v>
      </c>
      <c r="D882">
        <v>225</v>
      </c>
      <c r="E882" t="s">
        <v>307</v>
      </c>
      <c r="F882" t="s">
        <v>257</v>
      </c>
      <c r="G882" t="s">
        <v>13</v>
      </c>
      <c r="H882" t="s">
        <v>14</v>
      </c>
      <c r="J882" t="s">
        <v>15</v>
      </c>
      <c r="K882" s="1" t="e">
        <f>VLOOKUP(I882,'[1]PC50 Y2018 Status'!$D:$H,5,FALSE)</f>
        <v>#N/A</v>
      </c>
    </row>
    <row r="883" spans="2:11" x14ac:dyDescent="0.25">
      <c r="B883">
        <v>610000004077</v>
      </c>
      <c r="C883" t="s">
        <v>39</v>
      </c>
      <c r="D883">
        <v>112</v>
      </c>
      <c r="E883" t="s">
        <v>307</v>
      </c>
      <c r="F883" t="s">
        <v>257</v>
      </c>
      <c r="G883" t="s">
        <v>13</v>
      </c>
      <c r="H883" t="s">
        <v>14</v>
      </c>
      <c r="J883" t="s">
        <v>15</v>
      </c>
      <c r="K883" s="1" t="e">
        <f>VLOOKUP(I883,'[1]PC50 Y2018 Status'!$D:$H,5,FALSE)</f>
        <v>#N/A</v>
      </c>
    </row>
    <row r="884" spans="2:11" x14ac:dyDescent="0.25">
      <c r="B884">
        <v>610000004085</v>
      </c>
      <c r="C884" t="s">
        <v>18</v>
      </c>
      <c r="D884">
        <v>112</v>
      </c>
      <c r="E884" t="s">
        <v>307</v>
      </c>
      <c r="F884" t="s">
        <v>257</v>
      </c>
      <c r="G884" t="s">
        <v>13</v>
      </c>
      <c r="H884" t="s">
        <v>14</v>
      </c>
      <c r="J884" t="s">
        <v>15</v>
      </c>
      <c r="K884" s="1" t="e">
        <f>VLOOKUP(I884,'[1]PC50 Y2018 Status'!$D:$H,5,FALSE)</f>
        <v>#N/A</v>
      </c>
    </row>
    <row r="885" spans="2:11" x14ac:dyDescent="0.25">
      <c r="B885">
        <v>610000004086</v>
      </c>
      <c r="C885" t="s">
        <v>18</v>
      </c>
      <c r="D885">
        <v>112</v>
      </c>
      <c r="E885" t="s">
        <v>307</v>
      </c>
      <c r="F885" t="s">
        <v>257</v>
      </c>
      <c r="G885" t="s">
        <v>13</v>
      </c>
      <c r="H885" t="s">
        <v>14</v>
      </c>
      <c r="J885" t="s">
        <v>15</v>
      </c>
      <c r="K885" s="1" t="e">
        <f>VLOOKUP(I885,'[1]PC50 Y2018 Status'!$D:$H,5,FALSE)</f>
        <v>#N/A</v>
      </c>
    </row>
    <row r="886" spans="2:11" x14ac:dyDescent="0.25">
      <c r="B886">
        <v>610000004091</v>
      </c>
      <c r="C886" t="s">
        <v>47</v>
      </c>
      <c r="D886">
        <v>111</v>
      </c>
      <c r="E886" t="s">
        <v>308</v>
      </c>
      <c r="F886" t="s">
        <v>257</v>
      </c>
      <c r="G886" t="s">
        <v>13</v>
      </c>
      <c r="H886" t="s">
        <v>14</v>
      </c>
      <c r="J886" t="s">
        <v>15</v>
      </c>
      <c r="K886" s="1" t="e">
        <f>VLOOKUP(I886,'[1]PC50 Y2018 Status'!$D:$H,5,FALSE)</f>
        <v>#N/A</v>
      </c>
    </row>
    <row r="887" spans="2:11" x14ac:dyDescent="0.25">
      <c r="B887">
        <v>610000004161</v>
      </c>
      <c r="C887" t="s">
        <v>48</v>
      </c>
      <c r="D887">
        <v>113</v>
      </c>
      <c r="E887" t="s">
        <v>308</v>
      </c>
      <c r="F887" t="s">
        <v>257</v>
      </c>
      <c r="G887" t="s">
        <v>13</v>
      </c>
      <c r="H887" t="s">
        <v>14</v>
      </c>
      <c r="J887" t="s">
        <v>22</v>
      </c>
      <c r="K887" s="1" t="e">
        <f>VLOOKUP(I887,'[1]PC50 Y2018 Status'!$D:$H,5,FALSE)</f>
        <v>#N/A</v>
      </c>
    </row>
    <row r="888" spans="2:11" x14ac:dyDescent="0.25">
      <c r="B888">
        <v>342257</v>
      </c>
      <c r="C888" t="s">
        <v>25</v>
      </c>
      <c r="D888">
        <v>190</v>
      </c>
      <c r="E888" t="s">
        <v>309</v>
      </c>
      <c r="F888" t="s">
        <v>257</v>
      </c>
      <c r="G888" t="s">
        <v>13</v>
      </c>
      <c r="H888" t="s">
        <v>14</v>
      </c>
      <c r="J888" t="s">
        <v>15</v>
      </c>
      <c r="K888" s="1" t="e">
        <f>VLOOKUP(I888,'[1]PC50 Y2018 Status'!$D:$H,5,FALSE)</f>
        <v>#N/A</v>
      </c>
    </row>
    <row r="889" spans="2:11" x14ac:dyDescent="0.25">
      <c r="B889">
        <v>347637</v>
      </c>
      <c r="C889" t="s">
        <v>27</v>
      </c>
      <c r="D889">
        <v>48</v>
      </c>
      <c r="E889" t="s">
        <v>309</v>
      </c>
      <c r="F889" t="s">
        <v>257</v>
      </c>
      <c r="G889" t="s">
        <v>13</v>
      </c>
      <c r="H889" t="s">
        <v>14</v>
      </c>
      <c r="J889" t="s">
        <v>15</v>
      </c>
      <c r="K889" s="1" t="e">
        <f>VLOOKUP(I889,'[1]PC50 Y2018 Status'!$D:$H,5,FALSE)</f>
        <v>#N/A</v>
      </c>
    </row>
    <row r="890" spans="2:11" x14ac:dyDescent="0.25">
      <c r="B890">
        <v>610000004095</v>
      </c>
      <c r="C890" t="s">
        <v>40</v>
      </c>
      <c r="D890">
        <v>54</v>
      </c>
      <c r="E890" t="s">
        <v>309</v>
      </c>
      <c r="F890" t="s">
        <v>257</v>
      </c>
      <c r="G890" t="s">
        <v>13</v>
      </c>
      <c r="H890" t="s">
        <v>14</v>
      </c>
      <c r="J890" t="s">
        <v>22</v>
      </c>
      <c r="K890" s="1" t="e">
        <f>VLOOKUP(I890,'[1]PC50 Y2018 Status'!$D:$H,5,FALSE)</f>
        <v>#N/A</v>
      </c>
    </row>
    <row r="891" spans="2:11" x14ac:dyDescent="0.25">
      <c r="B891">
        <v>610000004163</v>
      </c>
      <c r="C891" t="s">
        <v>43</v>
      </c>
      <c r="D891">
        <v>54</v>
      </c>
      <c r="E891" t="s">
        <v>309</v>
      </c>
      <c r="F891" t="s">
        <v>257</v>
      </c>
      <c r="G891" t="s">
        <v>13</v>
      </c>
      <c r="H891" t="s">
        <v>14</v>
      </c>
      <c r="J891" t="s">
        <v>22</v>
      </c>
      <c r="K891" s="1" t="e">
        <f>VLOOKUP(I891,'[1]PC50 Y2018 Status'!$D:$H,5,FALSE)</f>
        <v>#N/A</v>
      </c>
    </row>
    <row r="892" spans="2:11" x14ac:dyDescent="0.25">
      <c r="B892">
        <v>610000004167</v>
      </c>
      <c r="C892" t="s">
        <v>115</v>
      </c>
      <c r="D892">
        <v>18</v>
      </c>
      <c r="E892" t="s">
        <v>309</v>
      </c>
      <c r="F892" t="s">
        <v>257</v>
      </c>
      <c r="G892" t="s">
        <v>13</v>
      </c>
      <c r="H892" t="s">
        <v>14</v>
      </c>
      <c r="J892" t="s">
        <v>22</v>
      </c>
      <c r="K892" s="1" t="e">
        <f>VLOOKUP(I892,'[1]PC50 Y2018 Status'!$D:$H,5,FALSE)</f>
        <v>#N/A</v>
      </c>
    </row>
    <row r="893" spans="2:11" x14ac:dyDescent="0.25">
      <c r="B893">
        <v>610000004050</v>
      </c>
      <c r="C893" t="s">
        <v>17</v>
      </c>
      <c r="D893">
        <v>112</v>
      </c>
      <c r="E893" t="s">
        <v>310</v>
      </c>
      <c r="F893" t="s">
        <v>257</v>
      </c>
      <c r="G893" t="s">
        <v>13</v>
      </c>
      <c r="H893" t="s">
        <v>14</v>
      </c>
      <c r="J893" t="s">
        <v>15</v>
      </c>
      <c r="K893" s="1" t="e">
        <f>VLOOKUP(I893,'[1]PC50 Y2018 Status'!$D:$H,5,FALSE)</f>
        <v>#N/A</v>
      </c>
    </row>
    <row r="894" spans="2:11" x14ac:dyDescent="0.25">
      <c r="B894">
        <v>345906</v>
      </c>
      <c r="C894" t="s">
        <v>311</v>
      </c>
      <c r="D894">
        <v>1</v>
      </c>
      <c r="E894" t="s">
        <v>312</v>
      </c>
      <c r="F894" t="s">
        <v>313</v>
      </c>
      <c r="G894" t="s">
        <v>13</v>
      </c>
      <c r="H894" t="s">
        <v>14</v>
      </c>
      <c r="J894" t="s">
        <v>15</v>
      </c>
      <c r="K894" s="1" t="e">
        <f>VLOOKUP(I894,'[1]PC50 Y2018 Status'!$D:$H,5,FALSE)</f>
        <v>#N/A</v>
      </c>
    </row>
    <row r="895" spans="2:11" x14ac:dyDescent="0.25">
      <c r="B895">
        <v>610000004031</v>
      </c>
      <c r="C895" t="s">
        <v>16</v>
      </c>
      <c r="D895">
        <v>111</v>
      </c>
      <c r="E895" t="s">
        <v>312</v>
      </c>
      <c r="F895" t="s">
        <v>257</v>
      </c>
      <c r="G895" t="s">
        <v>13</v>
      </c>
      <c r="H895" t="s">
        <v>14</v>
      </c>
      <c r="J895" t="s">
        <v>15</v>
      </c>
      <c r="K895" s="1" t="e">
        <f>VLOOKUP(I895,'[1]PC50 Y2018 Status'!$D:$H,5,FALSE)</f>
        <v>#N/A</v>
      </c>
    </row>
    <row r="896" spans="2:11" x14ac:dyDescent="0.25">
      <c r="B896">
        <v>610000004051</v>
      </c>
      <c r="C896" t="s">
        <v>17</v>
      </c>
      <c r="D896">
        <v>112</v>
      </c>
      <c r="E896" t="s">
        <v>312</v>
      </c>
      <c r="F896" t="s">
        <v>257</v>
      </c>
      <c r="G896" t="s">
        <v>13</v>
      </c>
      <c r="H896" t="s">
        <v>14</v>
      </c>
      <c r="J896" t="s">
        <v>15</v>
      </c>
      <c r="K896" s="1" t="e">
        <f>VLOOKUP(I896,'[1]PC50 Y2018 Status'!$D:$H,5,FALSE)</f>
        <v>#N/A</v>
      </c>
    </row>
    <row r="897" spans="2:11" x14ac:dyDescent="0.25">
      <c r="B897">
        <v>610000004076</v>
      </c>
      <c r="C897" t="s">
        <v>311</v>
      </c>
      <c r="D897">
        <v>5</v>
      </c>
      <c r="E897" t="s">
        <v>312</v>
      </c>
      <c r="F897" t="s">
        <v>257</v>
      </c>
      <c r="G897" t="s">
        <v>13</v>
      </c>
      <c r="H897" t="s">
        <v>14</v>
      </c>
      <c r="J897" t="s">
        <v>15</v>
      </c>
      <c r="K897" s="1" t="e">
        <f>VLOOKUP(I897,'[1]PC50 Y2018 Status'!$D:$H,5,FALSE)</f>
        <v>#N/A</v>
      </c>
    </row>
    <row r="898" spans="2:11" x14ac:dyDescent="0.25">
      <c r="B898">
        <v>342258</v>
      </c>
      <c r="C898" t="s">
        <v>18</v>
      </c>
      <c r="D898">
        <v>95</v>
      </c>
      <c r="E898" t="s">
        <v>314</v>
      </c>
      <c r="F898" t="s">
        <v>257</v>
      </c>
      <c r="G898" t="s">
        <v>13</v>
      </c>
      <c r="H898" t="s">
        <v>14</v>
      </c>
      <c r="J898" t="s">
        <v>15</v>
      </c>
      <c r="K898" s="1" t="e">
        <f>VLOOKUP(I898,'[1]PC50 Y2018 Status'!$D:$H,5,FALSE)</f>
        <v>#N/A</v>
      </c>
    </row>
    <row r="899" spans="2:11" x14ac:dyDescent="0.25">
      <c r="B899">
        <v>610000004101</v>
      </c>
      <c r="C899" t="s">
        <v>51</v>
      </c>
      <c r="D899">
        <v>60</v>
      </c>
      <c r="E899" t="s">
        <v>314</v>
      </c>
      <c r="F899" t="s">
        <v>257</v>
      </c>
      <c r="G899" t="s">
        <v>13</v>
      </c>
      <c r="H899" t="s">
        <v>14</v>
      </c>
      <c r="J899" t="s">
        <v>22</v>
      </c>
      <c r="K899" s="1" t="e">
        <f>VLOOKUP(I899,'[1]PC50 Y2018 Status'!$D:$H,5,FALSE)</f>
        <v>#N/A</v>
      </c>
    </row>
    <row r="900" spans="2:11" x14ac:dyDescent="0.25">
      <c r="B900">
        <v>610000004121</v>
      </c>
      <c r="C900" t="s">
        <v>54</v>
      </c>
      <c r="D900">
        <v>60</v>
      </c>
      <c r="E900" t="s">
        <v>314</v>
      </c>
      <c r="F900" t="s">
        <v>257</v>
      </c>
      <c r="G900" t="s">
        <v>13</v>
      </c>
      <c r="H900" t="s">
        <v>14</v>
      </c>
      <c r="J900" t="s">
        <v>22</v>
      </c>
      <c r="K900" s="1" t="e">
        <f>VLOOKUP(I900,'[1]PC50 Y2018 Status'!$D:$H,5,FALSE)</f>
        <v>#N/A</v>
      </c>
    </row>
    <row r="901" spans="2:11" x14ac:dyDescent="0.25">
      <c r="B901">
        <v>610000004143</v>
      </c>
      <c r="C901" t="s">
        <v>55</v>
      </c>
      <c r="D901">
        <v>28</v>
      </c>
      <c r="E901" t="s">
        <v>314</v>
      </c>
      <c r="F901" t="s">
        <v>257</v>
      </c>
      <c r="G901" t="s">
        <v>13</v>
      </c>
      <c r="H901" t="s">
        <v>14</v>
      </c>
      <c r="J901" t="s">
        <v>22</v>
      </c>
      <c r="K901" s="1" t="e">
        <f>VLOOKUP(I901,'[1]PC50 Y2018 Status'!$D:$H,5,FALSE)</f>
        <v>#N/A</v>
      </c>
    </row>
    <row r="902" spans="2:11" x14ac:dyDescent="0.25">
      <c r="B902">
        <v>610000004153</v>
      </c>
      <c r="C902" t="s">
        <v>56</v>
      </c>
      <c r="D902">
        <v>28</v>
      </c>
      <c r="E902" t="s">
        <v>314</v>
      </c>
      <c r="F902" t="s">
        <v>257</v>
      </c>
      <c r="G902" t="s">
        <v>13</v>
      </c>
      <c r="H902" t="s">
        <v>14</v>
      </c>
      <c r="J902" t="s">
        <v>22</v>
      </c>
      <c r="K902" s="1" t="e">
        <f>VLOOKUP(I902,'[1]PC50 Y2018 Status'!$D:$H,5,FALSE)</f>
        <v>#N/A</v>
      </c>
    </row>
    <row r="903" spans="2:11" x14ac:dyDescent="0.25">
      <c r="B903">
        <v>610000004068</v>
      </c>
      <c r="C903" t="s">
        <v>24</v>
      </c>
      <c r="D903">
        <v>226</v>
      </c>
      <c r="E903" t="s">
        <v>315</v>
      </c>
      <c r="F903" t="s">
        <v>257</v>
      </c>
      <c r="G903" t="s">
        <v>13</v>
      </c>
      <c r="H903" t="s">
        <v>14</v>
      </c>
      <c r="J903" t="s">
        <v>15</v>
      </c>
      <c r="K903" s="1" t="e">
        <f>VLOOKUP(I903,'[1]PC50 Y2018 Status'!$D:$H,5,FALSE)</f>
        <v>#N/A</v>
      </c>
    </row>
    <row r="904" spans="2:11" x14ac:dyDescent="0.25">
      <c r="B904">
        <v>610000004178</v>
      </c>
      <c r="C904" t="s">
        <v>59</v>
      </c>
      <c r="D904">
        <v>28</v>
      </c>
      <c r="E904" t="s">
        <v>315</v>
      </c>
      <c r="F904" t="s">
        <v>257</v>
      </c>
      <c r="G904" t="s">
        <v>13</v>
      </c>
      <c r="H904" t="s">
        <v>14</v>
      </c>
      <c r="J904" t="s">
        <v>22</v>
      </c>
      <c r="K904" s="1" t="e">
        <f>VLOOKUP(I904,'[1]PC50 Y2018 Status'!$D:$H,5,FALSE)</f>
        <v>#N/A</v>
      </c>
    </row>
    <row r="905" spans="2:11" x14ac:dyDescent="0.25">
      <c r="B905">
        <v>610000004128</v>
      </c>
      <c r="C905" t="s">
        <v>61</v>
      </c>
      <c r="D905">
        <v>61</v>
      </c>
      <c r="E905" t="s">
        <v>316</v>
      </c>
      <c r="F905" t="s">
        <v>257</v>
      </c>
      <c r="G905" t="s">
        <v>13</v>
      </c>
      <c r="H905" t="s">
        <v>14</v>
      </c>
      <c r="J905" t="s">
        <v>22</v>
      </c>
      <c r="K905" s="1" t="e">
        <f>VLOOKUP(I905,'[1]PC50 Y2018 Status'!$D:$H,5,FALSE)</f>
        <v>#N/A</v>
      </c>
    </row>
    <row r="906" spans="2:11" x14ac:dyDescent="0.25">
      <c r="B906">
        <v>610000004142</v>
      </c>
      <c r="C906" t="s">
        <v>55</v>
      </c>
      <c r="D906">
        <v>60</v>
      </c>
      <c r="E906" t="s">
        <v>316</v>
      </c>
      <c r="F906" t="s">
        <v>257</v>
      </c>
      <c r="G906" t="s">
        <v>13</v>
      </c>
      <c r="H906" t="s">
        <v>14</v>
      </c>
      <c r="J906" t="s">
        <v>22</v>
      </c>
      <c r="K906" s="1" t="e">
        <f>VLOOKUP(I906,'[1]PC50 Y2018 Status'!$D:$H,5,FALSE)</f>
        <v>#N/A</v>
      </c>
    </row>
    <row r="907" spans="2:11" x14ac:dyDescent="0.25">
      <c r="B907">
        <v>610000004151</v>
      </c>
      <c r="C907" t="s">
        <v>62</v>
      </c>
      <c r="D907">
        <v>60</v>
      </c>
      <c r="E907" t="s">
        <v>316</v>
      </c>
      <c r="F907" t="s">
        <v>257</v>
      </c>
      <c r="G907" t="s">
        <v>13</v>
      </c>
      <c r="H907" t="s">
        <v>14</v>
      </c>
      <c r="J907" t="s">
        <v>22</v>
      </c>
      <c r="K907" s="1" t="e">
        <f>VLOOKUP(I907,'[1]PC50 Y2018 Status'!$D:$H,5,FALSE)</f>
        <v>#N/A</v>
      </c>
    </row>
    <row r="908" spans="2:11" x14ac:dyDescent="0.25">
      <c r="B908">
        <v>342257</v>
      </c>
      <c r="C908" t="s">
        <v>25</v>
      </c>
      <c r="D908">
        <v>191</v>
      </c>
      <c r="E908" t="s">
        <v>317</v>
      </c>
      <c r="F908" t="s">
        <v>257</v>
      </c>
      <c r="G908" t="s">
        <v>13</v>
      </c>
      <c r="H908" t="s">
        <v>14</v>
      </c>
      <c r="J908" t="s">
        <v>15</v>
      </c>
      <c r="K908" s="1" t="e">
        <f>VLOOKUP(I908,'[1]PC50 Y2018 Status'!$D:$H,5,FALSE)</f>
        <v>#N/A</v>
      </c>
    </row>
    <row r="909" spans="2:11" x14ac:dyDescent="0.25">
      <c r="B909">
        <v>347637</v>
      </c>
      <c r="C909" t="s">
        <v>27</v>
      </c>
      <c r="D909">
        <v>49</v>
      </c>
      <c r="E909" t="s">
        <v>317</v>
      </c>
      <c r="F909" t="s">
        <v>257</v>
      </c>
      <c r="G909" t="s">
        <v>13</v>
      </c>
      <c r="H909" t="s">
        <v>14</v>
      </c>
      <c r="J909" t="s">
        <v>15</v>
      </c>
      <c r="K909" s="1" t="e">
        <f>VLOOKUP(I909,'[1]PC50 Y2018 Status'!$D:$H,5,FALSE)</f>
        <v>#N/A</v>
      </c>
    </row>
    <row r="910" spans="2:11" x14ac:dyDescent="0.25">
      <c r="B910">
        <v>347638</v>
      </c>
      <c r="C910" t="s">
        <v>16</v>
      </c>
      <c r="D910">
        <v>25</v>
      </c>
      <c r="E910" t="s">
        <v>317</v>
      </c>
      <c r="F910" t="s">
        <v>257</v>
      </c>
      <c r="G910" t="s">
        <v>13</v>
      </c>
      <c r="H910" t="s">
        <v>14</v>
      </c>
      <c r="J910" t="s">
        <v>15</v>
      </c>
      <c r="K910" s="1" t="e">
        <f>VLOOKUP(I910,'[1]PC50 Y2018 Status'!$D:$H,5,FALSE)</f>
        <v>#N/A</v>
      </c>
    </row>
    <row r="911" spans="2:11" x14ac:dyDescent="0.25">
      <c r="B911">
        <v>351886</v>
      </c>
      <c r="C911" t="s">
        <v>227</v>
      </c>
      <c r="D911">
        <v>1</v>
      </c>
      <c r="E911" t="s">
        <v>317</v>
      </c>
      <c r="F911" t="s">
        <v>313</v>
      </c>
      <c r="G911" t="s">
        <v>13</v>
      </c>
      <c r="H911" t="s">
        <v>14</v>
      </c>
      <c r="J911" t="s">
        <v>15</v>
      </c>
      <c r="K911" s="1" t="e">
        <f>VLOOKUP(I911,'[1]PC50 Y2018 Status'!$D:$H,5,FALSE)</f>
        <v>#N/A</v>
      </c>
    </row>
    <row r="912" spans="2:11" x14ac:dyDescent="0.25">
      <c r="B912">
        <v>610000004141</v>
      </c>
      <c r="C912" t="s">
        <v>80</v>
      </c>
      <c r="D912">
        <v>6</v>
      </c>
      <c r="E912" t="s">
        <v>317</v>
      </c>
      <c r="F912" t="s">
        <v>257</v>
      </c>
      <c r="G912" t="s">
        <v>13</v>
      </c>
      <c r="H912" t="s">
        <v>14</v>
      </c>
      <c r="J912" t="s">
        <v>22</v>
      </c>
      <c r="K912" s="1" t="e">
        <f>VLOOKUP(I912,'[1]PC50 Y2018 Status'!$D:$H,5,FALSE)</f>
        <v>#N/A</v>
      </c>
    </row>
    <row r="913" spans="2:11" x14ac:dyDescent="0.25">
      <c r="B913">
        <v>342279</v>
      </c>
      <c r="C913" t="s">
        <v>64</v>
      </c>
      <c r="D913">
        <v>44</v>
      </c>
      <c r="E913" t="s">
        <v>318</v>
      </c>
      <c r="F913" t="s">
        <v>257</v>
      </c>
      <c r="G913" t="s">
        <v>13</v>
      </c>
      <c r="H913" t="s">
        <v>14</v>
      </c>
      <c r="J913" t="s">
        <v>15</v>
      </c>
      <c r="K913" s="1" t="e">
        <f>VLOOKUP(I913,'[1]PC50 Y2018 Status'!$D:$H,5,FALSE)</f>
        <v>#N/A</v>
      </c>
    </row>
    <row r="914" spans="2:11" x14ac:dyDescent="0.25">
      <c r="B914">
        <v>610000004032</v>
      </c>
      <c r="C914" t="s">
        <v>32</v>
      </c>
      <c r="D914">
        <v>60</v>
      </c>
      <c r="E914" t="s">
        <v>318</v>
      </c>
      <c r="F914" t="s">
        <v>257</v>
      </c>
      <c r="G914" t="s">
        <v>13</v>
      </c>
      <c r="H914" t="s">
        <v>14</v>
      </c>
      <c r="J914" t="s">
        <v>15</v>
      </c>
      <c r="K914" s="1" t="e">
        <f>VLOOKUP(I914,'[1]PC50 Y2018 Status'!$D:$H,5,FALSE)</f>
        <v>#N/A</v>
      </c>
    </row>
    <row r="915" spans="2:11" x14ac:dyDescent="0.25">
      <c r="B915">
        <v>610000004084</v>
      </c>
      <c r="C915" t="s">
        <v>123</v>
      </c>
      <c r="D915">
        <v>9</v>
      </c>
      <c r="E915" t="s">
        <v>318</v>
      </c>
      <c r="F915" t="s">
        <v>257</v>
      </c>
      <c r="G915" t="s">
        <v>13</v>
      </c>
      <c r="H915" t="s">
        <v>14</v>
      </c>
      <c r="J915" t="s">
        <v>15</v>
      </c>
      <c r="K915" s="1" t="e">
        <f>VLOOKUP(I915,'[1]PC50 Y2018 Status'!$D:$H,5,FALSE)</f>
        <v>#N/A</v>
      </c>
    </row>
    <row r="916" spans="2:11" x14ac:dyDescent="0.25">
      <c r="B916">
        <v>610000004168</v>
      </c>
      <c r="C916" t="s">
        <v>115</v>
      </c>
      <c r="D916">
        <v>18</v>
      </c>
      <c r="E916" t="s">
        <v>318</v>
      </c>
      <c r="F916" t="s">
        <v>257</v>
      </c>
      <c r="G916" t="s">
        <v>13</v>
      </c>
      <c r="H916" t="s">
        <v>14</v>
      </c>
      <c r="J916" t="s">
        <v>22</v>
      </c>
      <c r="K916" s="1" t="e">
        <f>VLOOKUP(I916,'[1]PC50 Y2018 Status'!$D:$H,5,FALSE)</f>
        <v>#N/A</v>
      </c>
    </row>
    <row r="917" spans="2:11" x14ac:dyDescent="0.25">
      <c r="B917">
        <v>347716</v>
      </c>
      <c r="C917" t="s">
        <v>28</v>
      </c>
      <c r="D917">
        <v>11</v>
      </c>
      <c r="E917" t="s">
        <v>319</v>
      </c>
      <c r="F917" t="s">
        <v>257</v>
      </c>
      <c r="G917" t="s">
        <v>13</v>
      </c>
      <c r="H917" t="s">
        <v>14</v>
      </c>
      <c r="J917" t="s">
        <v>22</v>
      </c>
      <c r="K917" s="1" t="e">
        <f>VLOOKUP(I917,'[1]PC50 Y2018 Status'!$D:$H,5,FALSE)</f>
        <v>#N/A</v>
      </c>
    </row>
    <row r="918" spans="2:11" x14ac:dyDescent="0.25">
      <c r="B918">
        <v>347741</v>
      </c>
      <c r="C918" t="s">
        <v>28</v>
      </c>
      <c r="D918">
        <v>11</v>
      </c>
      <c r="E918" t="s">
        <v>319</v>
      </c>
      <c r="F918" t="s">
        <v>257</v>
      </c>
      <c r="G918" t="s">
        <v>13</v>
      </c>
      <c r="H918" t="s">
        <v>14</v>
      </c>
      <c r="J918" t="s">
        <v>22</v>
      </c>
      <c r="K918" s="1" t="e">
        <f>VLOOKUP(I918,'[1]PC50 Y2018 Status'!$D:$H,5,FALSE)</f>
        <v>#N/A</v>
      </c>
    </row>
    <row r="919" spans="2:11" x14ac:dyDescent="0.25">
      <c r="B919">
        <v>610000004102</v>
      </c>
      <c r="C919" t="s">
        <v>67</v>
      </c>
      <c r="D919">
        <v>53</v>
      </c>
      <c r="E919" t="s">
        <v>319</v>
      </c>
      <c r="F919" t="s">
        <v>257</v>
      </c>
      <c r="G919" t="s">
        <v>13</v>
      </c>
      <c r="H919" t="s">
        <v>14</v>
      </c>
      <c r="J919" t="s">
        <v>22</v>
      </c>
      <c r="K919" s="1" t="e">
        <f>VLOOKUP(I919,'[1]PC50 Y2018 Status'!$D:$H,5,FALSE)</f>
        <v>#N/A</v>
      </c>
    </row>
    <row r="920" spans="2:11" x14ac:dyDescent="0.25">
      <c r="B920">
        <v>610000004129</v>
      </c>
      <c r="C920" t="s">
        <v>68</v>
      </c>
      <c r="D920">
        <v>53</v>
      </c>
      <c r="E920" t="s">
        <v>319</v>
      </c>
      <c r="F920" t="s">
        <v>257</v>
      </c>
      <c r="G920" t="s">
        <v>13</v>
      </c>
      <c r="H920" t="s">
        <v>14</v>
      </c>
      <c r="J920" t="s">
        <v>22</v>
      </c>
      <c r="K920" s="1" t="e">
        <f>VLOOKUP(I920,'[1]PC50 Y2018 Status'!$D:$H,5,FALSE)</f>
        <v>#N/A</v>
      </c>
    </row>
    <row r="921" spans="2:11" x14ac:dyDescent="0.25">
      <c r="B921">
        <v>610000004177</v>
      </c>
      <c r="C921" t="s">
        <v>37</v>
      </c>
      <c r="D921">
        <v>54</v>
      </c>
      <c r="E921" t="s">
        <v>319</v>
      </c>
      <c r="F921" t="s">
        <v>257</v>
      </c>
      <c r="G921" t="s">
        <v>13</v>
      </c>
      <c r="H921" t="s">
        <v>14</v>
      </c>
      <c r="J921" t="s">
        <v>22</v>
      </c>
      <c r="K921" s="1" t="e">
        <f>VLOOKUP(I921,'[1]PC50 Y2018 Status'!$D:$H,5,FALSE)</f>
        <v>#N/A</v>
      </c>
    </row>
    <row r="922" spans="2:11" x14ac:dyDescent="0.25">
      <c r="B922">
        <v>610000004175</v>
      </c>
      <c r="C922" t="s">
        <v>34</v>
      </c>
      <c r="D922">
        <v>112</v>
      </c>
      <c r="E922" t="s">
        <v>320</v>
      </c>
      <c r="F922" t="s">
        <v>257</v>
      </c>
      <c r="G922" t="s">
        <v>13</v>
      </c>
      <c r="H922" t="s">
        <v>14</v>
      </c>
      <c r="J922" t="s">
        <v>22</v>
      </c>
      <c r="K922" s="1" t="e">
        <f>VLOOKUP(I922,'[1]PC50 Y2018 Status'!$D:$H,5,FALSE)</f>
        <v>#N/A</v>
      </c>
    </row>
    <row r="923" spans="2:11" x14ac:dyDescent="0.25">
      <c r="B923">
        <v>342743</v>
      </c>
      <c r="C923" t="s">
        <v>77</v>
      </c>
      <c r="D923">
        <v>7</v>
      </c>
      <c r="E923" t="s">
        <v>321</v>
      </c>
      <c r="F923" t="s">
        <v>257</v>
      </c>
      <c r="G923" t="s">
        <v>13</v>
      </c>
      <c r="H923" t="s">
        <v>14</v>
      </c>
      <c r="J923" t="s">
        <v>22</v>
      </c>
      <c r="K923" s="1" t="e">
        <f>VLOOKUP(I923,'[1]PC50 Y2018 Status'!$D:$H,5,FALSE)</f>
        <v>#N/A</v>
      </c>
    </row>
    <row r="924" spans="2:11" x14ac:dyDescent="0.25">
      <c r="B924">
        <v>610000004069</v>
      </c>
      <c r="C924" t="s">
        <v>35</v>
      </c>
      <c r="D924">
        <v>113</v>
      </c>
      <c r="E924" t="s">
        <v>321</v>
      </c>
      <c r="F924" t="s">
        <v>257</v>
      </c>
      <c r="G924" t="s">
        <v>13</v>
      </c>
      <c r="H924" t="s">
        <v>14</v>
      </c>
      <c r="J924" t="s">
        <v>15</v>
      </c>
      <c r="K924" s="1" t="e">
        <f>VLOOKUP(I924,'[1]PC50 Y2018 Status'!$D:$H,5,FALSE)</f>
        <v>#N/A</v>
      </c>
    </row>
    <row r="925" spans="2:11" x14ac:dyDescent="0.25">
      <c r="B925">
        <v>610000004070</v>
      </c>
      <c r="C925" t="s">
        <v>35</v>
      </c>
      <c r="D925">
        <v>113</v>
      </c>
      <c r="E925" t="s">
        <v>321</v>
      </c>
      <c r="F925" t="s">
        <v>257</v>
      </c>
      <c r="G925" t="s">
        <v>13</v>
      </c>
      <c r="H925" t="s">
        <v>14</v>
      </c>
      <c r="J925" t="s">
        <v>15</v>
      </c>
      <c r="K925" s="1" t="e">
        <f>VLOOKUP(I925,'[1]PC50 Y2018 Status'!$D:$H,5,FALSE)</f>
        <v>#N/A</v>
      </c>
    </row>
    <row r="926" spans="2:11" x14ac:dyDescent="0.25">
      <c r="B926">
        <v>347678</v>
      </c>
      <c r="C926" t="s">
        <v>28</v>
      </c>
      <c r="D926">
        <v>12</v>
      </c>
      <c r="E926" t="s">
        <v>322</v>
      </c>
      <c r="F926" t="s">
        <v>257</v>
      </c>
      <c r="G926" t="s">
        <v>13</v>
      </c>
      <c r="H926" t="s">
        <v>14</v>
      </c>
      <c r="J926" t="s">
        <v>22</v>
      </c>
      <c r="K926" s="1" t="e">
        <f>VLOOKUP(I926,'[1]PC50 Y2018 Status'!$D:$H,5,FALSE)</f>
        <v>#N/A</v>
      </c>
    </row>
    <row r="927" spans="2:11" x14ac:dyDescent="0.25">
      <c r="B927">
        <v>347679</v>
      </c>
      <c r="C927" t="s">
        <v>78</v>
      </c>
      <c r="D927">
        <v>6</v>
      </c>
      <c r="E927" t="s">
        <v>322</v>
      </c>
      <c r="F927" t="s">
        <v>257</v>
      </c>
      <c r="G927" t="s">
        <v>13</v>
      </c>
      <c r="H927" t="s">
        <v>14</v>
      </c>
      <c r="J927" t="s">
        <v>22</v>
      </c>
      <c r="K927" s="1" t="e">
        <f>VLOOKUP(I927,'[1]PC50 Y2018 Status'!$D:$H,5,FALSE)</f>
        <v>#N/A</v>
      </c>
    </row>
    <row r="928" spans="2:11" x14ac:dyDescent="0.25">
      <c r="B928">
        <v>610000004068</v>
      </c>
      <c r="C928" t="s">
        <v>24</v>
      </c>
      <c r="D928">
        <v>227</v>
      </c>
      <c r="E928" t="s">
        <v>322</v>
      </c>
      <c r="F928" t="s">
        <v>257</v>
      </c>
      <c r="G928" t="s">
        <v>13</v>
      </c>
      <c r="H928" t="s">
        <v>14</v>
      </c>
      <c r="J928" t="s">
        <v>15</v>
      </c>
      <c r="K928" s="1" t="e">
        <f>VLOOKUP(I928,'[1]PC50 Y2018 Status'!$D:$H,5,FALSE)</f>
        <v>#N/A</v>
      </c>
    </row>
    <row r="929" spans="2:11" x14ac:dyDescent="0.25">
      <c r="B929">
        <v>610000004077</v>
      </c>
      <c r="C929" t="s">
        <v>39</v>
      </c>
      <c r="D929">
        <v>113</v>
      </c>
      <c r="E929" t="s">
        <v>322</v>
      </c>
      <c r="F929" t="s">
        <v>257</v>
      </c>
      <c r="G929" t="s">
        <v>13</v>
      </c>
      <c r="H929" t="s">
        <v>14</v>
      </c>
      <c r="J929" t="s">
        <v>15</v>
      </c>
      <c r="K929" s="1" t="e">
        <f>VLOOKUP(I929,'[1]PC50 Y2018 Status'!$D:$H,5,FALSE)</f>
        <v>#N/A</v>
      </c>
    </row>
    <row r="930" spans="2:11" x14ac:dyDescent="0.25">
      <c r="B930">
        <v>610000004085</v>
      </c>
      <c r="C930" t="s">
        <v>18</v>
      </c>
      <c r="D930">
        <v>113</v>
      </c>
      <c r="E930" t="s">
        <v>322</v>
      </c>
      <c r="F930" t="s">
        <v>257</v>
      </c>
      <c r="G930" t="s">
        <v>13</v>
      </c>
      <c r="H930" t="s">
        <v>14</v>
      </c>
      <c r="J930" t="s">
        <v>15</v>
      </c>
      <c r="K930" s="1" t="e">
        <f>VLOOKUP(I930,'[1]PC50 Y2018 Status'!$D:$H,5,FALSE)</f>
        <v>#N/A</v>
      </c>
    </row>
    <row r="931" spans="2:11" x14ac:dyDescent="0.25">
      <c r="B931">
        <v>610000004086</v>
      </c>
      <c r="C931" t="s">
        <v>18</v>
      </c>
      <c r="D931">
        <v>113</v>
      </c>
      <c r="E931" t="s">
        <v>322</v>
      </c>
      <c r="F931" t="s">
        <v>257</v>
      </c>
      <c r="G931" t="s">
        <v>13</v>
      </c>
      <c r="H931" t="s">
        <v>14</v>
      </c>
      <c r="J931" t="s">
        <v>15</v>
      </c>
      <c r="K931" s="1" t="e">
        <f>VLOOKUP(I931,'[1]PC50 Y2018 Status'!$D:$H,5,FALSE)</f>
        <v>#N/A</v>
      </c>
    </row>
    <row r="932" spans="2:11" x14ac:dyDescent="0.25">
      <c r="B932">
        <v>610000004162</v>
      </c>
      <c r="C932" t="s">
        <v>43</v>
      </c>
      <c r="D932">
        <v>53</v>
      </c>
      <c r="E932" t="s">
        <v>322</v>
      </c>
      <c r="F932" t="s">
        <v>257</v>
      </c>
      <c r="G932" t="s">
        <v>13</v>
      </c>
      <c r="H932" t="s">
        <v>14</v>
      </c>
      <c r="J932" t="s">
        <v>22</v>
      </c>
      <c r="K932" s="1" t="e">
        <f>VLOOKUP(I932,'[1]PC50 Y2018 Status'!$D:$H,5,FALSE)</f>
        <v>#N/A</v>
      </c>
    </row>
    <row r="933" spans="2:11" x14ac:dyDescent="0.25">
      <c r="B933">
        <v>610000004091</v>
      </c>
      <c r="C933" t="s">
        <v>47</v>
      </c>
      <c r="D933">
        <v>112</v>
      </c>
      <c r="E933" t="s">
        <v>323</v>
      </c>
      <c r="F933" t="s">
        <v>257</v>
      </c>
      <c r="G933" t="s">
        <v>13</v>
      </c>
      <c r="H933" t="s">
        <v>14</v>
      </c>
      <c r="J933" t="s">
        <v>15</v>
      </c>
      <c r="K933" s="1" t="e">
        <f>VLOOKUP(I933,'[1]PC50 Y2018 Status'!$D:$H,5,FALSE)</f>
        <v>#N/A</v>
      </c>
    </row>
    <row r="934" spans="2:11" x14ac:dyDescent="0.25">
      <c r="B934">
        <v>610000004161</v>
      </c>
      <c r="C934" t="s">
        <v>48</v>
      </c>
      <c r="D934">
        <v>114</v>
      </c>
      <c r="E934" t="s">
        <v>323</v>
      </c>
      <c r="F934" t="s">
        <v>257</v>
      </c>
      <c r="G934" t="s">
        <v>13</v>
      </c>
      <c r="H934" t="s">
        <v>14</v>
      </c>
      <c r="J934" t="s">
        <v>22</v>
      </c>
      <c r="K934" s="1" t="e">
        <f>VLOOKUP(I934,'[1]PC50 Y2018 Status'!$D:$H,5,FALSE)</f>
        <v>#N/A</v>
      </c>
    </row>
    <row r="935" spans="2:11" x14ac:dyDescent="0.25">
      <c r="B935">
        <v>342257</v>
      </c>
      <c r="C935" t="s">
        <v>25</v>
      </c>
      <c r="D935">
        <v>192</v>
      </c>
      <c r="E935" t="s">
        <v>324</v>
      </c>
      <c r="F935" t="s">
        <v>257</v>
      </c>
      <c r="G935" t="s">
        <v>13</v>
      </c>
      <c r="H935" t="s">
        <v>14</v>
      </c>
      <c r="J935" t="s">
        <v>15</v>
      </c>
      <c r="K935" s="1" t="e">
        <f>VLOOKUP(I935,'[1]PC50 Y2018 Status'!$D:$H,5,FALSE)</f>
        <v>#N/A</v>
      </c>
    </row>
    <row r="936" spans="2:11" x14ac:dyDescent="0.25">
      <c r="B936">
        <v>342586</v>
      </c>
      <c r="C936" t="s">
        <v>82</v>
      </c>
      <c r="D936">
        <v>40</v>
      </c>
      <c r="E936" t="s">
        <v>324</v>
      </c>
      <c r="F936" t="s">
        <v>257</v>
      </c>
      <c r="G936" t="s">
        <v>13</v>
      </c>
      <c r="H936" t="s">
        <v>14</v>
      </c>
      <c r="J936" t="s">
        <v>22</v>
      </c>
      <c r="K936" s="1" t="e">
        <f>VLOOKUP(I936,'[1]PC50 Y2018 Status'!$D:$H,5,FALSE)</f>
        <v>#N/A</v>
      </c>
    </row>
    <row r="937" spans="2:11" x14ac:dyDescent="0.25">
      <c r="B937">
        <v>347637</v>
      </c>
      <c r="C937" t="s">
        <v>27</v>
      </c>
      <c r="D937">
        <v>50</v>
      </c>
      <c r="E937" t="s">
        <v>324</v>
      </c>
      <c r="F937" t="s">
        <v>257</v>
      </c>
      <c r="G937" t="s">
        <v>13</v>
      </c>
      <c r="H937" t="s">
        <v>14</v>
      </c>
      <c r="J937" t="s">
        <v>15</v>
      </c>
      <c r="K937" s="1" t="e">
        <f>VLOOKUP(I937,'[1]PC50 Y2018 Status'!$D:$H,5,FALSE)</f>
        <v>#N/A</v>
      </c>
    </row>
    <row r="938" spans="2:11" x14ac:dyDescent="0.25">
      <c r="B938">
        <v>342631</v>
      </c>
      <c r="C938" t="s">
        <v>115</v>
      </c>
      <c r="D938">
        <v>14</v>
      </c>
      <c r="E938" t="s">
        <v>325</v>
      </c>
      <c r="F938" t="s">
        <v>257</v>
      </c>
      <c r="G938" t="s">
        <v>13</v>
      </c>
      <c r="H938" t="s">
        <v>14</v>
      </c>
      <c r="J938" t="s">
        <v>22</v>
      </c>
      <c r="K938" s="1" t="e">
        <f>VLOOKUP(I938,'[1]PC50 Y2018 Status'!$D:$H,5,FALSE)</f>
        <v>#N/A</v>
      </c>
    </row>
    <row r="939" spans="2:11" x14ac:dyDescent="0.25">
      <c r="B939">
        <v>610000004050</v>
      </c>
      <c r="C939" t="s">
        <v>17</v>
      </c>
      <c r="D939">
        <v>113</v>
      </c>
      <c r="E939" t="s">
        <v>325</v>
      </c>
      <c r="F939" t="s">
        <v>257</v>
      </c>
      <c r="G939" t="s">
        <v>13</v>
      </c>
      <c r="H939" t="s">
        <v>14</v>
      </c>
      <c r="J939" t="s">
        <v>15</v>
      </c>
      <c r="K939" s="1" t="e">
        <f>VLOOKUP(I939,'[1]PC50 Y2018 Status'!$D:$H,5,FALSE)</f>
        <v>#N/A</v>
      </c>
    </row>
    <row r="940" spans="2:11" x14ac:dyDescent="0.25">
      <c r="B940">
        <v>610000004152</v>
      </c>
      <c r="C940" t="s">
        <v>82</v>
      </c>
      <c r="D940">
        <v>53</v>
      </c>
      <c r="E940" t="s">
        <v>325</v>
      </c>
      <c r="F940" t="s">
        <v>257</v>
      </c>
      <c r="G940" t="s">
        <v>13</v>
      </c>
      <c r="H940" t="s">
        <v>14</v>
      </c>
      <c r="J940" t="s">
        <v>22</v>
      </c>
      <c r="K940" s="1" t="e">
        <f>VLOOKUP(I940,'[1]PC50 Y2018 Status'!$D:$H,5,FALSE)</f>
        <v>#N/A</v>
      </c>
    </row>
    <row r="941" spans="2:11" x14ac:dyDescent="0.25">
      <c r="B941">
        <v>342299</v>
      </c>
      <c r="C941" t="s">
        <v>95</v>
      </c>
      <c r="D941">
        <v>15</v>
      </c>
      <c r="E941" t="s">
        <v>326</v>
      </c>
      <c r="F941" t="s">
        <v>257</v>
      </c>
      <c r="G941" t="s">
        <v>13</v>
      </c>
      <c r="H941" t="s">
        <v>14</v>
      </c>
      <c r="J941" t="s">
        <v>22</v>
      </c>
      <c r="K941" s="1" t="e">
        <f>VLOOKUP(I941,'[1]PC50 Y2018 Status'!$D:$H,5,FALSE)</f>
        <v>#N/A</v>
      </c>
    </row>
    <row r="942" spans="2:11" x14ac:dyDescent="0.25">
      <c r="B942">
        <v>347639</v>
      </c>
      <c r="C942" t="s">
        <v>32</v>
      </c>
      <c r="D942">
        <v>11</v>
      </c>
      <c r="E942" t="s">
        <v>326</v>
      </c>
      <c r="F942" t="s">
        <v>257</v>
      </c>
      <c r="G942" t="s">
        <v>13</v>
      </c>
      <c r="H942" t="s">
        <v>14</v>
      </c>
      <c r="J942" t="s">
        <v>15</v>
      </c>
      <c r="K942" s="1" t="e">
        <f>VLOOKUP(I942,'[1]PC50 Y2018 Status'!$D:$H,5,FALSE)</f>
        <v>#N/A</v>
      </c>
    </row>
    <row r="943" spans="2:11" x14ac:dyDescent="0.25">
      <c r="B943">
        <v>351883</v>
      </c>
      <c r="C943" t="s">
        <v>227</v>
      </c>
      <c r="D943">
        <v>2</v>
      </c>
      <c r="E943" t="s">
        <v>326</v>
      </c>
      <c r="F943" t="s">
        <v>257</v>
      </c>
      <c r="G943" t="s">
        <v>13</v>
      </c>
      <c r="H943" t="s">
        <v>14</v>
      </c>
      <c r="J943" t="s">
        <v>15</v>
      </c>
      <c r="K943" s="1" t="e">
        <f>VLOOKUP(I943,'[1]PC50 Y2018 Status'!$D:$H,5,FALSE)</f>
        <v>#N/A</v>
      </c>
    </row>
    <row r="944" spans="2:11" x14ac:dyDescent="0.25">
      <c r="B944">
        <v>610000004052</v>
      </c>
      <c r="C944" t="s">
        <v>46</v>
      </c>
      <c r="D944">
        <v>52</v>
      </c>
      <c r="E944" t="s">
        <v>326</v>
      </c>
      <c r="F944" t="s">
        <v>257</v>
      </c>
      <c r="G944" t="s">
        <v>13</v>
      </c>
      <c r="H944" t="s">
        <v>14</v>
      </c>
      <c r="J944" t="s">
        <v>15</v>
      </c>
      <c r="K944" s="1" t="e">
        <f>VLOOKUP(I944,'[1]PC50 Y2018 Status'!$D:$H,5,FALSE)</f>
        <v>#N/A</v>
      </c>
    </row>
    <row r="945" spans="2:11" x14ac:dyDescent="0.25">
      <c r="B945">
        <v>610000004081</v>
      </c>
      <c r="C945" t="s">
        <v>71</v>
      </c>
      <c r="D945">
        <v>22</v>
      </c>
      <c r="E945" t="s">
        <v>326</v>
      </c>
      <c r="F945" t="s">
        <v>257</v>
      </c>
      <c r="G945" t="s">
        <v>13</v>
      </c>
      <c r="H945" t="s">
        <v>14</v>
      </c>
      <c r="J945" t="s">
        <v>15</v>
      </c>
      <c r="K945" s="1" t="e">
        <f>VLOOKUP(I945,'[1]PC50 Y2018 Status'!$D:$H,5,FALSE)</f>
        <v>#N/A</v>
      </c>
    </row>
    <row r="946" spans="2:11" x14ac:dyDescent="0.25">
      <c r="B946">
        <v>610000004031</v>
      </c>
      <c r="C946" t="s">
        <v>16</v>
      </c>
      <c r="D946">
        <v>112</v>
      </c>
      <c r="E946" t="s">
        <v>327</v>
      </c>
      <c r="F946" t="s">
        <v>257</v>
      </c>
      <c r="G946" t="s">
        <v>13</v>
      </c>
      <c r="H946" t="s">
        <v>14</v>
      </c>
      <c r="J946" t="s">
        <v>15</v>
      </c>
      <c r="K946" s="1" t="e">
        <f>VLOOKUP(I946,'[1]PC50 Y2018 Status'!$D:$H,5,FALSE)</f>
        <v>#N/A</v>
      </c>
    </row>
    <row r="947" spans="2:11" x14ac:dyDescent="0.25">
      <c r="B947">
        <v>610000004051</v>
      </c>
      <c r="C947" t="s">
        <v>17</v>
      </c>
      <c r="D947">
        <v>113</v>
      </c>
      <c r="E947" t="s">
        <v>327</v>
      </c>
      <c r="F947" t="s">
        <v>257</v>
      </c>
      <c r="G947" t="s">
        <v>13</v>
      </c>
      <c r="H947" t="s">
        <v>14</v>
      </c>
      <c r="J947" t="s">
        <v>15</v>
      </c>
      <c r="K947" s="1" t="e">
        <f>VLOOKUP(I947,'[1]PC50 Y2018 Status'!$D:$H,5,FALSE)</f>
        <v>#N/A</v>
      </c>
    </row>
    <row r="948" spans="2:11" x14ac:dyDescent="0.25">
      <c r="B948">
        <v>342258</v>
      </c>
      <c r="C948" t="s">
        <v>18</v>
      </c>
      <c r="D948">
        <v>96</v>
      </c>
      <c r="E948" t="s">
        <v>328</v>
      </c>
      <c r="F948" t="s">
        <v>257</v>
      </c>
      <c r="G948" t="s">
        <v>13</v>
      </c>
      <c r="H948" t="s">
        <v>14</v>
      </c>
      <c r="J948" t="s">
        <v>15</v>
      </c>
      <c r="K948" s="1" t="e">
        <f>VLOOKUP(I948,'[1]PC50 Y2018 Status'!$D:$H,5,FALSE)</f>
        <v>#N/A</v>
      </c>
    </row>
    <row r="949" spans="2:11" x14ac:dyDescent="0.25">
      <c r="B949">
        <v>342588</v>
      </c>
      <c r="C949" t="s">
        <v>82</v>
      </c>
      <c r="D949">
        <v>41</v>
      </c>
      <c r="E949" t="s">
        <v>328</v>
      </c>
      <c r="F949" t="s">
        <v>257</v>
      </c>
      <c r="G949" t="s">
        <v>13</v>
      </c>
      <c r="H949" t="s">
        <v>14</v>
      </c>
      <c r="J949" t="s">
        <v>22</v>
      </c>
      <c r="K949" s="1" t="e">
        <f>VLOOKUP(I949,'[1]PC50 Y2018 Status'!$D:$H,5,FALSE)</f>
        <v>#N/A</v>
      </c>
    </row>
    <row r="950" spans="2:11" x14ac:dyDescent="0.25">
      <c r="B950">
        <v>610000004068</v>
      </c>
      <c r="C950" t="s">
        <v>24</v>
      </c>
      <c r="D950">
        <v>228</v>
      </c>
      <c r="E950" t="s">
        <v>329</v>
      </c>
      <c r="F950" t="s">
        <v>257</v>
      </c>
      <c r="G950" t="s">
        <v>13</v>
      </c>
      <c r="H950" t="s">
        <v>14</v>
      </c>
      <c r="J950" t="s">
        <v>15</v>
      </c>
      <c r="K950" s="1" t="e">
        <f>VLOOKUP(I950,'[1]PC50 Y2018 Status'!$D:$H,5,FALSE)</f>
        <v>#N/A</v>
      </c>
    </row>
    <row r="951" spans="2:11" x14ac:dyDescent="0.25">
      <c r="B951">
        <v>610000004104</v>
      </c>
      <c r="C951" t="s">
        <v>51</v>
      </c>
      <c r="D951">
        <v>27</v>
      </c>
      <c r="E951" t="s">
        <v>329</v>
      </c>
      <c r="F951" t="s">
        <v>257</v>
      </c>
      <c r="G951" t="s">
        <v>13</v>
      </c>
      <c r="H951" t="s">
        <v>14</v>
      </c>
      <c r="J951" t="s">
        <v>22</v>
      </c>
      <c r="K951" s="1" t="e">
        <f>VLOOKUP(I951,'[1]PC50 Y2018 Status'!$D:$H,5,FALSE)</f>
        <v>#N/A</v>
      </c>
    </row>
    <row r="952" spans="2:11" x14ac:dyDescent="0.25">
      <c r="B952">
        <v>342596</v>
      </c>
      <c r="C952" t="s">
        <v>74</v>
      </c>
      <c r="D952">
        <v>7</v>
      </c>
      <c r="E952" t="s">
        <v>330</v>
      </c>
      <c r="F952" t="s">
        <v>257</v>
      </c>
      <c r="G952" t="s">
        <v>13</v>
      </c>
      <c r="H952" t="s">
        <v>14</v>
      </c>
      <c r="J952" t="s">
        <v>15</v>
      </c>
      <c r="K952" s="1" t="e">
        <f>VLOOKUP(I952,'[1]PC50 Y2018 Status'!$D:$H,5,FALSE)</f>
        <v>#N/A</v>
      </c>
    </row>
    <row r="953" spans="2:11" x14ac:dyDescent="0.25">
      <c r="B953">
        <v>610000004029</v>
      </c>
      <c r="C953" t="s">
        <v>125</v>
      </c>
      <c r="D953">
        <v>9</v>
      </c>
      <c r="E953" t="s">
        <v>330</v>
      </c>
      <c r="F953" t="s">
        <v>257</v>
      </c>
      <c r="G953" t="s">
        <v>13</v>
      </c>
      <c r="H953" t="s">
        <v>14</v>
      </c>
      <c r="J953" t="s">
        <v>15</v>
      </c>
      <c r="K953" s="1" t="e">
        <f>VLOOKUP(I953,'[1]PC50 Y2018 Status'!$D:$H,5,FALSE)</f>
        <v>#N/A</v>
      </c>
    </row>
    <row r="954" spans="2:11" x14ac:dyDescent="0.25">
      <c r="B954">
        <v>610000004074</v>
      </c>
      <c r="C954" t="s">
        <v>138</v>
      </c>
      <c r="D954">
        <v>17</v>
      </c>
      <c r="E954" t="s">
        <v>330</v>
      </c>
      <c r="F954" t="s">
        <v>257</v>
      </c>
      <c r="G954" t="s">
        <v>13</v>
      </c>
      <c r="H954" t="s">
        <v>14</v>
      </c>
      <c r="J954" t="s">
        <v>15</v>
      </c>
      <c r="K954" s="1" t="e">
        <f>VLOOKUP(I954,'[1]PC50 Y2018 Status'!$D:$H,5,FALSE)</f>
        <v>#N/A</v>
      </c>
    </row>
    <row r="955" spans="2:11" x14ac:dyDescent="0.25">
      <c r="B955">
        <v>610000004082</v>
      </c>
      <c r="C955" t="s">
        <v>123</v>
      </c>
      <c r="D955">
        <v>9</v>
      </c>
      <c r="E955" t="s">
        <v>330</v>
      </c>
      <c r="F955" t="s">
        <v>257</v>
      </c>
      <c r="G955" t="s">
        <v>13</v>
      </c>
      <c r="H955" t="s">
        <v>14</v>
      </c>
      <c r="J955" t="s">
        <v>15</v>
      </c>
      <c r="K955" s="1" t="e">
        <f>VLOOKUP(I955,'[1]PC50 Y2018 Status'!$D:$H,5,FALSE)</f>
        <v>#N/A</v>
      </c>
    </row>
    <row r="956" spans="2:11" x14ac:dyDescent="0.25">
      <c r="B956">
        <v>610000004083</v>
      </c>
      <c r="C956" t="s">
        <v>123</v>
      </c>
      <c r="D956">
        <v>10</v>
      </c>
      <c r="E956" t="s">
        <v>330</v>
      </c>
      <c r="F956" t="s">
        <v>257</v>
      </c>
      <c r="G956" t="s">
        <v>13</v>
      </c>
      <c r="H956" t="s">
        <v>14</v>
      </c>
      <c r="J956" t="s">
        <v>15</v>
      </c>
      <c r="K956" s="1" t="e">
        <f>VLOOKUP(I956,'[1]PC50 Y2018 Status'!$D:$H,5,FALSE)</f>
        <v>#N/A</v>
      </c>
    </row>
    <row r="957" spans="2:11" x14ac:dyDescent="0.25">
      <c r="B957">
        <v>610000004089</v>
      </c>
      <c r="C957" t="s">
        <v>74</v>
      </c>
      <c r="D957">
        <v>9</v>
      </c>
      <c r="E957" t="s">
        <v>330</v>
      </c>
      <c r="F957" t="s">
        <v>257</v>
      </c>
      <c r="G957" t="s">
        <v>13</v>
      </c>
      <c r="H957" t="s">
        <v>14</v>
      </c>
      <c r="J957" t="s">
        <v>15</v>
      </c>
      <c r="K957" s="1" t="e">
        <f>VLOOKUP(I957,'[1]PC50 Y2018 Status'!$D:$H,5,FALSE)</f>
        <v>#N/A</v>
      </c>
    </row>
    <row r="958" spans="2:11" x14ac:dyDescent="0.25">
      <c r="B958">
        <v>610000004106</v>
      </c>
      <c r="C958" t="s">
        <v>51</v>
      </c>
      <c r="D958">
        <v>27</v>
      </c>
      <c r="E958" t="s">
        <v>330</v>
      </c>
      <c r="F958" t="s">
        <v>257</v>
      </c>
      <c r="G958" t="s">
        <v>13</v>
      </c>
      <c r="H958" t="s">
        <v>14</v>
      </c>
      <c r="J958" t="s">
        <v>22</v>
      </c>
      <c r="K958" s="1" t="e">
        <f>VLOOKUP(I958,'[1]PC50 Y2018 Status'!$D:$H,5,FALSE)</f>
        <v>#N/A</v>
      </c>
    </row>
    <row r="959" spans="2:11" x14ac:dyDescent="0.25">
      <c r="B959">
        <v>610000004171</v>
      </c>
      <c r="C959" t="s">
        <v>77</v>
      </c>
      <c r="D959">
        <v>9</v>
      </c>
      <c r="E959" t="s">
        <v>330</v>
      </c>
      <c r="F959" t="s">
        <v>257</v>
      </c>
      <c r="G959" t="s">
        <v>13</v>
      </c>
      <c r="H959" t="s">
        <v>14</v>
      </c>
      <c r="J959" t="s">
        <v>22</v>
      </c>
      <c r="K959" s="1" t="e">
        <f>VLOOKUP(I959,'[1]PC50 Y2018 Status'!$D:$H,5,FALSE)</f>
        <v>#N/A</v>
      </c>
    </row>
    <row r="960" spans="2:11" x14ac:dyDescent="0.25">
      <c r="B960">
        <v>342257</v>
      </c>
      <c r="C960" t="s">
        <v>25</v>
      </c>
      <c r="D960">
        <v>193</v>
      </c>
      <c r="E960" t="s">
        <v>331</v>
      </c>
      <c r="F960" t="s">
        <v>257</v>
      </c>
      <c r="G960" t="s">
        <v>13</v>
      </c>
      <c r="H960" t="s">
        <v>14</v>
      </c>
      <c r="J960" t="s">
        <v>15</v>
      </c>
      <c r="K960" s="1" t="e">
        <f>VLOOKUP(I960,'[1]PC50 Y2018 Status'!$D:$H,5,FALSE)</f>
        <v>#N/A</v>
      </c>
    </row>
    <row r="961" spans="2:11" x14ac:dyDescent="0.25">
      <c r="B961">
        <v>347637</v>
      </c>
      <c r="C961" t="s">
        <v>27</v>
      </c>
      <c r="D961">
        <v>51</v>
      </c>
      <c r="E961" t="s">
        <v>331</v>
      </c>
      <c r="F961" t="s">
        <v>257</v>
      </c>
      <c r="G961" t="s">
        <v>13</v>
      </c>
      <c r="H961" t="s">
        <v>14</v>
      </c>
      <c r="J961" t="s">
        <v>15</v>
      </c>
      <c r="K961" s="1" t="e">
        <f>VLOOKUP(I961,'[1]PC50 Y2018 Status'!$D:$H,5,FALSE)</f>
        <v>#N/A</v>
      </c>
    </row>
    <row r="962" spans="2:11" x14ac:dyDescent="0.25">
      <c r="B962">
        <v>347638</v>
      </c>
      <c r="C962" t="s">
        <v>16</v>
      </c>
      <c r="D962">
        <v>26</v>
      </c>
      <c r="E962" t="s">
        <v>331</v>
      </c>
      <c r="F962" t="s">
        <v>257</v>
      </c>
      <c r="G962" t="s">
        <v>13</v>
      </c>
      <c r="H962" t="s">
        <v>14</v>
      </c>
      <c r="J962" t="s">
        <v>15</v>
      </c>
      <c r="K962" s="1" t="e">
        <f>VLOOKUP(I962,'[1]PC50 Y2018 Status'!$D:$H,5,FALSE)</f>
        <v>#N/A</v>
      </c>
    </row>
    <row r="963" spans="2:11" x14ac:dyDescent="0.25">
      <c r="B963">
        <v>610000004132</v>
      </c>
      <c r="C963" t="s">
        <v>61</v>
      </c>
      <c r="D963">
        <v>26</v>
      </c>
      <c r="E963" t="s">
        <v>332</v>
      </c>
      <c r="F963" t="s">
        <v>257</v>
      </c>
      <c r="G963" t="s">
        <v>13</v>
      </c>
      <c r="H963" t="s">
        <v>14</v>
      </c>
      <c r="J963" t="s">
        <v>22</v>
      </c>
      <c r="K963" s="1" t="e">
        <f>VLOOKUP(I963,'[1]PC50 Y2018 Status'!$D:$H,5,FALSE)</f>
        <v>#N/A</v>
      </c>
    </row>
    <row r="964" spans="2:11" x14ac:dyDescent="0.25">
      <c r="B964">
        <v>610000004025</v>
      </c>
      <c r="C964" t="s">
        <v>44</v>
      </c>
      <c r="D964">
        <v>107</v>
      </c>
      <c r="E964" t="s">
        <v>333</v>
      </c>
      <c r="F964" t="s">
        <v>257</v>
      </c>
      <c r="G964" t="s">
        <v>13</v>
      </c>
      <c r="H964" t="s">
        <v>14</v>
      </c>
      <c r="J964" t="s">
        <v>15</v>
      </c>
      <c r="K964" s="1" t="e">
        <f>VLOOKUP(I964,'[1]PC50 Y2018 Status'!$D:$H,5,FALSE)</f>
        <v>#N/A</v>
      </c>
    </row>
    <row r="965" spans="2:11" x14ac:dyDescent="0.25">
      <c r="B965">
        <v>610000004097</v>
      </c>
      <c r="C965" t="s">
        <v>93</v>
      </c>
      <c r="D965">
        <v>27</v>
      </c>
      <c r="E965" t="s">
        <v>333</v>
      </c>
      <c r="F965" t="s">
        <v>257</v>
      </c>
      <c r="G965" t="s">
        <v>13</v>
      </c>
      <c r="H965" t="s">
        <v>14</v>
      </c>
      <c r="J965" t="s">
        <v>22</v>
      </c>
      <c r="K965" s="1" t="e">
        <f>VLOOKUP(I965,'[1]PC50 Y2018 Status'!$D:$H,5,FALSE)</f>
        <v>#N/A</v>
      </c>
    </row>
    <row r="966" spans="2:11" x14ac:dyDescent="0.25">
      <c r="B966">
        <v>610000004026</v>
      </c>
      <c r="C966" t="s">
        <v>44</v>
      </c>
      <c r="D966">
        <v>53</v>
      </c>
      <c r="E966" t="s">
        <v>334</v>
      </c>
      <c r="F966" t="s">
        <v>257</v>
      </c>
      <c r="G966" t="s">
        <v>13</v>
      </c>
      <c r="H966" t="s">
        <v>14</v>
      </c>
      <c r="J966" t="s">
        <v>15</v>
      </c>
      <c r="K966" s="1" t="e">
        <f>VLOOKUP(I966,'[1]PC50 Y2018 Status'!$D:$H,5,FALSE)</f>
        <v>#N/A</v>
      </c>
    </row>
    <row r="967" spans="2:11" x14ac:dyDescent="0.25">
      <c r="B967">
        <v>610000004028</v>
      </c>
      <c r="C967" t="s">
        <v>44</v>
      </c>
      <c r="D967">
        <v>51</v>
      </c>
      <c r="E967" t="s">
        <v>334</v>
      </c>
      <c r="F967" t="s">
        <v>257</v>
      </c>
      <c r="G967" t="s">
        <v>13</v>
      </c>
      <c r="H967" t="s">
        <v>14</v>
      </c>
      <c r="J967" t="s">
        <v>15</v>
      </c>
      <c r="K967" s="1" t="e">
        <f>VLOOKUP(I967,'[1]PC50 Y2018 Status'!$D:$H,5,FALSE)</f>
        <v>#N/A</v>
      </c>
    </row>
    <row r="968" spans="2:11" x14ac:dyDescent="0.25">
      <c r="B968">
        <v>610000004061</v>
      </c>
      <c r="C968" t="s">
        <v>64</v>
      </c>
      <c r="D968">
        <v>53</v>
      </c>
      <c r="E968" t="s">
        <v>334</v>
      </c>
      <c r="F968" t="s">
        <v>257</v>
      </c>
      <c r="G968" t="s">
        <v>13</v>
      </c>
      <c r="H968" t="s">
        <v>14</v>
      </c>
      <c r="J968" t="s">
        <v>15</v>
      </c>
      <c r="K968" s="1" t="e">
        <f>VLOOKUP(I968,'[1]PC50 Y2018 Status'!$D:$H,5,FALSE)</f>
        <v>#N/A</v>
      </c>
    </row>
    <row r="969" spans="2:11" x14ac:dyDescent="0.25">
      <c r="B969">
        <v>610000004062</v>
      </c>
      <c r="C969" t="s">
        <v>64</v>
      </c>
      <c r="D969">
        <v>53</v>
      </c>
      <c r="E969" t="s">
        <v>334</v>
      </c>
      <c r="F969" t="s">
        <v>257</v>
      </c>
      <c r="G969" t="s">
        <v>13</v>
      </c>
      <c r="H969" t="s">
        <v>14</v>
      </c>
      <c r="J969" t="s">
        <v>15</v>
      </c>
      <c r="K969" s="1" t="e">
        <f>VLOOKUP(I969,'[1]PC50 Y2018 Status'!$D:$H,5,FALSE)</f>
        <v>#N/A</v>
      </c>
    </row>
    <row r="970" spans="2:11" x14ac:dyDescent="0.25">
      <c r="B970">
        <v>610000004063</v>
      </c>
      <c r="C970" t="s">
        <v>64</v>
      </c>
      <c r="D970">
        <v>51</v>
      </c>
      <c r="E970" t="s">
        <v>334</v>
      </c>
      <c r="F970" t="s">
        <v>257</v>
      </c>
      <c r="G970" t="s">
        <v>13</v>
      </c>
      <c r="H970" t="s">
        <v>14</v>
      </c>
      <c r="J970" t="s">
        <v>15</v>
      </c>
      <c r="K970" s="1" t="e">
        <f>VLOOKUP(I970,'[1]PC50 Y2018 Status'!$D:$H,5,FALSE)</f>
        <v>#N/A</v>
      </c>
    </row>
    <row r="971" spans="2:11" x14ac:dyDescent="0.25">
      <c r="B971">
        <v>610000004064</v>
      </c>
      <c r="C971" t="s">
        <v>64</v>
      </c>
      <c r="D971">
        <v>51</v>
      </c>
      <c r="E971" t="s">
        <v>334</v>
      </c>
      <c r="F971" t="s">
        <v>257</v>
      </c>
      <c r="G971" t="s">
        <v>13</v>
      </c>
      <c r="H971" t="s">
        <v>14</v>
      </c>
      <c r="J971" t="s">
        <v>15</v>
      </c>
      <c r="K971" s="1" t="e">
        <f>VLOOKUP(I971,'[1]PC50 Y2018 Status'!$D:$H,5,FALSE)</f>
        <v>#N/A</v>
      </c>
    </row>
    <row r="972" spans="2:11" x14ac:dyDescent="0.25">
      <c r="B972">
        <v>610000004071</v>
      </c>
      <c r="C972" t="s">
        <v>70</v>
      </c>
      <c r="D972">
        <v>63</v>
      </c>
      <c r="E972" t="s">
        <v>334</v>
      </c>
      <c r="F972" t="s">
        <v>257</v>
      </c>
      <c r="G972" t="s">
        <v>13</v>
      </c>
      <c r="H972" t="s">
        <v>14</v>
      </c>
      <c r="J972" t="s">
        <v>15</v>
      </c>
      <c r="K972" s="1" t="e">
        <f>VLOOKUP(I972,'[1]PC50 Y2018 Status'!$D:$H,5,FALSE)</f>
        <v>#N/A</v>
      </c>
    </row>
    <row r="973" spans="2:11" x14ac:dyDescent="0.25">
      <c r="B973">
        <v>610000004072</v>
      </c>
      <c r="C973" t="s">
        <v>70</v>
      </c>
      <c r="D973">
        <v>51</v>
      </c>
      <c r="E973" t="s">
        <v>334</v>
      </c>
      <c r="F973" t="s">
        <v>257</v>
      </c>
      <c r="G973" t="s">
        <v>13</v>
      </c>
      <c r="H973" t="s">
        <v>14</v>
      </c>
      <c r="J973" t="s">
        <v>15</v>
      </c>
      <c r="K973" s="1" t="e">
        <f>VLOOKUP(I973,'[1]PC50 Y2018 Status'!$D:$H,5,FALSE)</f>
        <v>#N/A</v>
      </c>
    </row>
    <row r="974" spans="2:11" x14ac:dyDescent="0.25">
      <c r="B974">
        <v>610000004073</v>
      </c>
      <c r="C974" t="s">
        <v>70</v>
      </c>
      <c r="D974">
        <v>50</v>
      </c>
      <c r="E974" t="s">
        <v>334</v>
      </c>
      <c r="F974" t="s">
        <v>257</v>
      </c>
      <c r="G974" t="s">
        <v>13</v>
      </c>
      <c r="H974" t="s">
        <v>14</v>
      </c>
      <c r="J974" t="s">
        <v>15</v>
      </c>
      <c r="K974" s="1" t="e">
        <f>VLOOKUP(I974,'[1]PC50 Y2018 Status'!$D:$H,5,FALSE)</f>
        <v>#N/A</v>
      </c>
    </row>
    <row r="975" spans="2:11" x14ac:dyDescent="0.25">
      <c r="B975">
        <v>610000004078</v>
      </c>
      <c r="C975" t="s">
        <v>71</v>
      </c>
      <c r="D975">
        <v>51</v>
      </c>
      <c r="E975" t="s">
        <v>334</v>
      </c>
      <c r="F975" t="s">
        <v>257</v>
      </c>
      <c r="G975" t="s">
        <v>13</v>
      </c>
      <c r="H975" t="s">
        <v>14</v>
      </c>
      <c r="J975" t="s">
        <v>15</v>
      </c>
      <c r="K975" s="1" t="e">
        <f>VLOOKUP(I975,'[1]PC50 Y2018 Status'!$D:$H,5,FALSE)</f>
        <v>#N/A</v>
      </c>
    </row>
    <row r="976" spans="2:11" x14ac:dyDescent="0.25">
      <c r="B976">
        <v>610000004113</v>
      </c>
      <c r="C976" t="s">
        <v>78</v>
      </c>
      <c r="D976">
        <v>27</v>
      </c>
      <c r="E976" t="s">
        <v>334</v>
      </c>
      <c r="F976" t="s">
        <v>257</v>
      </c>
      <c r="G976" t="s">
        <v>13</v>
      </c>
      <c r="H976" t="s">
        <v>14</v>
      </c>
      <c r="J976" t="s">
        <v>22</v>
      </c>
      <c r="K976" s="1" t="e">
        <f>VLOOKUP(I976,'[1]PC50 Y2018 Status'!$D:$H,5,FALSE)</f>
        <v>#N/A</v>
      </c>
    </row>
    <row r="977" spans="2:11" x14ac:dyDescent="0.25">
      <c r="B977">
        <v>610000004175</v>
      </c>
      <c r="C977" t="s">
        <v>34</v>
      </c>
      <c r="D977">
        <v>113</v>
      </c>
      <c r="E977" t="s">
        <v>334</v>
      </c>
      <c r="F977" t="s">
        <v>257</v>
      </c>
      <c r="G977" t="s">
        <v>13</v>
      </c>
      <c r="H977" t="s">
        <v>14</v>
      </c>
      <c r="J977" t="s">
        <v>22</v>
      </c>
      <c r="K977" s="1" t="e">
        <f>VLOOKUP(I977,'[1]PC50 Y2018 Status'!$D:$H,5,FALSE)</f>
        <v>#N/A</v>
      </c>
    </row>
    <row r="978" spans="2:11" x14ac:dyDescent="0.25">
      <c r="B978">
        <v>610000004069</v>
      </c>
      <c r="C978" t="s">
        <v>35</v>
      </c>
      <c r="D978">
        <v>114</v>
      </c>
      <c r="E978" t="s">
        <v>335</v>
      </c>
      <c r="F978" t="s">
        <v>257</v>
      </c>
      <c r="G978" t="s">
        <v>13</v>
      </c>
      <c r="H978" t="s">
        <v>14</v>
      </c>
      <c r="J978" t="s">
        <v>15</v>
      </c>
      <c r="K978" s="1" t="e">
        <f>VLOOKUP(I978,'[1]PC50 Y2018 Status'!$D:$H,5,FALSE)</f>
        <v>#N/A</v>
      </c>
    </row>
    <row r="979" spans="2:11" x14ac:dyDescent="0.25">
      <c r="B979">
        <v>610000004070</v>
      </c>
      <c r="C979" t="s">
        <v>35</v>
      </c>
      <c r="D979">
        <v>114</v>
      </c>
      <c r="E979" t="s">
        <v>335</v>
      </c>
      <c r="F979" t="s">
        <v>257</v>
      </c>
      <c r="G979" t="s">
        <v>13</v>
      </c>
      <c r="H979" t="s">
        <v>14</v>
      </c>
      <c r="J979" t="s">
        <v>15</v>
      </c>
      <c r="K979" s="1" t="e">
        <f>VLOOKUP(I979,'[1]PC50 Y2018 Status'!$D:$H,5,FALSE)</f>
        <v>#N/A</v>
      </c>
    </row>
    <row r="980" spans="2:11" x14ac:dyDescent="0.25">
      <c r="B980">
        <v>342694</v>
      </c>
      <c r="C980" t="s">
        <v>32</v>
      </c>
      <c r="D980">
        <v>37</v>
      </c>
      <c r="E980" t="s">
        <v>336</v>
      </c>
      <c r="F980" t="s">
        <v>257</v>
      </c>
      <c r="G980" t="s">
        <v>13</v>
      </c>
      <c r="H980" t="s">
        <v>14</v>
      </c>
      <c r="J980" t="s">
        <v>15</v>
      </c>
      <c r="K980" s="1" t="e">
        <f>VLOOKUP(I980,'[1]PC50 Y2018 Status'!$D:$H,5,FALSE)</f>
        <v>#N/A</v>
      </c>
    </row>
    <row r="981" spans="2:11" x14ac:dyDescent="0.25">
      <c r="B981">
        <v>350834</v>
      </c>
      <c r="C981" t="s">
        <v>64</v>
      </c>
      <c r="D981">
        <v>5</v>
      </c>
      <c r="E981" t="s">
        <v>336</v>
      </c>
      <c r="F981" t="s">
        <v>257</v>
      </c>
      <c r="G981" t="s">
        <v>13</v>
      </c>
      <c r="H981" t="s">
        <v>14</v>
      </c>
      <c r="J981" t="s">
        <v>15</v>
      </c>
      <c r="K981" s="1" t="e">
        <f>VLOOKUP(I981,'[1]PC50 Y2018 Status'!$D:$H,5,FALSE)</f>
        <v>#N/A</v>
      </c>
    </row>
    <row r="982" spans="2:11" x14ac:dyDescent="0.25">
      <c r="B982">
        <v>610000004021</v>
      </c>
      <c r="C982" t="s">
        <v>10</v>
      </c>
      <c r="D982">
        <v>107</v>
      </c>
      <c r="E982" t="s">
        <v>336</v>
      </c>
      <c r="F982" t="s">
        <v>257</v>
      </c>
      <c r="G982" t="s">
        <v>13</v>
      </c>
      <c r="H982" t="s">
        <v>14</v>
      </c>
      <c r="J982" t="s">
        <v>15</v>
      </c>
      <c r="K982" s="1" t="e">
        <f>VLOOKUP(I982,'[1]PC50 Y2018 Status'!$D:$H,5,FALSE)</f>
        <v>#N/A</v>
      </c>
    </row>
    <row r="983" spans="2:11" x14ac:dyDescent="0.25">
      <c r="B983">
        <v>610000004022</v>
      </c>
      <c r="C983" t="s">
        <v>10</v>
      </c>
      <c r="D983">
        <v>51</v>
      </c>
      <c r="E983" t="s">
        <v>336</v>
      </c>
      <c r="F983" t="s">
        <v>257</v>
      </c>
      <c r="G983" t="s">
        <v>13</v>
      </c>
      <c r="H983" t="s">
        <v>14</v>
      </c>
      <c r="J983" t="s">
        <v>15</v>
      </c>
      <c r="K983" s="1" t="e">
        <f>VLOOKUP(I983,'[1]PC50 Y2018 Status'!$D:$H,5,FALSE)</f>
        <v>#N/A</v>
      </c>
    </row>
    <row r="984" spans="2:11" x14ac:dyDescent="0.25">
      <c r="B984">
        <v>610000004027</v>
      </c>
      <c r="C984" t="s">
        <v>44</v>
      </c>
      <c r="D984">
        <v>53</v>
      </c>
      <c r="E984" t="s">
        <v>336</v>
      </c>
      <c r="F984" t="s">
        <v>257</v>
      </c>
      <c r="G984" t="s">
        <v>13</v>
      </c>
      <c r="H984" t="s">
        <v>14</v>
      </c>
      <c r="J984" t="s">
        <v>15</v>
      </c>
      <c r="K984" s="1" t="e">
        <f>VLOOKUP(I984,'[1]PC50 Y2018 Status'!$D:$H,5,FALSE)</f>
        <v>#N/A</v>
      </c>
    </row>
    <row r="985" spans="2:11" x14ac:dyDescent="0.25">
      <c r="B985">
        <v>610000004033</v>
      </c>
      <c r="C985" t="s">
        <v>32</v>
      </c>
      <c r="D985">
        <v>50</v>
      </c>
      <c r="E985" t="s">
        <v>336</v>
      </c>
      <c r="F985" t="s">
        <v>257</v>
      </c>
      <c r="G985" t="s">
        <v>13</v>
      </c>
      <c r="H985" t="s">
        <v>14</v>
      </c>
      <c r="J985" t="s">
        <v>15</v>
      </c>
      <c r="K985" s="1" t="e">
        <f>VLOOKUP(I985,'[1]PC50 Y2018 Status'!$D:$H,5,FALSE)</f>
        <v>#N/A</v>
      </c>
    </row>
    <row r="986" spans="2:11" x14ac:dyDescent="0.25">
      <c r="B986">
        <v>610000004053</v>
      </c>
      <c r="C986" t="s">
        <v>46</v>
      </c>
      <c r="D986">
        <v>52</v>
      </c>
      <c r="E986" t="s">
        <v>336</v>
      </c>
      <c r="F986" t="s">
        <v>257</v>
      </c>
      <c r="G986" t="s">
        <v>13</v>
      </c>
      <c r="H986" t="s">
        <v>14</v>
      </c>
      <c r="J986" t="s">
        <v>15</v>
      </c>
      <c r="K986" s="1" t="e">
        <f>VLOOKUP(I986,'[1]PC50 Y2018 Status'!$D:$H,5,FALSE)</f>
        <v>#N/A</v>
      </c>
    </row>
    <row r="987" spans="2:11" x14ac:dyDescent="0.25">
      <c r="B987">
        <v>610000004054</v>
      </c>
      <c r="C987" t="s">
        <v>46</v>
      </c>
      <c r="D987">
        <v>52</v>
      </c>
      <c r="E987" t="s">
        <v>336</v>
      </c>
      <c r="F987" t="s">
        <v>257</v>
      </c>
      <c r="G987" t="s">
        <v>13</v>
      </c>
      <c r="H987" t="s">
        <v>14</v>
      </c>
      <c r="J987" t="s">
        <v>15</v>
      </c>
      <c r="K987" s="1" t="e">
        <f>VLOOKUP(I987,'[1]PC50 Y2018 Status'!$D:$H,5,FALSE)</f>
        <v>#N/A</v>
      </c>
    </row>
    <row r="988" spans="2:11" x14ac:dyDescent="0.25">
      <c r="B988">
        <v>610000004068</v>
      </c>
      <c r="C988" t="s">
        <v>24</v>
      </c>
      <c r="D988">
        <v>229</v>
      </c>
      <c r="E988" t="s">
        <v>336</v>
      </c>
      <c r="F988" t="s">
        <v>257</v>
      </c>
      <c r="G988" t="s">
        <v>13</v>
      </c>
      <c r="H988" t="s">
        <v>14</v>
      </c>
      <c r="J988" t="s">
        <v>15</v>
      </c>
      <c r="K988" s="1" t="e">
        <f>VLOOKUP(I988,'[1]PC50 Y2018 Status'!$D:$H,5,FALSE)</f>
        <v>#N/A</v>
      </c>
    </row>
    <row r="989" spans="2:11" x14ac:dyDescent="0.25">
      <c r="B989">
        <v>610000004077</v>
      </c>
      <c r="C989" t="s">
        <v>39</v>
      </c>
      <c r="D989">
        <v>114</v>
      </c>
      <c r="E989" t="s">
        <v>336</v>
      </c>
      <c r="F989" t="s">
        <v>257</v>
      </c>
      <c r="G989" t="s">
        <v>13</v>
      </c>
      <c r="H989" t="s">
        <v>14</v>
      </c>
      <c r="J989" t="s">
        <v>15</v>
      </c>
      <c r="K989" s="1" t="e">
        <f>VLOOKUP(I989,'[1]PC50 Y2018 Status'!$D:$H,5,FALSE)</f>
        <v>#N/A</v>
      </c>
    </row>
    <row r="990" spans="2:11" x14ac:dyDescent="0.25">
      <c r="B990">
        <v>610000004079</v>
      </c>
      <c r="C990" t="s">
        <v>71</v>
      </c>
      <c r="D990">
        <v>51</v>
      </c>
      <c r="E990" t="s">
        <v>336</v>
      </c>
      <c r="F990" t="s">
        <v>257</v>
      </c>
      <c r="G990" t="s">
        <v>13</v>
      </c>
      <c r="H990" t="s">
        <v>14</v>
      </c>
      <c r="J990" t="s">
        <v>15</v>
      </c>
      <c r="K990" s="1" t="e">
        <f>VLOOKUP(I990,'[1]PC50 Y2018 Status'!$D:$H,5,FALSE)</f>
        <v>#N/A</v>
      </c>
    </row>
    <row r="991" spans="2:11" x14ac:dyDescent="0.25">
      <c r="B991">
        <v>610000004080</v>
      </c>
      <c r="C991" t="s">
        <v>71</v>
      </c>
      <c r="D991">
        <v>52</v>
      </c>
      <c r="E991" t="s">
        <v>336</v>
      </c>
      <c r="F991" t="s">
        <v>257</v>
      </c>
      <c r="G991" t="s">
        <v>13</v>
      </c>
      <c r="H991" t="s">
        <v>14</v>
      </c>
      <c r="J991" t="s">
        <v>15</v>
      </c>
      <c r="K991" s="1" t="e">
        <f>VLOOKUP(I991,'[1]PC50 Y2018 Status'!$D:$H,5,FALSE)</f>
        <v>#N/A</v>
      </c>
    </row>
    <row r="992" spans="2:11" x14ac:dyDescent="0.25">
      <c r="B992">
        <v>610000004085</v>
      </c>
      <c r="C992" t="s">
        <v>18</v>
      </c>
      <c r="D992">
        <v>114</v>
      </c>
      <c r="E992" t="s">
        <v>336</v>
      </c>
      <c r="F992" t="s">
        <v>257</v>
      </c>
      <c r="G992" t="s">
        <v>13</v>
      </c>
      <c r="H992" t="s">
        <v>14</v>
      </c>
      <c r="J992" t="s">
        <v>15</v>
      </c>
      <c r="K992" s="1" t="e">
        <f>VLOOKUP(I992,'[1]PC50 Y2018 Status'!$D:$H,5,FALSE)</f>
        <v>#N/A</v>
      </c>
    </row>
    <row r="993" spans="2:11" x14ac:dyDescent="0.25">
      <c r="B993">
        <v>610000004086</v>
      </c>
      <c r="C993" t="s">
        <v>18</v>
      </c>
      <c r="D993">
        <v>114</v>
      </c>
      <c r="E993" t="s">
        <v>336</v>
      </c>
      <c r="F993" t="s">
        <v>257</v>
      </c>
      <c r="G993" t="s">
        <v>13</v>
      </c>
      <c r="H993" t="s">
        <v>14</v>
      </c>
      <c r="J993" t="s">
        <v>15</v>
      </c>
      <c r="K993" s="1" t="e">
        <f>VLOOKUP(I993,'[1]PC50 Y2018 Status'!$D:$H,5,FALSE)</f>
        <v>#N/A</v>
      </c>
    </row>
    <row r="994" spans="2:11" x14ac:dyDescent="0.25">
      <c r="B994">
        <v>610000004087</v>
      </c>
      <c r="C994" t="s">
        <v>72</v>
      </c>
      <c r="D994">
        <v>50</v>
      </c>
      <c r="E994" t="s">
        <v>336</v>
      </c>
      <c r="F994" t="s">
        <v>257</v>
      </c>
      <c r="G994" t="s">
        <v>13</v>
      </c>
      <c r="H994" t="s">
        <v>14</v>
      </c>
      <c r="J994" t="s">
        <v>15</v>
      </c>
      <c r="K994" s="1" t="e">
        <f>VLOOKUP(I994,'[1]PC50 Y2018 Status'!$D:$H,5,FALSE)</f>
        <v>#N/A</v>
      </c>
    </row>
    <row r="995" spans="2:11" x14ac:dyDescent="0.25">
      <c r="B995">
        <v>610000004088</v>
      </c>
      <c r="C995" t="s">
        <v>72</v>
      </c>
      <c r="D995">
        <v>50</v>
      </c>
      <c r="E995" t="s">
        <v>336</v>
      </c>
      <c r="F995" t="s">
        <v>257</v>
      </c>
      <c r="G995" t="s">
        <v>13</v>
      </c>
      <c r="H995" t="s">
        <v>14</v>
      </c>
      <c r="J995" t="s">
        <v>15</v>
      </c>
      <c r="K995" s="1" t="e">
        <f>VLOOKUP(I995,'[1]PC50 Y2018 Status'!$D:$H,5,FALSE)</f>
        <v>#N/A</v>
      </c>
    </row>
    <row r="996" spans="2:11" x14ac:dyDescent="0.25">
      <c r="B996">
        <v>610000004092</v>
      </c>
      <c r="C996" t="s">
        <v>73</v>
      </c>
      <c r="D996">
        <v>50</v>
      </c>
      <c r="E996" t="s">
        <v>336</v>
      </c>
      <c r="F996" t="s">
        <v>257</v>
      </c>
      <c r="G996" t="s">
        <v>13</v>
      </c>
      <c r="H996" t="s">
        <v>14</v>
      </c>
      <c r="J996" t="s">
        <v>15</v>
      </c>
      <c r="K996" s="1" t="e">
        <f>VLOOKUP(I996,'[1]PC50 Y2018 Status'!$D:$H,5,FALSE)</f>
        <v>#N/A</v>
      </c>
    </row>
    <row r="997" spans="2:11" x14ac:dyDescent="0.25">
      <c r="B997">
        <v>610000004091</v>
      </c>
      <c r="C997" t="s">
        <v>47</v>
      </c>
      <c r="D997">
        <v>113</v>
      </c>
      <c r="E997" t="s">
        <v>337</v>
      </c>
      <c r="F997" t="s">
        <v>257</v>
      </c>
      <c r="G997" t="s">
        <v>13</v>
      </c>
      <c r="H997" t="s">
        <v>14</v>
      </c>
      <c r="J997" t="s">
        <v>15</v>
      </c>
      <c r="K997" s="1" t="e">
        <f>VLOOKUP(I997,'[1]PC50 Y2018 Status'!$D:$H,5,FALSE)</f>
        <v>#N/A</v>
      </c>
    </row>
    <row r="998" spans="2:11" x14ac:dyDescent="0.25">
      <c r="B998">
        <v>610000004161</v>
      </c>
      <c r="C998" t="s">
        <v>48</v>
      </c>
      <c r="D998">
        <v>115</v>
      </c>
      <c r="E998" t="s">
        <v>337</v>
      </c>
      <c r="F998" t="s">
        <v>257</v>
      </c>
      <c r="G998" t="s">
        <v>13</v>
      </c>
      <c r="H998" t="s">
        <v>14</v>
      </c>
      <c r="J998" t="s">
        <v>22</v>
      </c>
      <c r="K998" s="1" t="e">
        <f>VLOOKUP(I998,'[1]PC50 Y2018 Status'!$D:$H,5,FALSE)</f>
        <v>#N/A</v>
      </c>
    </row>
    <row r="999" spans="2:11" x14ac:dyDescent="0.25">
      <c r="B999">
        <v>342257</v>
      </c>
      <c r="C999" t="s">
        <v>25</v>
      </c>
      <c r="D999">
        <v>194</v>
      </c>
      <c r="E999" t="s">
        <v>338</v>
      </c>
      <c r="F999" t="s">
        <v>257</v>
      </c>
      <c r="G999" t="s">
        <v>13</v>
      </c>
      <c r="H999" t="s">
        <v>14</v>
      </c>
      <c r="J999" t="s">
        <v>15</v>
      </c>
      <c r="K999" s="1" t="e">
        <f>VLOOKUP(I999,'[1]PC50 Y2018 Status'!$D:$H,5,FALSE)</f>
        <v>#N/A</v>
      </c>
    </row>
    <row r="1000" spans="2:11" x14ac:dyDescent="0.25">
      <c r="B1000">
        <v>342595</v>
      </c>
      <c r="C1000" t="s">
        <v>137</v>
      </c>
      <c r="D1000">
        <v>14</v>
      </c>
      <c r="E1000" t="s">
        <v>338</v>
      </c>
      <c r="F1000" t="s">
        <v>257</v>
      </c>
      <c r="G1000" t="s">
        <v>13</v>
      </c>
      <c r="H1000" t="s">
        <v>14</v>
      </c>
      <c r="J1000" t="s">
        <v>15</v>
      </c>
      <c r="K1000" s="1" t="e">
        <f>VLOOKUP(I1000,'[1]PC50 Y2018 Status'!$D:$H,5,FALSE)</f>
        <v>#N/A</v>
      </c>
    </row>
    <row r="1001" spans="2:11" x14ac:dyDescent="0.25">
      <c r="B1001">
        <v>347637</v>
      </c>
      <c r="C1001" t="s">
        <v>27</v>
      </c>
      <c r="D1001">
        <v>52</v>
      </c>
      <c r="E1001" t="s">
        <v>338</v>
      </c>
      <c r="F1001" t="s">
        <v>257</v>
      </c>
      <c r="G1001" t="s">
        <v>13</v>
      </c>
      <c r="H1001" t="s">
        <v>14</v>
      </c>
      <c r="J1001" t="s">
        <v>15</v>
      </c>
      <c r="K1001" s="1" t="e">
        <f>VLOOKUP(I1001,'[1]PC50 Y2018 Status'!$D:$H,5,FALSE)</f>
        <v>#N/A</v>
      </c>
    </row>
    <row r="1002" spans="2:11" x14ac:dyDescent="0.25">
      <c r="B1002">
        <v>610000004048</v>
      </c>
      <c r="C1002" t="s">
        <v>207</v>
      </c>
      <c r="D1002">
        <v>5</v>
      </c>
      <c r="E1002" t="s">
        <v>338</v>
      </c>
      <c r="F1002" t="s">
        <v>257</v>
      </c>
      <c r="G1002" t="s">
        <v>13</v>
      </c>
      <c r="H1002" t="s">
        <v>14</v>
      </c>
      <c r="J1002" t="s">
        <v>15</v>
      </c>
      <c r="K1002" s="1" t="e">
        <f>VLOOKUP(I1002,'[1]PC50 Y2018 Status'!$D:$H,5,FALSE)</f>
        <v>#N/A</v>
      </c>
    </row>
    <row r="1003" spans="2:11" x14ac:dyDescent="0.25">
      <c r="B1003">
        <v>610000004065</v>
      </c>
      <c r="C1003" t="s">
        <v>150</v>
      </c>
      <c r="D1003">
        <v>18</v>
      </c>
      <c r="E1003" t="s">
        <v>338</v>
      </c>
      <c r="F1003" t="s">
        <v>257</v>
      </c>
      <c r="G1003" t="s">
        <v>13</v>
      </c>
      <c r="H1003" t="s">
        <v>14</v>
      </c>
      <c r="J1003" t="s">
        <v>15</v>
      </c>
      <c r="K1003" s="1" t="e">
        <f>VLOOKUP(I1003,'[1]PC50 Y2018 Status'!$D:$H,5,FALSE)</f>
        <v>#N/A</v>
      </c>
    </row>
    <row r="1004" spans="2:11" x14ac:dyDescent="0.25">
      <c r="B1004">
        <v>610000004096</v>
      </c>
      <c r="C1004" t="s">
        <v>93</v>
      </c>
      <c r="D1004">
        <v>40</v>
      </c>
      <c r="E1004" t="s">
        <v>338</v>
      </c>
      <c r="F1004" t="s">
        <v>257</v>
      </c>
      <c r="G1004" t="s">
        <v>13</v>
      </c>
      <c r="H1004" t="s">
        <v>14</v>
      </c>
      <c r="J1004" t="s">
        <v>22</v>
      </c>
      <c r="K1004" s="1" t="e">
        <f>VLOOKUP(I1004,'[1]PC50 Y2018 Status'!$D:$H,5,FALSE)</f>
        <v>#N/A</v>
      </c>
    </row>
    <row r="1005" spans="2:11" x14ac:dyDescent="0.25">
      <c r="B1005">
        <v>610000004116</v>
      </c>
      <c r="C1005" t="s">
        <v>78</v>
      </c>
      <c r="D1005">
        <v>27</v>
      </c>
      <c r="E1005" t="s">
        <v>338</v>
      </c>
      <c r="F1005" t="s">
        <v>257</v>
      </c>
      <c r="G1005" t="s">
        <v>13</v>
      </c>
      <c r="H1005" t="s">
        <v>14</v>
      </c>
      <c r="J1005" t="s">
        <v>22</v>
      </c>
      <c r="K1005" s="1" t="e">
        <f>VLOOKUP(I1005,'[1]PC50 Y2018 Status'!$D:$H,5,FALSE)</f>
        <v>#N/A</v>
      </c>
    </row>
    <row r="1006" spans="2:11" x14ac:dyDescent="0.25">
      <c r="B1006">
        <v>610000004050</v>
      </c>
      <c r="C1006" t="s">
        <v>17</v>
      </c>
      <c r="D1006">
        <v>114</v>
      </c>
      <c r="E1006" t="s">
        <v>339</v>
      </c>
      <c r="F1006" t="s">
        <v>257</v>
      </c>
      <c r="G1006" t="s">
        <v>13</v>
      </c>
      <c r="H1006" t="s">
        <v>14</v>
      </c>
      <c r="J1006" t="s">
        <v>15</v>
      </c>
      <c r="K1006" s="1" t="e">
        <f>VLOOKUP(I1006,'[1]PC50 Y2018 Status'!$D:$H,5,FALSE)</f>
        <v>#N/A</v>
      </c>
    </row>
    <row r="1007" spans="2:11" x14ac:dyDescent="0.25">
      <c r="B1007">
        <v>610000004095</v>
      </c>
      <c r="C1007" t="s">
        <v>40</v>
      </c>
      <c r="D1007">
        <v>55</v>
      </c>
      <c r="E1007" t="s">
        <v>340</v>
      </c>
      <c r="F1007" t="s">
        <v>257</v>
      </c>
      <c r="G1007" t="s">
        <v>13</v>
      </c>
      <c r="H1007" t="s">
        <v>14</v>
      </c>
      <c r="J1007" t="s">
        <v>22</v>
      </c>
      <c r="K1007" s="1" t="e">
        <f>VLOOKUP(I1007,'[1]PC50 Y2018 Status'!$D:$H,5,FALSE)</f>
        <v>#N/A</v>
      </c>
    </row>
    <row r="1008" spans="2:11" x14ac:dyDescent="0.25">
      <c r="B1008">
        <v>610000004146</v>
      </c>
      <c r="C1008" t="s">
        <v>41</v>
      </c>
      <c r="D1008">
        <v>18</v>
      </c>
      <c r="E1008" t="s">
        <v>340</v>
      </c>
      <c r="F1008" t="s">
        <v>257</v>
      </c>
      <c r="G1008" t="s">
        <v>13</v>
      </c>
      <c r="H1008" t="s">
        <v>14</v>
      </c>
      <c r="J1008" t="s">
        <v>22</v>
      </c>
      <c r="K1008" s="1" t="e">
        <f>VLOOKUP(I1008,'[1]PC50 Y2018 Status'!$D:$H,5,FALSE)</f>
        <v>#N/A</v>
      </c>
    </row>
    <row r="1009" spans="2:11" x14ac:dyDescent="0.25">
      <c r="B1009">
        <v>610000004156</v>
      </c>
      <c r="C1009" t="s">
        <v>42</v>
      </c>
      <c r="D1009">
        <v>18</v>
      </c>
      <c r="E1009" t="s">
        <v>340</v>
      </c>
      <c r="F1009" t="s">
        <v>257</v>
      </c>
      <c r="G1009" t="s">
        <v>13</v>
      </c>
      <c r="H1009" t="s">
        <v>14</v>
      </c>
      <c r="J1009" t="s">
        <v>22</v>
      </c>
      <c r="K1009" s="1" t="e">
        <f>VLOOKUP(I1009,'[1]PC50 Y2018 Status'!$D:$H,5,FALSE)</f>
        <v>#N/A</v>
      </c>
    </row>
    <row r="1010" spans="2:11" x14ac:dyDescent="0.25">
      <c r="B1010">
        <v>610000004163</v>
      </c>
      <c r="C1010" t="s">
        <v>43</v>
      </c>
      <c r="D1010">
        <v>55</v>
      </c>
      <c r="E1010" t="s">
        <v>340</v>
      </c>
      <c r="F1010" t="s">
        <v>257</v>
      </c>
      <c r="G1010" t="s">
        <v>13</v>
      </c>
      <c r="H1010" t="s">
        <v>14</v>
      </c>
      <c r="J1010" t="s">
        <v>22</v>
      </c>
      <c r="K1010" s="1" t="e">
        <f>VLOOKUP(I1010,'[1]PC50 Y2018 Status'!$D:$H,5,FALSE)</f>
        <v>#N/A</v>
      </c>
    </row>
    <row r="1011" spans="2:11" x14ac:dyDescent="0.25">
      <c r="B1011">
        <v>610000004031</v>
      </c>
      <c r="C1011" t="s">
        <v>16</v>
      </c>
      <c r="D1011">
        <v>113</v>
      </c>
      <c r="E1011" t="s">
        <v>341</v>
      </c>
      <c r="F1011" t="s">
        <v>257</v>
      </c>
      <c r="G1011" t="s">
        <v>13</v>
      </c>
      <c r="H1011" t="s">
        <v>14</v>
      </c>
      <c r="J1011" t="s">
        <v>15</v>
      </c>
      <c r="K1011" s="1" t="e">
        <f>VLOOKUP(I1011,'[1]PC50 Y2018 Status'!$D:$H,5,FALSE)</f>
        <v>#N/A</v>
      </c>
    </row>
    <row r="1012" spans="2:11" x14ac:dyDescent="0.25">
      <c r="B1012">
        <v>610000004051</v>
      </c>
      <c r="C1012" t="s">
        <v>17</v>
      </c>
      <c r="D1012">
        <v>114</v>
      </c>
      <c r="E1012" t="s">
        <v>341</v>
      </c>
      <c r="F1012" t="s">
        <v>257</v>
      </c>
      <c r="G1012" t="s">
        <v>13</v>
      </c>
      <c r="H1012" t="s">
        <v>14</v>
      </c>
      <c r="J1012" t="s">
        <v>15</v>
      </c>
      <c r="K1012" s="1" t="e">
        <f>VLOOKUP(I1012,'[1]PC50 Y2018 Status'!$D:$H,5,FALSE)</f>
        <v>#N/A</v>
      </c>
    </row>
    <row r="1013" spans="2:11" x14ac:dyDescent="0.25">
      <c r="B1013">
        <v>342258</v>
      </c>
      <c r="C1013" t="s">
        <v>18</v>
      </c>
      <c r="D1013">
        <v>97</v>
      </c>
      <c r="E1013" t="s">
        <v>342</v>
      </c>
      <c r="F1013" t="s">
        <v>257</v>
      </c>
      <c r="G1013" t="s">
        <v>13</v>
      </c>
      <c r="H1013" t="s">
        <v>14</v>
      </c>
      <c r="J1013" t="s">
        <v>15</v>
      </c>
      <c r="K1013" s="1" t="e">
        <f>VLOOKUP(I1013,'[1]PC50 Y2018 Status'!$D:$H,5,FALSE)</f>
        <v>#N/A</v>
      </c>
    </row>
    <row r="1014" spans="2:11" x14ac:dyDescent="0.25">
      <c r="B1014">
        <v>610000004068</v>
      </c>
      <c r="C1014" t="s">
        <v>24</v>
      </c>
      <c r="D1014">
        <v>230</v>
      </c>
      <c r="E1014" t="s">
        <v>343</v>
      </c>
      <c r="F1014" t="s">
        <v>257</v>
      </c>
      <c r="G1014" t="s">
        <v>13</v>
      </c>
      <c r="H1014" t="s">
        <v>14</v>
      </c>
      <c r="J1014" t="s">
        <v>15</v>
      </c>
      <c r="K1014" s="1" t="e">
        <f>VLOOKUP(I1014,'[1]PC50 Y2018 Status'!$D:$H,5,FALSE)</f>
        <v>#N/A</v>
      </c>
    </row>
    <row r="1015" spans="2:11" x14ac:dyDescent="0.25">
      <c r="B1015">
        <v>342257</v>
      </c>
      <c r="C1015" t="s">
        <v>25</v>
      </c>
      <c r="D1015">
        <v>195</v>
      </c>
      <c r="E1015" t="s">
        <v>344</v>
      </c>
      <c r="F1015" t="s">
        <v>257</v>
      </c>
      <c r="G1015" t="s">
        <v>13</v>
      </c>
      <c r="H1015" t="s">
        <v>14</v>
      </c>
      <c r="J1015" t="s">
        <v>15</v>
      </c>
      <c r="K1015" s="1" t="e">
        <f>VLOOKUP(I1015,'[1]PC50 Y2018 Status'!$D:$H,5,FALSE)</f>
        <v>#N/A</v>
      </c>
    </row>
    <row r="1016" spans="2:11" x14ac:dyDescent="0.25">
      <c r="B1016">
        <v>347637</v>
      </c>
      <c r="C1016" t="s">
        <v>27</v>
      </c>
      <c r="D1016">
        <v>53</v>
      </c>
      <c r="E1016" t="s">
        <v>344</v>
      </c>
      <c r="F1016" t="s">
        <v>257</v>
      </c>
      <c r="G1016" t="s">
        <v>13</v>
      </c>
      <c r="H1016" t="s">
        <v>14</v>
      </c>
      <c r="J1016" t="s">
        <v>15</v>
      </c>
      <c r="K1016" s="1" t="e">
        <f>VLOOKUP(I1016,'[1]PC50 Y2018 Status'!$D:$H,5,FALSE)</f>
        <v>#N/A</v>
      </c>
    </row>
    <row r="1017" spans="2:11" x14ac:dyDescent="0.25">
      <c r="B1017">
        <v>347638</v>
      </c>
      <c r="C1017" t="s">
        <v>16</v>
      </c>
      <c r="D1017">
        <v>27</v>
      </c>
      <c r="E1017" t="s">
        <v>344</v>
      </c>
      <c r="F1017" t="s">
        <v>257</v>
      </c>
      <c r="G1017" t="s">
        <v>13</v>
      </c>
      <c r="H1017" t="s">
        <v>14</v>
      </c>
      <c r="J1017" t="s">
        <v>15</v>
      </c>
      <c r="K1017" s="1" t="e">
        <f>VLOOKUP(I1017,'[1]PC50 Y2018 Status'!$D:$H,5,FALSE)</f>
        <v>#N/A</v>
      </c>
    </row>
    <row r="1018" spans="2:11" x14ac:dyDescent="0.25">
      <c r="B1018">
        <v>610000004131</v>
      </c>
      <c r="C1018" t="s">
        <v>61</v>
      </c>
      <c r="D1018">
        <v>38</v>
      </c>
      <c r="E1018" t="s">
        <v>344</v>
      </c>
      <c r="F1018" t="s">
        <v>257</v>
      </c>
      <c r="G1018" t="s">
        <v>13</v>
      </c>
      <c r="H1018" t="s">
        <v>14</v>
      </c>
      <c r="J1018" t="s">
        <v>22</v>
      </c>
      <c r="K1018" s="1" t="e">
        <f>VLOOKUP(I1018,'[1]PC50 Y2018 Status'!$D:$H,5,FALSE)</f>
        <v>#N/A</v>
      </c>
    </row>
    <row r="1019" spans="2:11" x14ac:dyDescent="0.25">
      <c r="B1019">
        <v>610000004103</v>
      </c>
      <c r="C1019" t="s">
        <v>51</v>
      </c>
      <c r="D1019">
        <v>37</v>
      </c>
      <c r="E1019" t="s">
        <v>345</v>
      </c>
      <c r="F1019" t="s">
        <v>257</v>
      </c>
      <c r="G1019" t="s">
        <v>13</v>
      </c>
      <c r="H1019" t="s">
        <v>14</v>
      </c>
      <c r="J1019" t="s">
        <v>22</v>
      </c>
      <c r="K1019" s="1" t="e">
        <f>VLOOKUP(I1019,'[1]PC50 Y2018 Status'!$D:$H,5,FALSE)</f>
        <v>#N/A</v>
      </c>
    </row>
    <row r="1020" spans="2:11" x14ac:dyDescent="0.25">
      <c r="B1020">
        <v>342279</v>
      </c>
      <c r="C1020" t="s">
        <v>64</v>
      </c>
      <c r="D1020">
        <v>45</v>
      </c>
      <c r="E1020" t="s">
        <v>346</v>
      </c>
      <c r="F1020" t="s">
        <v>257</v>
      </c>
      <c r="G1020" t="s">
        <v>13</v>
      </c>
      <c r="H1020" t="s">
        <v>14</v>
      </c>
      <c r="J1020" t="s">
        <v>15</v>
      </c>
      <c r="K1020" s="1" t="e">
        <f>VLOOKUP(I1020,'[1]PC50 Y2018 Status'!$D:$H,5,FALSE)</f>
        <v>#N/A</v>
      </c>
    </row>
    <row r="1021" spans="2:11" x14ac:dyDescent="0.25">
      <c r="B1021">
        <v>610000004032</v>
      </c>
      <c r="C1021" t="s">
        <v>32</v>
      </c>
      <c r="D1021">
        <v>61</v>
      </c>
      <c r="E1021" t="s">
        <v>346</v>
      </c>
      <c r="F1021" t="s">
        <v>257</v>
      </c>
      <c r="G1021" t="s">
        <v>13</v>
      </c>
      <c r="H1021" t="s">
        <v>14</v>
      </c>
      <c r="J1021" t="s">
        <v>15</v>
      </c>
      <c r="K1021" s="1" t="e">
        <f>VLOOKUP(I1021,'[1]PC50 Y2018 Status'!$D:$H,5,FALSE)</f>
        <v>#N/A</v>
      </c>
    </row>
    <row r="1022" spans="2:11" x14ac:dyDescent="0.25">
      <c r="B1022">
        <v>610000004175</v>
      </c>
      <c r="C1022" t="s">
        <v>34</v>
      </c>
      <c r="D1022">
        <v>114</v>
      </c>
      <c r="E1022" t="s">
        <v>346</v>
      </c>
      <c r="F1022" t="s">
        <v>257</v>
      </c>
      <c r="G1022" t="s">
        <v>13</v>
      </c>
      <c r="H1022" t="s">
        <v>14</v>
      </c>
      <c r="J1022" t="s">
        <v>22</v>
      </c>
      <c r="K1022" s="1" t="e">
        <f>VLOOKUP(I1022,'[1]PC50 Y2018 Status'!$D:$H,5,FALSE)</f>
        <v>#N/A</v>
      </c>
    </row>
    <row r="1023" spans="2:11" x14ac:dyDescent="0.25">
      <c r="B1023">
        <v>347716</v>
      </c>
      <c r="C1023" t="s">
        <v>28</v>
      </c>
      <c r="D1023">
        <v>12</v>
      </c>
      <c r="E1023" t="s">
        <v>347</v>
      </c>
      <c r="F1023" t="s">
        <v>257</v>
      </c>
      <c r="G1023" t="s">
        <v>13</v>
      </c>
      <c r="H1023" t="s">
        <v>14</v>
      </c>
      <c r="J1023" t="s">
        <v>22</v>
      </c>
      <c r="K1023" s="1" t="e">
        <f>VLOOKUP(I1023,'[1]PC50 Y2018 Status'!$D:$H,5,FALSE)</f>
        <v>#N/A</v>
      </c>
    </row>
    <row r="1024" spans="2:11" x14ac:dyDescent="0.25">
      <c r="B1024">
        <v>347741</v>
      </c>
      <c r="C1024" t="s">
        <v>28</v>
      </c>
      <c r="D1024">
        <v>12</v>
      </c>
      <c r="E1024" t="s">
        <v>347</v>
      </c>
      <c r="F1024" t="s">
        <v>257</v>
      </c>
      <c r="G1024" t="s">
        <v>13</v>
      </c>
      <c r="H1024" t="s">
        <v>14</v>
      </c>
      <c r="J1024" t="s">
        <v>22</v>
      </c>
      <c r="K1024" s="1" t="e">
        <f>VLOOKUP(I1024,'[1]PC50 Y2018 Status'!$D:$H,5,FALSE)</f>
        <v>#N/A</v>
      </c>
    </row>
    <row r="1025" spans="2:11" x14ac:dyDescent="0.25">
      <c r="B1025">
        <v>610000004055</v>
      </c>
      <c r="C1025" t="s">
        <v>87</v>
      </c>
      <c r="D1025">
        <v>49</v>
      </c>
      <c r="E1025" t="s">
        <v>347</v>
      </c>
      <c r="F1025" t="s">
        <v>257</v>
      </c>
      <c r="G1025" t="s">
        <v>13</v>
      </c>
      <c r="H1025" t="s">
        <v>14</v>
      </c>
      <c r="J1025" t="s">
        <v>15</v>
      </c>
      <c r="K1025" s="1" t="e">
        <f>VLOOKUP(I1025,'[1]PC50 Y2018 Status'!$D:$H,5,FALSE)</f>
        <v>#N/A</v>
      </c>
    </row>
    <row r="1026" spans="2:11" x14ac:dyDescent="0.25">
      <c r="B1026">
        <v>610000004069</v>
      </c>
      <c r="C1026" t="s">
        <v>35</v>
      </c>
      <c r="D1026">
        <v>115</v>
      </c>
      <c r="E1026" t="s">
        <v>347</v>
      </c>
      <c r="F1026" t="s">
        <v>257</v>
      </c>
      <c r="G1026" t="s">
        <v>13</v>
      </c>
      <c r="H1026" t="s">
        <v>14</v>
      </c>
      <c r="J1026" t="s">
        <v>15</v>
      </c>
      <c r="K1026" s="1" t="e">
        <f>VLOOKUP(I1026,'[1]PC50 Y2018 Status'!$D:$H,5,FALSE)</f>
        <v>#N/A</v>
      </c>
    </row>
    <row r="1027" spans="2:11" x14ac:dyDescent="0.25">
      <c r="B1027">
        <v>610000004070</v>
      </c>
      <c r="C1027" t="s">
        <v>35</v>
      </c>
      <c r="D1027">
        <v>115</v>
      </c>
      <c r="E1027" t="s">
        <v>347</v>
      </c>
      <c r="F1027" t="s">
        <v>257</v>
      </c>
      <c r="G1027" t="s">
        <v>13</v>
      </c>
      <c r="H1027" t="s">
        <v>14</v>
      </c>
      <c r="J1027" t="s">
        <v>15</v>
      </c>
      <c r="K1027" s="1" t="e">
        <f>VLOOKUP(I1027,'[1]PC50 Y2018 Status'!$D:$H,5,FALSE)</f>
        <v>#N/A</v>
      </c>
    </row>
    <row r="1028" spans="2:11" x14ac:dyDescent="0.25">
      <c r="B1028">
        <v>610000004102</v>
      </c>
      <c r="C1028" t="s">
        <v>67</v>
      </c>
      <c r="D1028">
        <v>54</v>
      </c>
      <c r="E1028" t="s">
        <v>347</v>
      </c>
      <c r="F1028" t="s">
        <v>257</v>
      </c>
      <c r="G1028" t="s">
        <v>13</v>
      </c>
      <c r="H1028" t="s">
        <v>14</v>
      </c>
      <c r="J1028" t="s">
        <v>22</v>
      </c>
      <c r="K1028" s="1" t="e">
        <f>VLOOKUP(I1028,'[1]PC50 Y2018 Status'!$D:$H,5,FALSE)</f>
        <v>#N/A</v>
      </c>
    </row>
    <row r="1029" spans="2:11" x14ac:dyDescent="0.25">
      <c r="B1029">
        <v>610000004111</v>
      </c>
      <c r="C1029" t="s">
        <v>78</v>
      </c>
      <c r="D1029">
        <v>48</v>
      </c>
      <c r="E1029" t="s">
        <v>347</v>
      </c>
      <c r="F1029" t="s">
        <v>257</v>
      </c>
      <c r="G1029" t="s">
        <v>13</v>
      </c>
      <c r="H1029" t="s">
        <v>14</v>
      </c>
      <c r="J1029" t="s">
        <v>22</v>
      </c>
      <c r="K1029" s="1" t="e">
        <f>VLOOKUP(I1029,'[1]PC50 Y2018 Status'!$D:$H,5,FALSE)</f>
        <v>#N/A</v>
      </c>
    </row>
    <row r="1030" spans="2:11" x14ac:dyDescent="0.25">
      <c r="B1030">
        <v>610000004115</v>
      </c>
      <c r="C1030" t="s">
        <v>78</v>
      </c>
      <c r="D1030">
        <v>27</v>
      </c>
      <c r="E1030" t="s">
        <v>347</v>
      </c>
      <c r="F1030" t="s">
        <v>257</v>
      </c>
      <c r="G1030" t="s">
        <v>13</v>
      </c>
      <c r="H1030" t="s">
        <v>14</v>
      </c>
      <c r="J1030" t="s">
        <v>22</v>
      </c>
      <c r="K1030" s="1" t="e">
        <f>VLOOKUP(I1030,'[1]PC50 Y2018 Status'!$D:$H,5,FALSE)</f>
        <v>#N/A</v>
      </c>
    </row>
    <row r="1031" spans="2:11" x14ac:dyDescent="0.25">
      <c r="B1031">
        <v>610000004129</v>
      </c>
      <c r="C1031" t="s">
        <v>68</v>
      </c>
      <c r="D1031">
        <v>54</v>
      </c>
      <c r="E1031" t="s">
        <v>347</v>
      </c>
      <c r="F1031" t="s">
        <v>257</v>
      </c>
      <c r="G1031" t="s">
        <v>13</v>
      </c>
      <c r="H1031" t="s">
        <v>14</v>
      </c>
      <c r="J1031" t="s">
        <v>22</v>
      </c>
      <c r="K1031" s="1" t="e">
        <f>VLOOKUP(I1031,'[1]PC50 Y2018 Status'!$D:$H,5,FALSE)</f>
        <v>#N/A</v>
      </c>
    </row>
    <row r="1032" spans="2:11" x14ac:dyDescent="0.25">
      <c r="B1032">
        <v>610000004177</v>
      </c>
      <c r="C1032" t="s">
        <v>37</v>
      </c>
      <c r="D1032">
        <v>55</v>
      </c>
      <c r="E1032" t="s">
        <v>347</v>
      </c>
      <c r="F1032" t="s">
        <v>257</v>
      </c>
      <c r="G1032" t="s">
        <v>13</v>
      </c>
      <c r="H1032" t="s">
        <v>14</v>
      </c>
      <c r="J1032" t="s">
        <v>22</v>
      </c>
      <c r="K1032" s="1" t="e">
        <f>VLOOKUP(I1032,'[1]PC50 Y2018 Status'!$D:$H,5,FALSE)</f>
        <v>#N/A</v>
      </c>
    </row>
    <row r="1033" spans="2:11" x14ac:dyDescent="0.25">
      <c r="B1033">
        <v>610000004068</v>
      </c>
      <c r="C1033" t="s">
        <v>24</v>
      </c>
      <c r="D1033">
        <v>231</v>
      </c>
      <c r="E1033" t="s">
        <v>348</v>
      </c>
      <c r="F1033" t="s">
        <v>257</v>
      </c>
      <c r="G1033" t="s">
        <v>13</v>
      </c>
      <c r="H1033" t="s">
        <v>14</v>
      </c>
      <c r="J1033" t="s">
        <v>15</v>
      </c>
      <c r="K1033" s="1" t="e">
        <f>VLOOKUP(I1033,'[1]PC50 Y2018 Status'!$D:$H,5,FALSE)</f>
        <v>#N/A</v>
      </c>
    </row>
    <row r="1034" spans="2:11" x14ac:dyDescent="0.25">
      <c r="B1034">
        <v>610000004077</v>
      </c>
      <c r="C1034" t="s">
        <v>39</v>
      </c>
      <c r="D1034">
        <v>115</v>
      </c>
      <c r="E1034" t="s">
        <v>348</v>
      </c>
      <c r="F1034" t="s">
        <v>257</v>
      </c>
      <c r="G1034" t="s">
        <v>13</v>
      </c>
      <c r="H1034" t="s">
        <v>14</v>
      </c>
      <c r="J1034" t="s">
        <v>15</v>
      </c>
      <c r="K1034" s="1" t="e">
        <f>VLOOKUP(I1034,'[1]PC50 Y2018 Status'!$D:$H,5,FALSE)</f>
        <v>#N/A</v>
      </c>
    </row>
    <row r="1035" spans="2:11" x14ac:dyDescent="0.25">
      <c r="B1035">
        <v>610000004085</v>
      </c>
      <c r="C1035" t="s">
        <v>18</v>
      </c>
      <c r="D1035">
        <v>115</v>
      </c>
      <c r="E1035" t="s">
        <v>348</v>
      </c>
      <c r="F1035" t="s">
        <v>257</v>
      </c>
      <c r="G1035" t="s">
        <v>13</v>
      </c>
      <c r="H1035" t="s">
        <v>14</v>
      </c>
      <c r="J1035" t="s">
        <v>15</v>
      </c>
      <c r="K1035" s="1" t="e">
        <f>VLOOKUP(I1035,'[1]PC50 Y2018 Status'!$D:$H,5,FALSE)</f>
        <v>#N/A</v>
      </c>
    </row>
    <row r="1036" spans="2:11" x14ac:dyDescent="0.25">
      <c r="B1036">
        <v>610000004086</v>
      </c>
      <c r="C1036" t="s">
        <v>18</v>
      </c>
      <c r="D1036">
        <v>115</v>
      </c>
      <c r="E1036" t="s">
        <v>348</v>
      </c>
      <c r="F1036" t="s">
        <v>257</v>
      </c>
      <c r="G1036" t="s">
        <v>13</v>
      </c>
      <c r="H1036" t="s">
        <v>14</v>
      </c>
      <c r="J1036" t="s">
        <v>15</v>
      </c>
      <c r="K1036" s="1" t="e">
        <f>VLOOKUP(I1036,'[1]PC50 Y2018 Status'!$D:$H,5,FALSE)</f>
        <v>#N/A</v>
      </c>
    </row>
    <row r="1037" spans="2:11" x14ac:dyDescent="0.25">
      <c r="B1037">
        <v>342744</v>
      </c>
      <c r="C1037" t="s">
        <v>77</v>
      </c>
      <c r="D1037">
        <v>7</v>
      </c>
      <c r="E1037" t="s">
        <v>349</v>
      </c>
      <c r="F1037" t="s">
        <v>257</v>
      </c>
      <c r="G1037" t="s">
        <v>13</v>
      </c>
      <c r="H1037" t="s">
        <v>14</v>
      </c>
      <c r="J1037" t="s">
        <v>22</v>
      </c>
      <c r="K1037" s="1" t="e">
        <f>VLOOKUP(I1037,'[1]PC50 Y2018 Status'!$D:$H,5,FALSE)</f>
        <v>#N/A</v>
      </c>
    </row>
    <row r="1038" spans="2:11" x14ac:dyDescent="0.25">
      <c r="B1038">
        <v>610000004091</v>
      </c>
      <c r="C1038" t="s">
        <v>47</v>
      </c>
      <c r="D1038">
        <v>114</v>
      </c>
      <c r="E1038" t="s">
        <v>349</v>
      </c>
      <c r="F1038" t="s">
        <v>257</v>
      </c>
      <c r="G1038" t="s">
        <v>13</v>
      </c>
      <c r="H1038" t="s">
        <v>14</v>
      </c>
      <c r="J1038" t="s">
        <v>15</v>
      </c>
      <c r="K1038" s="1" t="e">
        <f>VLOOKUP(I1038,'[1]PC50 Y2018 Status'!$D:$H,5,FALSE)</f>
        <v>#N/A</v>
      </c>
    </row>
    <row r="1039" spans="2:11" x14ac:dyDescent="0.25">
      <c r="B1039">
        <v>610000004112</v>
      </c>
      <c r="C1039" t="s">
        <v>78</v>
      </c>
      <c r="D1039">
        <v>39</v>
      </c>
      <c r="E1039" t="s">
        <v>349</v>
      </c>
      <c r="F1039" t="s">
        <v>257</v>
      </c>
      <c r="G1039" t="s">
        <v>13</v>
      </c>
      <c r="H1039" t="s">
        <v>14</v>
      </c>
      <c r="J1039" t="s">
        <v>22</v>
      </c>
      <c r="K1039" s="1" t="e">
        <f>VLOOKUP(I1039,'[1]PC50 Y2018 Status'!$D:$H,5,FALSE)</f>
        <v>#N/A</v>
      </c>
    </row>
    <row r="1040" spans="2:11" x14ac:dyDescent="0.25">
      <c r="B1040">
        <v>610000004122</v>
      </c>
      <c r="C1040" t="s">
        <v>54</v>
      </c>
      <c r="D1040">
        <v>39</v>
      </c>
      <c r="E1040" t="s">
        <v>349</v>
      </c>
      <c r="F1040" t="s">
        <v>257</v>
      </c>
      <c r="G1040" t="s">
        <v>13</v>
      </c>
      <c r="H1040" t="s">
        <v>14</v>
      </c>
      <c r="J1040" t="s">
        <v>22</v>
      </c>
      <c r="K1040" s="1" t="e">
        <f>VLOOKUP(I1040,'[1]PC50 Y2018 Status'!$D:$H,5,FALSE)</f>
        <v>#N/A</v>
      </c>
    </row>
    <row r="1041" spans="2:11" x14ac:dyDescent="0.25">
      <c r="B1041">
        <v>610000004130</v>
      </c>
      <c r="C1041" t="s">
        <v>61</v>
      </c>
      <c r="D1041">
        <v>39</v>
      </c>
      <c r="E1041" t="s">
        <v>349</v>
      </c>
      <c r="F1041" t="s">
        <v>257</v>
      </c>
      <c r="G1041" t="s">
        <v>13</v>
      </c>
      <c r="H1041" t="s">
        <v>14</v>
      </c>
      <c r="J1041" t="s">
        <v>22</v>
      </c>
      <c r="K1041" s="1" t="e">
        <f>VLOOKUP(I1041,'[1]PC50 Y2018 Status'!$D:$H,5,FALSE)</f>
        <v>#N/A</v>
      </c>
    </row>
    <row r="1042" spans="2:11" x14ac:dyDescent="0.25">
      <c r="B1042">
        <v>610000004161</v>
      </c>
      <c r="C1042" t="s">
        <v>48</v>
      </c>
      <c r="D1042">
        <v>116</v>
      </c>
      <c r="E1042" t="s">
        <v>349</v>
      </c>
      <c r="F1042" t="s">
        <v>257</v>
      </c>
      <c r="G1042" t="s">
        <v>13</v>
      </c>
      <c r="H1042" t="s">
        <v>14</v>
      </c>
      <c r="J1042" t="s">
        <v>22</v>
      </c>
      <c r="K1042" s="1" t="e">
        <f>VLOOKUP(I1042,'[1]PC50 Y2018 Status'!$D:$H,5,FALSE)</f>
        <v>#N/A</v>
      </c>
    </row>
    <row r="1043" spans="2:11" x14ac:dyDescent="0.25">
      <c r="B1043">
        <v>342257</v>
      </c>
      <c r="C1043" t="s">
        <v>25</v>
      </c>
      <c r="D1043">
        <v>196</v>
      </c>
      <c r="E1043" t="s">
        <v>350</v>
      </c>
      <c r="F1043" t="s">
        <v>257</v>
      </c>
      <c r="G1043" t="s">
        <v>13</v>
      </c>
      <c r="H1043" t="s">
        <v>14</v>
      </c>
      <c r="J1043" t="s">
        <v>15</v>
      </c>
      <c r="K1043" s="1" t="e">
        <f>VLOOKUP(I1043,'[1]PC50 Y2018 Status'!$D:$H,5,FALSE)</f>
        <v>#N/A</v>
      </c>
    </row>
    <row r="1044" spans="2:11" x14ac:dyDescent="0.25">
      <c r="B1044">
        <v>347637</v>
      </c>
      <c r="C1044" t="s">
        <v>27</v>
      </c>
      <c r="D1044">
        <v>54</v>
      </c>
      <c r="E1044" t="s">
        <v>350</v>
      </c>
      <c r="F1044" t="s">
        <v>257</v>
      </c>
      <c r="G1044" t="s">
        <v>13</v>
      </c>
      <c r="H1044" t="s">
        <v>14</v>
      </c>
      <c r="J1044" t="s">
        <v>15</v>
      </c>
      <c r="K1044" s="1" t="e">
        <f>VLOOKUP(I1044,'[1]PC50 Y2018 Status'!$D:$H,5,FALSE)</f>
        <v>#N/A</v>
      </c>
    </row>
    <row r="1045" spans="2:11" x14ac:dyDescent="0.25">
      <c r="B1045">
        <v>347678</v>
      </c>
      <c r="C1045" t="s">
        <v>28</v>
      </c>
      <c r="D1045">
        <v>13</v>
      </c>
      <c r="E1045" t="s">
        <v>350</v>
      </c>
      <c r="F1045" t="s">
        <v>257</v>
      </c>
      <c r="G1045" t="s">
        <v>13</v>
      </c>
      <c r="H1045" t="s">
        <v>14</v>
      </c>
      <c r="J1045" t="s">
        <v>22</v>
      </c>
      <c r="K1045" s="1" t="e">
        <f>VLOOKUP(I1045,'[1]PC50 Y2018 Status'!$D:$H,5,FALSE)</f>
        <v>#N/A</v>
      </c>
    </row>
    <row r="1046" spans="2:11" x14ac:dyDescent="0.25">
      <c r="B1046">
        <v>610000004162</v>
      </c>
      <c r="C1046" t="s">
        <v>43</v>
      </c>
      <c r="D1046">
        <v>54</v>
      </c>
      <c r="E1046" t="s">
        <v>350</v>
      </c>
      <c r="F1046" t="s">
        <v>257</v>
      </c>
      <c r="G1046" t="s">
        <v>13</v>
      </c>
      <c r="H1046" t="s">
        <v>14</v>
      </c>
      <c r="J1046" t="s">
        <v>22</v>
      </c>
      <c r="K1046" s="1" t="e">
        <f>VLOOKUP(I1046,'[1]PC50 Y2018 Status'!$D:$H,5,FALSE)</f>
        <v>#N/A</v>
      </c>
    </row>
    <row r="1047" spans="2:11" x14ac:dyDescent="0.25">
      <c r="B1047">
        <v>610000004050</v>
      </c>
      <c r="C1047" t="s">
        <v>17</v>
      </c>
      <c r="D1047">
        <v>115</v>
      </c>
      <c r="E1047" t="s">
        <v>351</v>
      </c>
      <c r="F1047" t="s">
        <v>257</v>
      </c>
      <c r="G1047" t="s">
        <v>13</v>
      </c>
      <c r="H1047" t="s">
        <v>14</v>
      </c>
      <c r="J1047" t="s">
        <v>15</v>
      </c>
      <c r="K1047" s="1" t="e">
        <f>VLOOKUP(I1047,'[1]PC50 Y2018 Status'!$D:$H,5,FALSE)</f>
        <v>#N/A</v>
      </c>
    </row>
    <row r="1048" spans="2:11" x14ac:dyDescent="0.25">
      <c r="B1048">
        <v>610000004176</v>
      </c>
      <c r="C1048" t="s">
        <v>59</v>
      </c>
      <c r="D1048">
        <v>39</v>
      </c>
      <c r="E1048" t="s">
        <v>351</v>
      </c>
      <c r="F1048" t="s">
        <v>257</v>
      </c>
      <c r="G1048" t="s">
        <v>13</v>
      </c>
      <c r="H1048" t="s">
        <v>14</v>
      </c>
      <c r="J1048" t="s">
        <v>22</v>
      </c>
      <c r="K1048" s="1" t="e">
        <f>VLOOKUP(I1048,'[1]PC50 Y2018 Status'!$D:$H,5,FALSE)</f>
        <v>#N/A</v>
      </c>
    </row>
    <row r="1049" spans="2:11" x14ac:dyDescent="0.25">
      <c r="B1049">
        <v>342586</v>
      </c>
      <c r="C1049" t="s">
        <v>82</v>
      </c>
      <c r="D1049">
        <v>41</v>
      </c>
      <c r="E1049" t="s">
        <v>352</v>
      </c>
      <c r="F1049" t="s">
        <v>257</v>
      </c>
      <c r="G1049" t="s">
        <v>13</v>
      </c>
      <c r="H1049" t="s">
        <v>14</v>
      </c>
      <c r="J1049" t="s">
        <v>22</v>
      </c>
      <c r="K1049" s="1" t="e">
        <f>VLOOKUP(I1049,'[1]PC50 Y2018 Status'!$D:$H,5,FALSE)</f>
        <v>#N/A</v>
      </c>
    </row>
    <row r="1050" spans="2:11" x14ac:dyDescent="0.25">
      <c r="B1050">
        <v>610000004123</v>
      </c>
      <c r="C1050" t="s">
        <v>54</v>
      </c>
      <c r="D1050">
        <v>27</v>
      </c>
      <c r="E1050" t="s">
        <v>352</v>
      </c>
      <c r="F1050" t="s">
        <v>257</v>
      </c>
      <c r="G1050" t="s">
        <v>13</v>
      </c>
      <c r="H1050" t="s">
        <v>14</v>
      </c>
      <c r="J1050" t="s">
        <v>22</v>
      </c>
      <c r="K1050" s="1" t="e">
        <f>VLOOKUP(I1050,'[1]PC50 Y2018 Status'!$D:$H,5,FALSE)</f>
        <v>#N/A</v>
      </c>
    </row>
    <row r="1051" spans="2:11" x14ac:dyDescent="0.25">
      <c r="B1051">
        <v>343914</v>
      </c>
      <c r="C1051" t="s">
        <v>23</v>
      </c>
      <c r="D1051">
        <v>5</v>
      </c>
      <c r="E1051" t="s">
        <v>353</v>
      </c>
      <c r="F1051" t="s">
        <v>257</v>
      </c>
      <c r="G1051" t="s">
        <v>13</v>
      </c>
      <c r="H1051" t="s">
        <v>14</v>
      </c>
      <c r="J1051" t="s">
        <v>22</v>
      </c>
      <c r="K1051" s="1" t="e">
        <f>VLOOKUP(I1051,'[1]PC50 Y2018 Status'!$D:$H,5,FALSE)</f>
        <v>#N/A</v>
      </c>
    </row>
    <row r="1052" spans="2:11" x14ac:dyDescent="0.25">
      <c r="B1052">
        <v>343915</v>
      </c>
      <c r="C1052" t="s">
        <v>77</v>
      </c>
      <c r="D1052">
        <v>5</v>
      </c>
      <c r="E1052" t="s">
        <v>353</v>
      </c>
      <c r="F1052" t="s">
        <v>257</v>
      </c>
      <c r="G1052" t="s">
        <v>13</v>
      </c>
      <c r="H1052" t="s">
        <v>14</v>
      </c>
      <c r="J1052" t="s">
        <v>22</v>
      </c>
      <c r="K1052" s="1" t="e">
        <f>VLOOKUP(I1052,'[1]PC50 Y2018 Status'!$D:$H,5,FALSE)</f>
        <v>#N/A</v>
      </c>
    </row>
    <row r="1053" spans="2:11" x14ac:dyDescent="0.25">
      <c r="B1053">
        <v>351910</v>
      </c>
      <c r="C1053" t="s">
        <v>80</v>
      </c>
      <c r="D1053">
        <v>1</v>
      </c>
      <c r="E1053" t="s">
        <v>353</v>
      </c>
      <c r="F1053" t="s">
        <v>313</v>
      </c>
      <c r="G1053" t="s">
        <v>13</v>
      </c>
      <c r="H1053" t="s">
        <v>14</v>
      </c>
      <c r="J1053" t="s">
        <v>22</v>
      </c>
      <c r="K1053" s="1" t="e">
        <f>VLOOKUP(I1053,'[1]PC50 Y2018 Status'!$D:$H,5,FALSE)</f>
        <v>#N/A</v>
      </c>
    </row>
    <row r="1054" spans="2:11" x14ac:dyDescent="0.25">
      <c r="B1054">
        <v>610000004031</v>
      </c>
      <c r="C1054" t="s">
        <v>16</v>
      </c>
      <c r="D1054">
        <v>114</v>
      </c>
      <c r="E1054" t="s">
        <v>353</v>
      </c>
      <c r="F1054" t="s">
        <v>257</v>
      </c>
      <c r="G1054" t="s">
        <v>13</v>
      </c>
      <c r="H1054" t="s">
        <v>14</v>
      </c>
      <c r="J1054" t="s">
        <v>15</v>
      </c>
      <c r="K1054" s="1" t="e">
        <f>VLOOKUP(I1054,'[1]PC50 Y2018 Status'!$D:$H,5,FALSE)</f>
        <v>#N/A</v>
      </c>
    </row>
    <row r="1055" spans="2:11" x14ac:dyDescent="0.25">
      <c r="B1055">
        <v>610000004051</v>
      </c>
      <c r="C1055" t="s">
        <v>17</v>
      </c>
      <c r="D1055">
        <v>115</v>
      </c>
      <c r="E1055" t="s">
        <v>353</v>
      </c>
      <c r="F1055" t="s">
        <v>257</v>
      </c>
      <c r="G1055" t="s">
        <v>13</v>
      </c>
      <c r="H1055" t="s">
        <v>14</v>
      </c>
      <c r="J1055" t="s">
        <v>15</v>
      </c>
      <c r="K1055" s="1" t="e">
        <f>VLOOKUP(I1055,'[1]PC50 Y2018 Status'!$D:$H,5,FALSE)</f>
        <v>#N/A</v>
      </c>
    </row>
    <row r="1056" spans="2:11" x14ac:dyDescent="0.25">
      <c r="B1056">
        <v>610000004152</v>
      </c>
      <c r="C1056" t="s">
        <v>82</v>
      </c>
      <c r="D1056">
        <v>54</v>
      </c>
      <c r="E1056" t="s">
        <v>353</v>
      </c>
      <c r="F1056" t="s">
        <v>257</v>
      </c>
      <c r="G1056" t="s">
        <v>13</v>
      </c>
      <c r="H1056" t="s">
        <v>14</v>
      </c>
      <c r="J1056" t="s">
        <v>22</v>
      </c>
      <c r="K1056" s="1" t="e">
        <f>VLOOKUP(I1056,'[1]PC50 Y2018 Status'!$D:$H,5,FALSE)</f>
        <v>#N/A</v>
      </c>
    </row>
    <row r="1057" spans="2:11" x14ac:dyDescent="0.25">
      <c r="B1057">
        <v>342258</v>
      </c>
      <c r="C1057" t="s">
        <v>18</v>
      </c>
      <c r="D1057">
        <v>98</v>
      </c>
      <c r="E1057" t="s">
        <v>354</v>
      </c>
      <c r="F1057" t="s">
        <v>257</v>
      </c>
      <c r="G1057" t="s">
        <v>13</v>
      </c>
      <c r="H1057" t="s">
        <v>14</v>
      </c>
      <c r="J1057" t="s">
        <v>15</v>
      </c>
      <c r="K1057" s="1" t="e">
        <f>VLOOKUP(I1057,'[1]PC50 Y2018 Status'!$D:$H,5,FALSE)</f>
        <v>#N/A</v>
      </c>
    </row>
    <row r="1058" spans="2:11" x14ac:dyDescent="0.25">
      <c r="B1058">
        <v>347639</v>
      </c>
      <c r="C1058" t="s">
        <v>32</v>
      </c>
      <c r="D1058">
        <v>12</v>
      </c>
      <c r="E1058" t="s">
        <v>354</v>
      </c>
      <c r="F1058" t="s">
        <v>257</v>
      </c>
      <c r="G1058" t="s">
        <v>13</v>
      </c>
      <c r="H1058" t="s">
        <v>14</v>
      </c>
      <c r="J1058" t="s">
        <v>15</v>
      </c>
      <c r="K1058" s="1" t="e">
        <f>VLOOKUP(I1058,'[1]PC50 Y2018 Status'!$D:$H,5,FALSE)</f>
        <v>#N/A</v>
      </c>
    </row>
    <row r="1059" spans="2:11" x14ac:dyDescent="0.25">
      <c r="B1059">
        <v>610000004052</v>
      </c>
      <c r="C1059" t="s">
        <v>46</v>
      </c>
      <c r="D1059">
        <v>53</v>
      </c>
      <c r="E1059" t="s">
        <v>354</v>
      </c>
      <c r="F1059" t="s">
        <v>257</v>
      </c>
      <c r="G1059" t="s">
        <v>13</v>
      </c>
      <c r="H1059" t="s">
        <v>14</v>
      </c>
      <c r="J1059" t="s">
        <v>15</v>
      </c>
      <c r="K1059" s="1" t="e">
        <f>VLOOKUP(I1059,'[1]PC50 Y2018 Status'!$D:$H,5,FALSE)</f>
        <v>#N/A</v>
      </c>
    </row>
    <row r="1060" spans="2:11" x14ac:dyDescent="0.25">
      <c r="B1060">
        <v>610000004081</v>
      </c>
      <c r="C1060" t="s">
        <v>71</v>
      </c>
      <c r="D1060">
        <v>23</v>
      </c>
      <c r="E1060" t="s">
        <v>354</v>
      </c>
      <c r="F1060" t="s">
        <v>257</v>
      </c>
      <c r="G1060" t="s">
        <v>13</v>
      </c>
      <c r="H1060" t="s">
        <v>14</v>
      </c>
      <c r="J1060" t="s">
        <v>15</v>
      </c>
      <c r="K1060" s="1" t="e">
        <f>VLOOKUP(I1060,'[1]PC50 Y2018 Status'!$D:$H,5,FALSE)</f>
        <v>#N/A</v>
      </c>
    </row>
    <row r="1061" spans="2:11" x14ac:dyDescent="0.25">
      <c r="B1061">
        <v>610000004068</v>
      </c>
      <c r="C1061" t="s">
        <v>24</v>
      </c>
      <c r="D1061">
        <v>232</v>
      </c>
      <c r="E1061" t="s">
        <v>355</v>
      </c>
      <c r="F1061" t="s">
        <v>257</v>
      </c>
      <c r="G1061" t="s">
        <v>13</v>
      </c>
      <c r="H1061" t="s">
        <v>14</v>
      </c>
      <c r="J1061" t="s">
        <v>15</v>
      </c>
      <c r="K1061" s="1" t="e">
        <f>VLOOKUP(I1061,'[1]PC50 Y2018 Status'!$D:$H,5,FALSE)</f>
        <v>#N/A</v>
      </c>
    </row>
    <row r="1062" spans="2:11" x14ac:dyDescent="0.25">
      <c r="B1062">
        <v>342588</v>
      </c>
      <c r="C1062" t="s">
        <v>82</v>
      </c>
      <c r="D1062">
        <v>42</v>
      </c>
      <c r="E1062" t="s">
        <v>356</v>
      </c>
      <c r="F1062" t="s">
        <v>257</v>
      </c>
      <c r="G1062" t="s">
        <v>13</v>
      </c>
      <c r="H1062" t="s">
        <v>14</v>
      </c>
      <c r="J1062" t="s">
        <v>22</v>
      </c>
      <c r="K1062" s="1" t="e">
        <f>VLOOKUP(I1062,'[1]PC50 Y2018 Status'!$D:$H,5,FALSE)</f>
        <v>#N/A</v>
      </c>
    </row>
    <row r="1063" spans="2:11" x14ac:dyDescent="0.25">
      <c r="B1063">
        <v>342257</v>
      </c>
      <c r="C1063" t="s">
        <v>25</v>
      </c>
      <c r="D1063">
        <v>197</v>
      </c>
      <c r="E1063" t="s">
        <v>357</v>
      </c>
      <c r="F1063" t="s">
        <v>257</v>
      </c>
      <c r="G1063" t="s">
        <v>13</v>
      </c>
      <c r="H1063" t="s">
        <v>14</v>
      </c>
      <c r="J1063" t="s">
        <v>15</v>
      </c>
      <c r="K1063" s="1" t="e">
        <f>VLOOKUP(I1063,'[1]PC50 Y2018 Status'!$D:$H,5,FALSE)</f>
        <v>#N/A</v>
      </c>
    </row>
    <row r="1064" spans="2:11" x14ac:dyDescent="0.25">
      <c r="B1064">
        <v>347637</v>
      </c>
      <c r="C1064" t="s">
        <v>27</v>
      </c>
      <c r="D1064">
        <v>55</v>
      </c>
      <c r="E1064" t="s">
        <v>357</v>
      </c>
      <c r="F1064" t="s">
        <v>257</v>
      </c>
      <c r="G1064" t="s">
        <v>13</v>
      </c>
      <c r="H1064" t="s">
        <v>14</v>
      </c>
      <c r="J1064" t="s">
        <v>15</v>
      </c>
      <c r="K1064" s="1" t="e">
        <f>VLOOKUP(I1064,'[1]PC50 Y2018 Status'!$D:$H,5,FALSE)</f>
        <v>#N/A</v>
      </c>
    </row>
    <row r="1065" spans="2:11" x14ac:dyDescent="0.25">
      <c r="B1065">
        <v>347638</v>
      </c>
      <c r="C1065" t="s">
        <v>16</v>
      </c>
      <c r="D1065">
        <v>28</v>
      </c>
      <c r="E1065" t="s">
        <v>357</v>
      </c>
      <c r="F1065" t="s">
        <v>257</v>
      </c>
      <c r="G1065" t="s">
        <v>13</v>
      </c>
      <c r="H1065" t="s">
        <v>14</v>
      </c>
      <c r="J1065" t="s">
        <v>15</v>
      </c>
      <c r="K1065" s="1" t="e">
        <f>VLOOKUP(I1065,'[1]PC50 Y2018 Status'!$D:$H,5,FALSE)</f>
        <v>#N/A</v>
      </c>
    </row>
    <row r="1066" spans="2:11" x14ac:dyDescent="0.25">
      <c r="B1066">
        <v>610000004100</v>
      </c>
      <c r="C1066" t="s">
        <v>185</v>
      </c>
      <c r="D1066">
        <v>11</v>
      </c>
      <c r="E1066" t="s">
        <v>358</v>
      </c>
      <c r="F1066" t="s">
        <v>257</v>
      </c>
      <c r="G1066" t="s">
        <v>13</v>
      </c>
      <c r="H1066" t="s">
        <v>14</v>
      </c>
      <c r="J1066" t="s">
        <v>22</v>
      </c>
      <c r="K1066" s="1" t="e">
        <f>VLOOKUP(I1066,'[1]PC50 Y2018 Status'!$D:$H,5,FALSE)</f>
        <v>#N/A</v>
      </c>
    </row>
    <row r="1067" spans="2:11" x14ac:dyDescent="0.25">
      <c r="B1067">
        <v>610000004175</v>
      </c>
      <c r="C1067" t="s">
        <v>34</v>
      </c>
      <c r="D1067">
        <v>115</v>
      </c>
      <c r="E1067" t="s">
        <v>358</v>
      </c>
      <c r="F1067" t="s">
        <v>257</v>
      </c>
      <c r="G1067" t="s">
        <v>13</v>
      </c>
      <c r="H1067" t="s">
        <v>14</v>
      </c>
      <c r="J1067" t="s">
        <v>22</v>
      </c>
      <c r="K1067" s="1" t="e">
        <f>VLOOKUP(I1067,'[1]PC50 Y2018 Status'!$D:$H,5,FALSE)</f>
        <v>#N/A</v>
      </c>
    </row>
    <row r="1068" spans="2:11" x14ac:dyDescent="0.25">
      <c r="B1068">
        <v>610000004025</v>
      </c>
      <c r="C1068" t="s">
        <v>44</v>
      </c>
      <c r="D1068">
        <v>108</v>
      </c>
      <c r="E1068" t="s">
        <v>359</v>
      </c>
      <c r="F1068" t="s">
        <v>257</v>
      </c>
      <c r="G1068" t="s">
        <v>13</v>
      </c>
      <c r="H1068" t="s">
        <v>14</v>
      </c>
      <c r="J1068" t="s">
        <v>15</v>
      </c>
      <c r="K1068" s="1" t="e">
        <f>VLOOKUP(I1068,'[1]PC50 Y2018 Status'!$D:$H,5,FALSE)</f>
        <v>#N/A</v>
      </c>
    </row>
    <row r="1069" spans="2:11" x14ac:dyDescent="0.25">
      <c r="B1069">
        <v>610000004069</v>
      </c>
      <c r="C1069" t="s">
        <v>35</v>
      </c>
      <c r="D1069">
        <v>116</v>
      </c>
      <c r="E1069" t="s">
        <v>359</v>
      </c>
      <c r="F1069" t="s">
        <v>257</v>
      </c>
      <c r="G1069" t="s">
        <v>13</v>
      </c>
      <c r="H1069" t="s">
        <v>14</v>
      </c>
      <c r="J1069" t="s">
        <v>15</v>
      </c>
      <c r="K1069" s="1" t="e">
        <f>VLOOKUP(I1069,'[1]PC50 Y2018 Status'!$D:$H,5,FALSE)</f>
        <v>#N/A</v>
      </c>
    </row>
    <row r="1070" spans="2:11" x14ac:dyDescent="0.25">
      <c r="B1070">
        <v>610000004070</v>
      </c>
      <c r="C1070" t="s">
        <v>35</v>
      </c>
      <c r="D1070">
        <v>116</v>
      </c>
      <c r="E1070" t="s">
        <v>359</v>
      </c>
      <c r="F1070" t="s">
        <v>257</v>
      </c>
      <c r="G1070" t="s">
        <v>13</v>
      </c>
      <c r="H1070" t="s">
        <v>14</v>
      </c>
      <c r="J1070" t="s">
        <v>15</v>
      </c>
      <c r="K1070" s="1" t="e">
        <f>VLOOKUP(I1070,'[1]PC50 Y2018 Status'!$D:$H,5,FALSE)</f>
        <v>#N/A</v>
      </c>
    </row>
    <row r="1071" spans="2:11" x14ac:dyDescent="0.25">
      <c r="B1071">
        <v>610000004026</v>
      </c>
      <c r="C1071" t="s">
        <v>44</v>
      </c>
      <c r="D1071">
        <v>54</v>
      </c>
      <c r="E1071" t="s">
        <v>360</v>
      </c>
      <c r="F1071" t="s">
        <v>257</v>
      </c>
      <c r="G1071" t="s">
        <v>13</v>
      </c>
      <c r="H1071" t="s">
        <v>14</v>
      </c>
      <c r="J1071" t="s">
        <v>15</v>
      </c>
      <c r="K1071" s="1" t="e">
        <f>VLOOKUP(I1071,'[1]PC50 Y2018 Status'!$D:$H,5,FALSE)</f>
        <v>#N/A</v>
      </c>
    </row>
    <row r="1072" spans="2:11" x14ac:dyDescent="0.25">
      <c r="B1072">
        <v>610000004028</v>
      </c>
      <c r="C1072" t="s">
        <v>44</v>
      </c>
      <c r="D1072">
        <v>52</v>
      </c>
      <c r="E1072" t="s">
        <v>360</v>
      </c>
      <c r="F1072" t="s">
        <v>257</v>
      </c>
      <c r="G1072" t="s">
        <v>13</v>
      </c>
      <c r="H1072" t="s">
        <v>14</v>
      </c>
      <c r="J1072" t="s">
        <v>15</v>
      </c>
      <c r="K1072" s="1" t="e">
        <f>VLOOKUP(I1072,'[1]PC50 Y2018 Status'!$D:$H,5,FALSE)</f>
        <v>#N/A</v>
      </c>
    </row>
    <row r="1073" spans="2:11" x14ac:dyDescent="0.25">
      <c r="B1073">
        <v>610000004061</v>
      </c>
      <c r="C1073" t="s">
        <v>64</v>
      </c>
      <c r="D1073">
        <v>54</v>
      </c>
      <c r="E1073" t="s">
        <v>360</v>
      </c>
      <c r="F1073" t="s">
        <v>257</v>
      </c>
      <c r="G1073" t="s">
        <v>13</v>
      </c>
      <c r="H1073" t="s">
        <v>14</v>
      </c>
      <c r="J1073" t="s">
        <v>15</v>
      </c>
      <c r="K1073" s="1" t="e">
        <f>VLOOKUP(I1073,'[1]PC50 Y2018 Status'!$D:$H,5,FALSE)</f>
        <v>#N/A</v>
      </c>
    </row>
    <row r="1074" spans="2:11" x14ac:dyDescent="0.25">
      <c r="B1074">
        <v>610000004062</v>
      </c>
      <c r="C1074" t="s">
        <v>64</v>
      </c>
      <c r="D1074">
        <v>54</v>
      </c>
      <c r="E1074" t="s">
        <v>360</v>
      </c>
      <c r="F1074" t="s">
        <v>257</v>
      </c>
      <c r="G1074" t="s">
        <v>13</v>
      </c>
      <c r="H1074" t="s">
        <v>14</v>
      </c>
      <c r="J1074" t="s">
        <v>15</v>
      </c>
      <c r="K1074" s="1" t="e">
        <f>VLOOKUP(I1074,'[1]PC50 Y2018 Status'!$D:$H,5,FALSE)</f>
        <v>#N/A</v>
      </c>
    </row>
    <row r="1075" spans="2:11" x14ac:dyDescent="0.25">
      <c r="B1075">
        <v>610000004063</v>
      </c>
      <c r="C1075" t="s">
        <v>64</v>
      </c>
      <c r="D1075">
        <v>52</v>
      </c>
      <c r="E1075" t="s">
        <v>360</v>
      </c>
      <c r="F1075" t="s">
        <v>257</v>
      </c>
      <c r="G1075" t="s">
        <v>13</v>
      </c>
      <c r="H1075" t="s">
        <v>14</v>
      </c>
      <c r="J1075" t="s">
        <v>15</v>
      </c>
      <c r="K1075" s="1" t="e">
        <f>VLOOKUP(I1075,'[1]PC50 Y2018 Status'!$D:$H,5,FALSE)</f>
        <v>#N/A</v>
      </c>
    </row>
    <row r="1076" spans="2:11" x14ac:dyDescent="0.25">
      <c r="B1076">
        <v>610000004064</v>
      </c>
      <c r="C1076" t="s">
        <v>64</v>
      </c>
      <c r="D1076">
        <v>52</v>
      </c>
      <c r="E1076" t="s">
        <v>360</v>
      </c>
      <c r="F1076" t="s">
        <v>257</v>
      </c>
      <c r="G1076" t="s">
        <v>13</v>
      </c>
      <c r="H1076" t="s">
        <v>14</v>
      </c>
      <c r="J1076" t="s">
        <v>15</v>
      </c>
      <c r="K1076" s="1" t="e">
        <f>VLOOKUP(I1076,'[1]PC50 Y2018 Status'!$D:$H,5,FALSE)</f>
        <v>#N/A</v>
      </c>
    </row>
    <row r="1077" spans="2:11" x14ac:dyDescent="0.25">
      <c r="B1077">
        <v>610000004068</v>
      </c>
      <c r="C1077" t="s">
        <v>24</v>
      </c>
      <c r="D1077">
        <v>233</v>
      </c>
      <c r="E1077" t="s">
        <v>360</v>
      </c>
      <c r="F1077" t="s">
        <v>257</v>
      </c>
      <c r="G1077" t="s">
        <v>13</v>
      </c>
      <c r="H1077" t="s">
        <v>14</v>
      </c>
      <c r="J1077" t="s">
        <v>15</v>
      </c>
      <c r="K1077" s="1" t="e">
        <f>VLOOKUP(I1077,'[1]PC50 Y2018 Status'!$D:$H,5,FALSE)</f>
        <v>#N/A</v>
      </c>
    </row>
    <row r="1078" spans="2:11" x14ac:dyDescent="0.25">
      <c r="B1078">
        <v>610000004071</v>
      </c>
      <c r="C1078" t="s">
        <v>70</v>
      </c>
      <c r="D1078">
        <v>64</v>
      </c>
      <c r="E1078" t="s">
        <v>360</v>
      </c>
      <c r="F1078" t="s">
        <v>257</v>
      </c>
      <c r="G1078" t="s">
        <v>13</v>
      </c>
      <c r="H1078" t="s">
        <v>14</v>
      </c>
      <c r="J1078" t="s">
        <v>15</v>
      </c>
      <c r="K1078" s="1" t="e">
        <f>VLOOKUP(I1078,'[1]PC50 Y2018 Status'!$D:$H,5,FALSE)</f>
        <v>#N/A</v>
      </c>
    </row>
    <row r="1079" spans="2:11" x14ac:dyDescent="0.25">
      <c r="B1079">
        <v>610000004072</v>
      </c>
      <c r="C1079" t="s">
        <v>70</v>
      </c>
      <c r="D1079">
        <v>52</v>
      </c>
      <c r="E1079" t="s">
        <v>360</v>
      </c>
      <c r="F1079" t="s">
        <v>257</v>
      </c>
      <c r="G1079" t="s">
        <v>13</v>
      </c>
      <c r="H1079" t="s">
        <v>14</v>
      </c>
      <c r="J1079" t="s">
        <v>15</v>
      </c>
      <c r="K1079" s="1" t="e">
        <f>VLOOKUP(I1079,'[1]PC50 Y2018 Status'!$D:$H,5,FALSE)</f>
        <v>#N/A</v>
      </c>
    </row>
    <row r="1080" spans="2:11" x14ac:dyDescent="0.25">
      <c r="B1080">
        <v>610000004073</v>
      </c>
      <c r="C1080" t="s">
        <v>70</v>
      </c>
      <c r="D1080">
        <v>51</v>
      </c>
      <c r="E1080" t="s">
        <v>360</v>
      </c>
      <c r="F1080" t="s">
        <v>257</v>
      </c>
      <c r="G1080" t="s">
        <v>13</v>
      </c>
      <c r="H1080" t="s">
        <v>14</v>
      </c>
      <c r="J1080" t="s">
        <v>15</v>
      </c>
      <c r="K1080" s="1" t="e">
        <f>VLOOKUP(I1080,'[1]PC50 Y2018 Status'!$D:$H,5,FALSE)</f>
        <v>#N/A</v>
      </c>
    </row>
    <row r="1081" spans="2:11" x14ac:dyDescent="0.25">
      <c r="B1081">
        <v>610000004077</v>
      </c>
      <c r="C1081" t="s">
        <v>39</v>
      </c>
      <c r="D1081">
        <v>116</v>
      </c>
      <c r="E1081" t="s">
        <v>360</v>
      </c>
      <c r="F1081" t="s">
        <v>257</v>
      </c>
      <c r="G1081" t="s">
        <v>13</v>
      </c>
      <c r="H1081" t="s">
        <v>14</v>
      </c>
      <c r="J1081" t="s">
        <v>15</v>
      </c>
      <c r="K1081" s="1" t="e">
        <f>VLOOKUP(I1081,'[1]PC50 Y2018 Status'!$D:$H,5,FALSE)</f>
        <v>#N/A</v>
      </c>
    </row>
    <row r="1082" spans="2:11" x14ac:dyDescent="0.25">
      <c r="B1082">
        <v>610000004078</v>
      </c>
      <c r="C1082" t="s">
        <v>71</v>
      </c>
      <c r="D1082">
        <v>52</v>
      </c>
      <c r="E1082" t="s">
        <v>360</v>
      </c>
      <c r="F1082" t="s">
        <v>257</v>
      </c>
      <c r="G1082" t="s">
        <v>13</v>
      </c>
      <c r="H1082" t="s">
        <v>14</v>
      </c>
      <c r="J1082" t="s">
        <v>15</v>
      </c>
      <c r="K1082" s="1" t="e">
        <f>VLOOKUP(I1082,'[1]PC50 Y2018 Status'!$D:$H,5,FALSE)</f>
        <v>#N/A</v>
      </c>
    </row>
    <row r="1083" spans="2:11" x14ac:dyDescent="0.25">
      <c r="B1083">
        <v>610000004085</v>
      </c>
      <c r="C1083" t="s">
        <v>18</v>
      </c>
      <c r="D1083">
        <v>116</v>
      </c>
      <c r="E1083" t="s">
        <v>360</v>
      </c>
      <c r="F1083" t="s">
        <v>257</v>
      </c>
      <c r="G1083" t="s">
        <v>13</v>
      </c>
      <c r="H1083" t="s">
        <v>14</v>
      </c>
      <c r="J1083" t="s">
        <v>15</v>
      </c>
      <c r="K1083" s="1" t="e">
        <f>VLOOKUP(I1083,'[1]PC50 Y2018 Status'!$D:$H,5,FALSE)</f>
        <v>#N/A</v>
      </c>
    </row>
    <row r="1084" spans="2:11" x14ac:dyDescent="0.25">
      <c r="B1084">
        <v>610000004086</v>
      </c>
      <c r="C1084" t="s">
        <v>18</v>
      </c>
      <c r="D1084">
        <v>116</v>
      </c>
      <c r="E1084" t="s">
        <v>360</v>
      </c>
      <c r="F1084" t="s">
        <v>257</v>
      </c>
      <c r="G1084" t="s">
        <v>13</v>
      </c>
      <c r="H1084" t="s">
        <v>14</v>
      </c>
      <c r="J1084" t="s">
        <v>15</v>
      </c>
      <c r="K1084" s="1" t="e">
        <f>VLOOKUP(I1084,'[1]PC50 Y2018 Status'!$D:$H,5,FALSE)</f>
        <v>#N/A</v>
      </c>
    </row>
    <row r="1085" spans="2:11" x14ac:dyDescent="0.25">
      <c r="B1085">
        <v>610000004135</v>
      </c>
      <c r="C1085" t="s">
        <v>95</v>
      </c>
      <c r="D1085">
        <v>18</v>
      </c>
      <c r="E1085" t="s">
        <v>360</v>
      </c>
      <c r="F1085" t="s">
        <v>257</v>
      </c>
      <c r="G1085" t="s">
        <v>13</v>
      </c>
      <c r="H1085" t="s">
        <v>14</v>
      </c>
      <c r="J1085" t="s">
        <v>22</v>
      </c>
      <c r="K1085" s="1" t="e">
        <f>VLOOKUP(I1085,'[1]PC50 Y2018 Status'!$D:$H,5,FALSE)</f>
        <v>#N/A</v>
      </c>
    </row>
    <row r="1086" spans="2:11" x14ac:dyDescent="0.25">
      <c r="B1086">
        <v>610000004091</v>
      </c>
      <c r="C1086" t="s">
        <v>47</v>
      </c>
      <c r="D1086">
        <v>115</v>
      </c>
      <c r="E1086" t="s">
        <v>361</v>
      </c>
      <c r="F1086" t="s">
        <v>257</v>
      </c>
      <c r="G1086" t="s">
        <v>13</v>
      </c>
      <c r="H1086" t="s">
        <v>14</v>
      </c>
      <c r="J1086" t="s">
        <v>15</v>
      </c>
      <c r="K1086" s="1" t="e">
        <f>VLOOKUP(I1086,'[1]PC50 Y2018 Status'!$D:$H,5,FALSE)</f>
        <v>#N/A</v>
      </c>
    </row>
    <row r="1087" spans="2:11" x14ac:dyDescent="0.25">
      <c r="B1087">
        <v>610000004161</v>
      </c>
      <c r="C1087" t="s">
        <v>48</v>
      </c>
      <c r="D1087">
        <v>117</v>
      </c>
      <c r="E1087" t="s">
        <v>361</v>
      </c>
      <c r="F1087" t="s">
        <v>257</v>
      </c>
      <c r="G1087" t="s">
        <v>13</v>
      </c>
      <c r="H1087" t="s">
        <v>14</v>
      </c>
      <c r="J1087" t="s">
        <v>22</v>
      </c>
      <c r="K1087" s="1" t="e">
        <f>VLOOKUP(I1087,'[1]PC50 Y2018 Status'!$D:$H,5,FALSE)</f>
        <v>#N/A</v>
      </c>
    </row>
    <row r="1088" spans="2:11" x14ac:dyDescent="0.25">
      <c r="B1088">
        <v>342257</v>
      </c>
      <c r="C1088" t="s">
        <v>25</v>
      </c>
      <c r="D1088">
        <v>198</v>
      </c>
      <c r="E1088" t="s">
        <v>362</v>
      </c>
      <c r="F1088" t="s">
        <v>257</v>
      </c>
      <c r="G1088" t="s">
        <v>13</v>
      </c>
      <c r="H1088" t="s">
        <v>14</v>
      </c>
      <c r="J1088" t="s">
        <v>15</v>
      </c>
      <c r="K1088" s="1" t="e">
        <f>VLOOKUP(I1088,'[1]PC50 Y2018 Status'!$D:$H,5,FALSE)</f>
        <v>#N/A</v>
      </c>
    </row>
    <row r="1089" spans="2:11" x14ac:dyDescent="0.25">
      <c r="B1089">
        <v>342694</v>
      </c>
      <c r="C1089" t="s">
        <v>32</v>
      </c>
      <c r="D1089">
        <v>38</v>
      </c>
      <c r="E1089" t="s">
        <v>362</v>
      </c>
      <c r="F1089" t="s">
        <v>257</v>
      </c>
      <c r="G1089" t="s">
        <v>13</v>
      </c>
      <c r="H1089" t="s">
        <v>14</v>
      </c>
      <c r="J1089" t="s">
        <v>15</v>
      </c>
      <c r="K1089" s="1" t="e">
        <f>VLOOKUP(I1089,'[1]PC50 Y2018 Status'!$D:$H,5,FALSE)</f>
        <v>#N/A</v>
      </c>
    </row>
    <row r="1090" spans="2:11" x14ac:dyDescent="0.25">
      <c r="B1090">
        <v>347637</v>
      </c>
      <c r="C1090" t="s">
        <v>27</v>
      </c>
      <c r="D1090">
        <v>56</v>
      </c>
      <c r="E1090" t="s">
        <v>362</v>
      </c>
      <c r="F1090" t="s">
        <v>257</v>
      </c>
      <c r="G1090" t="s">
        <v>13</v>
      </c>
      <c r="H1090" t="s">
        <v>14</v>
      </c>
      <c r="J1090" t="s">
        <v>15</v>
      </c>
      <c r="K1090" s="1" t="e">
        <f>VLOOKUP(I1090,'[1]PC50 Y2018 Status'!$D:$H,5,FALSE)</f>
        <v>#N/A</v>
      </c>
    </row>
    <row r="1091" spans="2:11" x14ac:dyDescent="0.25">
      <c r="B1091">
        <v>350834</v>
      </c>
      <c r="C1091" t="s">
        <v>64</v>
      </c>
      <c r="D1091">
        <v>6</v>
      </c>
      <c r="E1091" t="s">
        <v>362</v>
      </c>
      <c r="F1091" t="s">
        <v>257</v>
      </c>
      <c r="G1091" t="s">
        <v>13</v>
      </c>
      <c r="H1091" t="s">
        <v>14</v>
      </c>
      <c r="J1091" t="s">
        <v>15</v>
      </c>
      <c r="K1091" s="1" t="e">
        <f>VLOOKUP(I1091,'[1]PC50 Y2018 Status'!$D:$H,5,FALSE)</f>
        <v>#N/A</v>
      </c>
    </row>
    <row r="1092" spans="2:11" x14ac:dyDescent="0.25">
      <c r="B1092">
        <v>610000004021</v>
      </c>
      <c r="C1092" t="s">
        <v>10</v>
      </c>
      <c r="D1092">
        <v>108</v>
      </c>
      <c r="E1092" t="s">
        <v>362</v>
      </c>
      <c r="F1092" t="s">
        <v>257</v>
      </c>
      <c r="G1092" t="s">
        <v>13</v>
      </c>
      <c r="H1092" t="s">
        <v>14</v>
      </c>
      <c r="J1092" t="s">
        <v>15</v>
      </c>
      <c r="K1092" s="1" t="e">
        <f>VLOOKUP(I1092,'[1]PC50 Y2018 Status'!$D:$H,5,FALSE)</f>
        <v>#N/A</v>
      </c>
    </row>
    <row r="1093" spans="2:11" x14ac:dyDescent="0.25">
      <c r="B1093">
        <v>610000004022</v>
      </c>
      <c r="C1093" t="s">
        <v>10</v>
      </c>
      <c r="D1093">
        <v>52</v>
      </c>
      <c r="E1093" t="s">
        <v>362</v>
      </c>
      <c r="F1093" t="s">
        <v>257</v>
      </c>
      <c r="G1093" t="s">
        <v>13</v>
      </c>
      <c r="H1093" t="s">
        <v>14</v>
      </c>
      <c r="J1093" t="s">
        <v>15</v>
      </c>
      <c r="K1093" s="1" t="e">
        <f>VLOOKUP(I1093,'[1]PC50 Y2018 Status'!$D:$H,5,FALSE)</f>
        <v>#N/A</v>
      </c>
    </row>
    <row r="1094" spans="2:11" x14ac:dyDescent="0.25">
      <c r="B1094">
        <v>610000004024</v>
      </c>
      <c r="C1094" t="s">
        <v>30</v>
      </c>
      <c r="D1094">
        <v>10</v>
      </c>
      <c r="E1094" t="s">
        <v>362</v>
      </c>
      <c r="F1094" t="s">
        <v>257</v>
      </c>
      <c r="G1094" t="s">
        <v>13</v>
      </c>
      <c r="H1094" t="s">
        <v>14</v>
      </c>
      <c r="J1094" t="s">
        <v>15</v>
      </c>
      <c r="K1094" s="1" t="e">
        <f>VLOOKUP(I1094,'[1]PC50 Y2018 Status'!$D:$H,5,FALSE)</f>
        <v>#N/A</v>
      </c>
    </row>
    <row r="1095" spans="2:11" x14ac:dyDescent="0.25">
      <c r="B1095">
        <v>610000004027</v>
      </c>
      <c r="C1095" t="s">
        <v>44</v>
      </c>
      <c r="D1095">
        <v>54</v>
      </c>
      <c r="E1095" t="s">
        <v>362</v>
      </c>
      <c r="F1095" t="s">
        <v>257</v>
      </c>
      <c r="G1095" t="s">
        <v>13</v>
      </c>
      <c r="H1095" t="s">
        <v>14</v>
      </c>
      <c r="J1095" t="s">
        <v>15</v>
      </c>
      <c r="K1095" s="1" t="e">
        <f>VLOOKUP(I1095,'[1]PC50 Y2018 Status'!$D:$H,5,FALSE)</f>
        <v>#N/A</v>
      </c>
    </row>
    <row r="1096" spans="2:11" x14ac:dyDescent="0.25">
      <c r="B1096">
        <v>610000004033</v>
      </c>
      <c r="C1096" t="s">
        <v>32</v>
      </c>
      <c r="D1096">
        <v>51</v>
      </c>
      <c r="E1096" t="s">
        <v>362</v>
      </c>
      <c r="F1096" t="s">
        <v>257</v>
      </c>
      <c r="G1096" t="s">
        <v>13</v>
      </c>
      <c r="H1096" t="s">
        <v>14</v>
      </c>
      <c r="J1096" t="s">
        <v>15</v>
      </c>
      <c r="K1096" s="1" t="e">
        <f>VLOOKUP(I1096,'[1]PC50 Y2018 Status'!$D:$H,5,FALSE)</f>
        <v>#N/A</v>
      </c>
    </row>
    <row r="1097" spans="2:11" x14ac:dyDescent="0.25">
      <c r="B1097">
        <v>610000004053</v>
      </c>
      <c r="C1097" t="s">
        <v>46</v>
      </c>
      <c r="D1097">
        <v>53</v>
      </c>
      <c r="E1097" t="s">
        <v>362</v>
      </c>
      <c r="F1097" t="s">
        <v>257</v>
      </c>
      <c r="G1097" t="s">
        <v>13</v>
      </c>
      <c r="H1097" t="s">
        <v>14</v>
      </c>
      <c r="J1097" t="s">
        <v>15</v>
      </c>
      <c r="K1097" s="1" t="e">
        <f>VLOOKUP(I1097,'[1]PC50 Y2018 Status'!$D:$H,5,FALSE)</f>
        <v>#N/A</v>
      </c>
    </row>
    <row r="1098" spans="2:11" x14ac:dyDescent="0.25">
      <c r="B1098">
        <v>610000004054</v>
      </c>
      <c r="C1098" t="s">
        <v>46</v>
      </c>
      <c r="D1098">
        <v>53</v>
      </c>
      <c r="E1098" t="s">
        <v>362</v>
      </c>
      <c r="F1098" t="s">
        <v>257</v>
      </c>
      <c r="G1098" t="s">
        <v>13</v>
      </c>
      <c r="H1098" t="s">
        <v>14</v>
      </c>
      <c r="J1098" t="s">
        <v>15</v>
      </c>
      <c r="K1098" s="1" t="e">
        <f>VLOOKUP(I1098,'[1]PC50 Y2018 Status'!$D:$H,5,FALSE)</f>
        <v>#N/A</v>
      </c>
    </row>
    <row r="1099" spans="2:11" x14ac:dyDescent="0.25">
      <c r="B1099">
        <v>610000004079</v>
      </c>
      <c r="C1099" t="s">
        <v>71</v>
      </c>
      <c r="D1099">
        <v>52</v>
      </c>
      <c r="E1099" t="s">
        <v>362</v>
      </c>
      <c r="F1099" t="s">
        <v>257</v>
      </c>
      <c r="G1099" t="s">
        <v>13</v>
      </c>
      <c r="H1099" t="s">
        <v>14</v>
      </c>
      <c r="J1099" t="s">
        <v>15</v>
      </c>
      <c r="K1099" s="1" t="e">
        <f>VLOOKUP(I1099,'[1]PC50 Y2018 Status'!$D:$H,5,FALSE)</f>
        <v>#N/A</v>
      </c>
    </row>
    <row r="1100" spans="2:11" x14ac:dyDescent="0.25">
      <c r="B1100">
        <v>610000004080</v>
      </c>
      <c r="C1100" t="s">
        <v>71</v>
      </c>
      <c r="D1100">
        <v>53</v>
      </c>
      <c r="E1100" t="s">
        <v>362</v>
      </c>
      <c r="F1100" t="s">
        <v>257</v>
      </c>
      <c r="G1100" t="s">
        <v>13</v>
      </c>
      <c r="H1100" t="s">
        <v>14</v>
      </c>
      <c r="J1100" t="s">
        <v>15</v>
      </c>
      <c r="K1100" s="1" t="e">
        <f>VLOOKUP(I1100,'[1]PC50 Y2018 Status'!$D:$H,5,FALSE)</f>
        <v>#N/A</v>
      </c>
    </row>
    <row r="1101" spans="2:11" x14ac:dyDescent="0.25">
      <c r="B1101">
        <v>610000004087</v>
      </c>
      <c r="C1101" t="s">
        <v>72</v>
      </c>
      <c r="D1101">
        <v>51</v>
      </c>
      <c r="E1101" t="s">
        <v>362</v>
      </c>
      <c r="F1101" t="s">
        <v>257</v>
      </c>
      <c r="G1101" t="s">
        <v>13</v>
      </c>
      <c r="H1101" t="s">
        <v>14</v>
      </c>
      <c r="J1101" t="s">
        <v>15</v>
      </c>
      <c r="K1101" s="1" t="e">
        <f>VLOOKUP(I1101,'[1]PC50 Y2018 Status'!$D:$H,5,FALSE)</f>
        <v>#N/A</v>
      </c>
    </row>
    <row r="1102" spans="2:11" x14ac:dyDescent="0.25">
      <c r="B1102">
        <v>610000004088</v>
      </c>
      <c r="C1102" t="s">
        <v>72</v>
      </c>
      <c r="D1102">
        <v>51</v>
      </c>
      <c r="E1102" t="s">
        <v>362</v>
      </c>
      <c r="F1102" t="s">
        <v>257</v>
      </c>
      <c r="G1102" t="s">
        <v>13</v>
      </c>
      <c r="H1102" t="s">
        <v>14</v>
      </c>
      <c r="J1102" t="s">
        <v>15</v>
      </c>
      <c r="K1102" s="1" t="e">
        <f>VLOOKUP(I1102,'[1]PC50 Y2018 Status'!$D:$H,5,FALSE)</f>
        <v>#N/A</v>
      </c>
    </row>
    <row r="1103" spans="2:11" x14ac:dyDescent="0.25">
      <c r="B1103">
        <v>610000004092</v>
      </c>
      <c r="C1103" t="s">
        <v>73</v>
      </c>
      <c r="D1103">
        <v>51</v>
      </c>
      <c r="E1103" t="s">
        <v>362</v>
      </c>
      <c r="F1103" t="s">
        <v>257</v>
      </c>
      <c r="G1103" t="s">
        <v>13</v>
      </c>
      <c r="H1103" t="s">
        <v>14</v>
      </c>
      <c r="J1103" t="s">
        <v>15</v>
      </c>
      <c r="K1103" s="1" t="e">
        <f>VLOOKUP(I1103,'[1]PC50 Y2018 Status'!$D:$H,5,FALSE)</f>
        <v>#N/A</v>
      </c>
    </row>
    <row r="1104" spans="2:11" x14ac:dyDescent="0.25">
      <c r="B1104">
        <v>610000004050</v>
      </c>
      <c r="C1104" t="s">
        <v>17</v>
      </c>
      <c r="D1104">
        <v>116</v>
      </c>
      <c r="E1104" t="s">
        <v>363</v>
      </c>
      <c r="F1104" t="s">
        <v>257</v>
      </c>
      <c r="G1104" t="s">
        <v>13</v>
      </c>
      <c r="H1104" t="s">
        <v>14</v>
      </c>
      <c r="J1104" t="s">
        <v>15</v>
      </c>
      <c r="K1104" s="1" t="e">
        <f>VLOOKUP(I1104,'[1]PC50 Y2018 Status'!$D:$H,5,FALSE)</f>
        <v>#N/A</v>
      </c>
    </row>
    <row r="1105" spans="2:11" x14ac:dyDescent="0.25">
      <c r="B1105">
        <v>610000004138</v>
      </c>
      <c r="C1105" t="s">
        <v>96</v>
      </c>
      <c r="D1105">
        <v>9</v>
      </c>
      <c r="E1105" t="s">
        <v>363</v>
      </c>
      <c r="F1105" t="s">
        <v>257</v>
      </c>
      <c r="G1105" t="s">
        <v>13</v>
      </c>
      <c r="H1105" t="s">
        <v>14</v>
      </c>
      <c r="J1105" t="s">
        <v>22</v>
      </c>
      <c r="K1105" s="1" t="e">
        <f>VLOOKUP(I1105,'[1]PC50 Y2018 Status'!$D:$H,5,FALSE)</f>
        <v>#N/A</v>
      </c>
    </row>
    <row r="1106" spans="2:11" x14ac:dyDescent="0.25">
      <c r="B1106">
        <v>610000004165</v>
      </c>
      <c r="C1106" t="s">
        <v>31</v>
      </c>
      <c r="D1106">
        <v>29</v>
      </c>
      <c r="E1106" t="s">
        <v>363</v>
      </c>
      <c r="F1106" t="s">
        <v>257</v>
      </c>
      <c r="G1106" t="s">
        <v>13</v>
      </c>
      <c r="H1106" t="s">
        <v>14</v>
      </c>
      <c r="J1106" t="s">
        <v>22</v>
      </c>
      <c r="K1106" s="1" t="e">
        <f>VLOOKUP(I1106,'[1]PC50 Y2018 Status'!$D:$H,5,FALSE)</f>
        <v>#N/A</v>
      </c>
    </row>
    <row r="1107" spans="2:11" x14ac:dyDescent="0.25">
      <c r="B1107">
        <v>610000004166</v>
      </c>
      <c r="C1107" t="s">
        <v>31</v>
      </c>
      <c r="D1107">
        <v>29</v>
      </c>
      <c r="E1107" t="s">
        <v>363</v>
      </c>
      <c r="F1107" t="s">
        <v>257</v>
      </c>
      <c r="G1107" t="s">
        <v>13</v>
      </c>
      <c r="H1107" t="s">
        <v>14</v>
      </c>
      <c r="J1107" t="s">
        <v>22</v>
      </c>
      <c r="K1107" s="1" t="e">
        <f>VLOOKUP(I1107,'[1]PC50 Y2018 Status'!$D:$H,5,FALSE)</f>
        <v>#N/A</v>
      </c>
    </row>
    <row r="1108" spans="2:11" x14ac:dyDescent="0.25">
      <c r="B1108">
        <v>610000004031</v>
      </c>
      <c r="C1108" t="s">
        <v>16</v>
      </c>
      <c r="D1108">
        <v>115</v>
      </c>
      <c r="E1108" t="s">
        <v>364</v>
      </c>
      <c r="F1108" t="s">
        <v>257</v>
      </c>
      <c r="G1108" t="s">
        <v>13</v>
      </c>
      <c r="H1108" t="s">
        <v>14</v>
      </c>
      <c r="J1108" t="s">
        <v>15</v>
      </c>
      <c r="K1108" s="1" t="e">
        <f>VLOOKUP(I1108,'[1]PC50 Y2018 Status'!$D:$H,5,FALSE)</f>
        <v>#N/A</v>
      </c>
    </row>
    <row r="1109" spans="2:11" x14ac:dyDescent="0.25">
      <c r="B1109">
        <v>610000004051</v>
      </c>
      <c r="C1109" t="s">
        <v>17</v>
      </c>
      <c r="D1109">
        <v>116</v>
      </c>
      <c r="E1109" t="s">
        <v>364</v>
      </c>
      <c r="F1109" t="s">
        <v>257</v>
      </c>
      <c r="G1109" t="s">
        <v>13</v>
      </c>
      <c r="H1109" t="s">
        <v>14</v>
      </c>
      <c r="J1109" t="s">
        <v>15</v>
      </c>
      <c r="K1109" s="1" t="e">
        <f>VLOOKUP(I1109,'[1]PC50 Y2018 Status'!$D:$H,5,FALSE)</f>
        <v>#N/A</v>
      </c>
    </row>
    <row r="1110" spans="2:11" x14ac:dyDescent="0.25">
      <c r="B1110">
        <v>610000004057</v>
      </c>
      <c r="C1110" t="s">
        <v>192</v>
      </c>
      <c r="D1110">
        <v>12</v>
      </c>
      <c r="E1110" t="s">
        <v>364</v>
      </c>
      <c r="F1110" t="s">
        <v>257</v>
      </c>
      <c r="G1110" t="s">
        <v>13</v>
      </c>
      <c r="H1110" t="s">
        <v>14</v>
      </c>
      <c r="J1110" t="s">
        <v>15</v>
      </c>
      <c r="K1110" s="1" t="e">
        <f>VLOOKUP(I1110,'[1]PC50 Y2018 Status'!$D:$H,5,FALSE)</f>
        <v>#N/A</v>
      </c>
    </row>
    <row r="1111" spans="2:11" x14ac:dyDescent="0.25">
      <c r="B1111">
        <v>610000004058</v>
      </c>
      <c r="C1111" t="s">
        <v>192</v>
      </c>
      <c r="D1111">
        <v>11</v>
      </c>
      <c r="E1111" t="s">
        <v>364</v>
      </c>
      <c r="F1111" t="s">
        <v>257</v>
      </c>
      <c r="G1111" t="s">
        <v>13</v>
      </c>
      <c r="H1111" t="s">
        <v>14</v>
      </c>
      <c r="J1111" t="s">
        <v>15</v>
      </c>
      <c r="K1111" s="1" t="e">
        <f>VLOOKUP(I1111,'[1]PC50 Y2018 Status'!$D:$H,5,FALSE)</f>
        <v>#N/A</v>
      </c>
    </row>
    <row r="1112" spans="2:11" x14ac:dyDescent="0.25">
      <c r="B1112">
        <v>610000004059</v>
      </c>
      <c r="C1112" t="s">
        <v>192</v>
      </c>
      <c r="D1112">
        <v>9</v>
      </c>
      <c r="E1112" t="s">
        <v>364</v>
      </c>
      <c r="F1112" t="s">
        <v>257</v>
      </c>
      <c r="G1112" t="s">
        <v>13</v>
      </c>
      <c r="H1112" t="s">
        <v>14</v>
      </c>
      <c r="J1112" t="s">
        <v>15</v>
      </c>
      <c r="K1112" s="1" t="e">
        <f>VLOOKUP(I1112,'[1]PC50 Y2018 Status'!$D:$H,5,FALSE)</f>
        <v>#N/A</v>
      </c>
    </row>
    <row r="1113" spans="2:11" x14ac:dyDescent="0.25">
      <c r="B1113">
        <v>342258</v>
      </c>
      <c r="C1113" t="s">
        <v>18</v>
      </c>
      <c r="D1113">
        <v>99</v>
      </c>
      <c r="E1113" t="s">
        <v>365</v>
      </c>
      <c r="F1113" t="s">
        <v>257</v>
      </c>
      <c r="G1113" t="s">
        <v>13</v>
      </c>
      <c r="H1113" t="s">
        <v>14</v>
      </c>
      <c r="J1113" t="s">
        <v>15</v>
      </c>
      <c r="K1113" s="1" t="e">
        <f>VLOOKUP(I1113,'[1]PC50 Y2018 Status'!$D:$H,5,FALSE)</f>
        <v>#N/A</v>
      </c>
    </row>
    <row r="1114" spans="2:11" x14ac:dyDescent="0.25">
      <c r="B1114">
        <v>610000004095</v>
      </c>
      <c r="C1114" t="s">
        <v>40</v>
      </c>
      <c r="D1114">
        <v>56</v>
      </c>
      <c r="E1114" t="s">
        <v>365</v>
      </c>
      <c r="F1114" t="s">
        <v>257</v>
      </c>
      <c r="G1114" t="s">
        <v>13</v>
      </c>
      <c r="H1114" t="s">
        <v>14</v>
      </c>
      <c r="J1114" t="s">
        <v>22</v>
      </c>
      <c r="K1114" s="1" t="e">
        <f>VLOOKUP(I1114,'[1]PC50 Y2018 Status'!$D:$H,5,FALSE)</f>
        <v>#N/A</v>
      </c>
    </row>
    <row r="1115" spans="2:11" x14ac:dyDescent="0.25">
      <c r="B1115">
        <v>610000004163</v>
      </c>
      <c r="C1115" t="s">
        <v>43</v>
      </c>
      <c r="D1115">
        <v>56</v>
      </c>
      <c r="E1115" t="s">
        <v>365</v>
      </c>
      <c r="F1115" t="s">
        <v>257</v>
      </c>
      <c r="G1115" t="s">
        <v>13</v>
      </c>
      <c r="H1115" t="s">
        <v>14</v>
      </c>
      <c r="J1115" t="s">
        <v>22</v>
      </c>
      <c r="K1115" s="1" t="e">
        <f>VLOOKUP(I1115,'[1]PC50 Y2018 Status'!$D:$H,5,FALSE)</f>
        <v>#N/A</v>
      </c>
    </row>
    <row r="1116" spans="2:11" x14ac:dyDescent="0.25">
      <c r="B1116">
        <v>610000004068</v>
      </c>
      <c r="C1116" t="s">
        <v>24</v>
      </c>
      <c r="D1116">
        <v>234</v>
      </c>
      <c r="E1116" t="s">
        <v>366</v>
      </c>
      <c r="F1116" t="s">
        <v>257</v>
      </c>
      <c r="G1116" t="s">
        <v>13</v>
      </c>
      <c r="H1116" t="s">
        <v>14</v>
      </c>
      <c r="J1116" t="s">
        <v>15</v>
      </c>
      <c r="K1116" s="1" t="e">
        <f>VLOOKUP(I1116,'[1]PC50 Y2018 Status'!$D:$H,5,FALSE)</f>
        <v>#N/A</v>
      </c>
    </row>
    <row r="1117" spans="2:11" x14ac:dyDescent="0.25">
      <c r="B1117">
        <v>610000004172</v>
      </c>
      <c r="C1117" t="s">
        <v>20</v>
      </c>
      <c r="D1117">
        <v>5</v>
      </c>
      <c r="E1117" t="s">
        <v>367</v>
      </c>
      <c r="F1117" t="s">
        <v>257</v>
      </c>
      <c r="G1117" t="s">
        <v>13</v>
      </c>
      <c r="H1117" t="s">
        <v>14</v>
      </c>
      <c r="J1117" t="s">
        <v>22</v>
      </c>
      <c r="K1117" s="1" t="e">
        <f>VLOOKUP(I1117,'[1]PC50 Y2018 Status'!$D:$H,5,FALSE)</f>
        <v>#N/A</v>
      </c>
    </row>
    <row r="1118" spans="2:11" x14ac:dyDescent="0.25">
      <c r="B1118">
        <v>342257</v>
      </c>
      <c r="C1118" t="s">
        <v>25</v>
      </c>
      <c r="D1118">
        <v>199</v>
      </c>
      <c r="E1118" t="s">
        <v>368</v>
      </c>
      <c r="F1118" t="s">
        <v>257</v>
      </c>
      <c r="G1118" t="s">
        <v>13</v>
      </c>
      <c r="H1118" t="s">
        <v>14</v>
      </c>
      <c r="J1118" t="s">
        <v>15</v>
      </c>
      <c r="K1118" s="1" t="e">
        <f>VLOOKUP(I1118,'[1]PC50 Y2018 Status'!$D:$H,5,FALSE)</f>
        <v>#N/A</v>
      </c>
    </row>
    <row r="1119" spans="2:11" x14ac:dyDescent="0.25">
      <c r="B1119">
        <v>347637</v>
      </c>
      <c r="C1119" t="s">
        <v>27</v>
      </c>
      <c r="D1119">
        <v>57</v>
      </c>
      <c r="E1119" t="s">
        <v>368</v>
      </c>
      <c r="F1119" t="s">
        <v>257</v>
      </c>
      <c r="G1119" t="s">
        <v>13</v>
      </c>
      <c r="H1119" t="s">
        <v>14</v>
      </c>
      <c r="J1119" t="s">
        <v>15</v>
      </c>
      <c r="K1119" s="1" t="e">
        <f>VLOOKUP(I1119,'[1]PC50 Y2018 Status'!$D:$H,5,FALSE)</f>
        <v>#N/A</v>
      </c>
    </row>
    <row r="1120" spans="2:11" x14ac:dyDescent="0.25">
      <c r="B1120">
        <v>347638</v>
      </c>
      <c r="C1120" t="s">
        <v>16</v>
      </c>
      <c r="D1120">
        <v>29</v>
      </c>
      <c r="E1120" t="s">
        <v>368</v>
      </c>
      <c r="F1120" t="s">
        <v>257</v>
      </c>
      <c r="G1120" t="s">
        <v>13</v>
      </c>
      <c r="H1120" t="s">
        <v>14</v>
      </c>
      <c r="J1120" t="s">
        <v>15</v>
      </c>
      <c r="K1120" s="1" t="e">
        <f>VLOOKUP(I1120,'[1]PC50 Y2018 Status'!$D:$H,5,FALSE)</f>
        <v>#N/A</v>
      </c>
    </row>
    <row r="1121" spans="2:11" x14ac:dyDescent="0.25">
      <c r="B1121">
        <v>347677</v>
      </c>
      <c r="C1121" t="s">
        <v>104</v>
      </c>
      <c r="D1121">
        <v>5</v>
      </c>
      <c r="E1121" t="s">
        <v>368</v>
      </c>
      <c r="F1121" t="s">
        <v>257</v>
      </c>
      <c r="G1121" t="s">
        <v>13</v>
      </c>
      <c r="H1121" t="s">
        <v>14</v>
      </c>
      <c r="J1121" t="s">
        <v>22</v>
      </c>
      <c r="K1121" s="1" t="e">
        <f>VLOOKUP(I1121,'[1]PC50 Y2018 Status'!$D:$H,5,FALSE)</f>
        <v>#N/A</v>
      </c>
    </row>
    <row r="1122" spans="2:11" x14ac:dyDescent="0.25">
      <c r="B1122">
        <v>610000004101</v>
      </c>
      <c r="C1122" t="s">
        <v>51</v>
      </c>
      <c r="D1122">
        <v>61</v>
      </c>
      <c r="E1122" t="s">
        <v>369</v>
      </c>
      <c r="F1122" t="s">
        <v>257</v>
      </c>
      <c r="G1122" t="s">
        <v>13</v>
      </c>
      <c r="H1122" t="s">
        <v>14</v>
      </c>
      <c r="J1122" t="s">
        <v>22</v>
      </c>
      <c r="K1122" s="1" t="e">
        <f>VLOOKUP(I1122,'[1]PC50 Y2018 Status'!$D:$H,5,FALSE)</f>
        <v>#N/A</v>
      </c>
    </row>
    <row r="1123" spans="2:11" x14ac:dyDescent="0.25">
      <c r="B1123">
        <v>610000004121</v>
      </c>
      <c r="C1123" t="s">
        <v>54</v>
      </c>
      <c r="D1123">
        <v>61</v>
      </c>
      <c r="E1123" t="s">
        <v>369</v>
      </c>
      <c r="F1123" t="s">
        <v>257</v>
      </c>
      <c r="G1123" t="s">
        <v>13</v>
      </c>
      <c r="H1123" t="s">
        <v>14</v>
      </c>
      <c r="J1123" t="s">
        <v>22</v>
      </c>
      <c r="K1123" s="1" t="e">
        <f>VLOOKUP(I1123,'[1]PC50 Y2018 Status'!$D:$H,5,FALSE)</f>
        <v>#N/A</v>
      </c>
    </row>
    <row r="1124" spans="2:11" x14ac:dyDescent="0.25">
      <c r="B1124">
        <v>610000004143</v>
      </c>
      <c r="C1124" t="s">
        <v>55</v>
      </c>
      <c r="D1124">
        <v>29</v>
      </c>
      <c r="E1124" t="s">
        <v>369</v>
      </c>
      <c r="F1124" t="s">
        <v>257</v>
      </c>
      <c r="G1124" t="s">
        <v>13</v>
      </c>
      <c r="H1124" t="s">
        <v>14</v>
      </c>
      <c r="J1124" t="s">
        <v>22</v>
      </c>
      <c r="K1124" s="1" t="e">
        <f>VLOOKUP(I1124,'[1]PC50 Y2018 Status'!$D:$H,5,FALSE)</f>
        <v>#N/A</v>
      </c>
    </row>
    <row r="1125" spans="2:11" x14ac:dyDescent="0.25">
      <c r="B1125">
        <v>610000004153</v>
      </c>
      <c r="C1125" t="s">
        <v>56</v>
      </c>
      <c r="D1125">
        <v>29</v>
      </c>
      <c r="E1125" t="s">
        <v>369</v>
      </c>
      <c r="F1125" t="s">
        <v>257</v>
      </c>
      <c r="G1125" t="s">
        <v>13</v>
      </c>
      <c r="H1125" t="s">
        <v>14</v>
      </c>
      <c r="J1125" t="s">
        <v>22</v>
      </c>
      <c r="K1125" s="1" t="e">
        <f>VLOOKUP(I1125,'[1]PC50 Y2018 Status'!$D:$H,5,FALSE)</f>
        <v>#N/A</v>
      </c>
    </row>
    <row r="1126" spans="2:11" x14ac:dyDescent="0.25">
      <c r="B1126">
        <v>610000004093</v>
      </c>
      <c r="C1126" t="s">
        <v>199</v>
      </c>
      <c r="D1126">
        <v>9</v>
      </c>
      <c r="E1126" t="s">
        <v>370</v>
      </c>
      <c r="F1126" t="s">
        <v>257</v>
      </c>
      <c r="G1126" t="s">
        <v>13</v>
      </c>
      <c r="H1126" t="s">
        <v>14</v>
      </c>
      <c r="J1126" t="s">
        <v>15</v>
      </c>
      <c r="K1126" s="1" t="e">
        <f>VLOOKUP(I1126,'[1]PC50 Y2018 Status'!$D:$H,5,FALSE)</f>
        <v>#N/A</v>
      </c>
    </row>
    <row r="1127" spans="2:11" x14ac:dyDescent="0.25">
      <c r="B1127">
        <v>610000004178</v>
      </c>
      <c r="C1127" t="s">
        <v>59</v>
      </c>
      <c r="D1127">
        <v>29</v>
      </c>
      <c r="E1127" t="s">
        <v>370</v>
      </c>
      <c r="F1127" t="s">
        <v>257</v>
      </c>
      <c r="G1127" t="s">
        <v>13</v>
      </c>
      <c r="H1127" t="s">
        <v>14</v>
      </c>
      <c r="J1127" t="s">
        <v>22</v>
      </c>
      <c r="K1127" s="1" t="e">
        <f>VLOOKUP(I1127,'[1]PC50 Y2018 Status'!$D:$H,5,FALSE)</f>
        <v>#N/A</v>
      </c>
    </row>
    <row r="1128" spans="2:11" x14ac:dyDescent="0.25">
      <c r="B1128">
        <v>610000004128</v>
      </c>
      <c r="C1128" t="s">
        <v>61</v>
      </c>
      <c r="D1128">
        <v>62</v>
      </c>
      <c r="E1128" t="s">
        <v>371</v>
      </c>
      <c r="F1128" t="s">
        <v>257</v>
      </c>
      <c r="G1128" t="s">
        <v>13</v>
      </c>
      <c r="H1128" t="s">
        <v>14</v>
      </c>
      <c r="J1128" t="s">
        <v>22</v>
      </c>
      <c r="K1128" s="1" t="e">
        <f>VLOOKUP(I1128,'[1]PC50 Y2018 Status'!$D:$H,5,FALSE)</f>
        <v>#N/A</v>
      </c>
    </row>
    <row r="1129" spans="2:11" x14ac:dyDescent="0.25">
      <c r="B1129">
        <v>610000004142</v>
      </c>
      <c r="C1129" t="s">
        <v>55</v>
      </c>
      <c r="D1129">
        <v>61</v>
      </c>
      <c r="E1129" t="s">
        <v>371</v>
      </c>
      <c r="F1129" t="s">
        <v>257</v>
      </c>
      <c r="G1129" t="s">
        <v>13</v>
      </c>
      <c r="H1129" t="s">
        <v>14</v>
      </c>
      <c r="J1129" t="s">
        <v>22</v>
      </c>
      <c r="K1129" s="1" t="e">
        <f>VLOOKUP(I1129,'[1]PC50 Y2018 Status'!$D:$H,5,FALSE)</f>
        <v>#N/A</v>
      </c>
    </row>
    <row r="1130" spans="2:11" x14ac:dyDescent="0.25">
      <c r="B1130">
        <v>610000004151</v>
      </c>
      <c r="C1130" t="s">
        <v>62</v>
      </c>
      <c r="D1130">
        <v>61</v>
      </c>
      <c r="E1130" t="s">
        <v>371</v>
      </c>
      <c r="F1130" t="s">
        <v>257</v>
      </c>
      <c r="G1130" t="s">
        <v>13</v>
      </c>
      <c r="H1130" t="s">
        <v>14</v>
      </c>
      <c r="J1130" t="s">
        <v>22</v>
      </c>
      <c r="K1130" s="1" t="e">
        <f>VLOOKUP(I1130,'[1]PC50 Y2018 Status'!$D:$H,5,FALSE)</f>
        <v>#N/A</v>
      </c>
    </row>
    <row r="1131" spans="2:11" x14ac:dyDescent="0.25">
      <c r="B1131">
        <v>610000004175</v>
      </c>
      <c r="C1131" t="s">
        <v>34</v>
      </c>
      <c r="D1131">
        <v>116</v>
      </c>
      <c r="E1131" t="s">
        <v>371</v>
      </c>
      <c r="F1131" t="s">
        <v>257</v>
      </c>
      <c r="G1131" t="s">
        <v>13</v>
      </c>
      <c r="H1131" t="s">
        <v>14</v>
      </c>
      <c r="J1131" t="s">
        <v>22</v>
      </c>
      <c r="K1131" s="1" t="e">
        <f>VLOOKUP(I1131,'[1]PC50 Y2018 Status'!$D:$H,5,FALSE)</f>
        <v>#N/A</v>
      </c>
    </row>
    <row r="1132" spans="2:11" x14ac:dyDescent="0.25">
      <c r="B1132">
        <v>610000004069</v>
      </c>
      <c r="C1132" t="s">
        <v>35</v>
      </c>
      <c r="D1132">
        <v>117</v>
      </c>
      <c r="E1132" t="s">
        <v>372</v>
      </c>
      <c r="F1132" t="s">
        <v>257</v>
      </c>
      <c r="G1132" t="s">
        <v>13</v>
      </c>
      <c r="H1132" t="s">
        <v>14</v>
      </c>
      <c r="J1132" t="s">
        <v>15</v>
      </c>
      <c r="K1132" s="1" t="e">
        <f>VLOOKUP(I1132,'[1]PC50 Y2018 Status'!$D:$H,5,FALSE)</f>
        <v>#N/A</v>
      </c>
    </row>
    <row r="1133" spans="2:11" x14ac:dyDescent="0.25">
      <c r="B1133">
        <v>610000004070</v>
      </c>
      <c r="C1133" t="s">
        <v>35</v>
      </c>
      <c r="D1133">
        <v>117</v>
      </c>
      <c r="E1133" t="s">
        <v>372</v>
      </c>
      <c r="F1133" t="s">
        <v>257</v>
      </c>
      <c r="G1133" t="s">
        <v>13</v>
      </c>
      <c r="H1133" t="s">
        <v>14</v>
      </c>
      <c r="J1133" t="s">
        <v>15</v>
      </c>
      <c r="K1133" s="1" t="e">
        <f>VLOOKUP(I1133,'[1]PC50 Y2018 Status'!$D:$H,5,FALSE)</f>
        <v>#N/A</v>
      </c>
    </row>
    <row r="1134" spans="2:11" x14ac:dyDescent="0.25">
      <c r="B1134">
        <v>342279</v>
      </c>
      <c r="C1134" t="s">
        <v>64</v>
      </c>
      <c r="D1134">
        <v>46</v>
      </c>
      <c r="E1134" t="s">
        <v>373</v>
      </c>
      <c r="F1134" t="s">
        <v>257</v>
      </c>
      <c r="G1134" t="s">
        <v>13</v>
      </c>
      <c r="H1134" t="s">
        <v>14</v>
      </c>
      <c r="J1134" t="s">
        <v>15</v>
      </c>
      <c r="K1134" s="1" t="e">
        <f>VLOOKUP(I1134,'[1]PC50 Y2018 Status'!$D:$H,5,FALSE)</f>
        <v>#N/A</v>
      </c>
    </row>
    <row r="1135" spans="2:11" x14ac:dyDescent="0.25">
      <c r="B1135">
        <v>610000004032</v>
      </c>
      <c r="C1135" t="s">
        <v>32</v>
      </c>
      <c r="D1135">
        <v>62</v>
      </c>
      <c r="E1135" t="s">
        <v>373</v>
      </c>
      <c r="F1135" t="s">
        <v>257</v>
      </c>
      <c r="G1135" t="s">
        <v>13</v>
      </c>
      <c r="H1135" t="s">
        <v>14</v>
      </c>
      <c r="J1135" t="s">
        <v>15</v>
      </c>
      <c r="K1135" s="1" t="e">
        <f>VLOOKUP(I1135,'[1]PC50 Y2018 Status'!$D:$H,5,FALSE)</f>
        <v>#N/A</v>
      </c>
    </row>
    <row r="1136" spans="2:11" x14ac:dyDescent="0.25">
      <c r="B1136">
        <v>610000004068</v>
      </c>
      <c r="C1136" t="s">
        <v>24</v>
      </c>
      <c r="D1136">
        <v>235</v>
      </c>
      <c r="E1136" t="s">
        <v>373</v>
      </c>
      <c r="F1136" t="s">
        <v>257</v>
      </c>
      <c r="G1136" t="s">
        <v>13</v>
      </c>
      <c r="H1136" t="s">
        <v>14</v>
      </c>
      <c r="J1136" t="s">
        <v>15</v>
      </c>
      <c r="K1136" s="1" t="e">
        <f>VLOOKUP(I1136,'[1]PC50 Y2018 Status'!$D:$H,5,FALSE)</f>
        <v>#N/A</v>
      </c>
    </row>
    <row r="1137" spans="2:11" x14ac:dyDescent="0.25">
      <c r="B1137">
        <v>610000004077</v>
      </c>
      <c r="C1137" t="s">
        <v>39</v>
      </c>
      <c r="D1137">
        <v>117</v>
      </c>
      <c r="E1137" t="s">
        <v>373</v>
      </c>
      <c r="F1137" t="s">
        <v>257</v>
      </c>
      <c r="G1137" t="s">
        <v>13</v>
      </c>
      <c r="H1137" t="s">
        <v>14</v>
      </c>
      <c r="J1137" t="s">
        <v>15</v>
      </c>
      <c r="K1137" s="1" t="e">
        <f>VLOOKUP(I1137,'[1]PC50 Y2018 Status'!$D:$H,5,FALSE)</f>
        <v>#N/A</v>
      </c>
    </row>
    <row r="1138" spans="2:11" x14ac:dyDescent="0.25">
      <c r="B1138">
        <v>610000004085</v>
      </c>
      <c r="C1138" t="s">
        <v>18</v>
      </c>
      <c r="D1138">
        <v>117</v>
      </c>
      <c r="E1138" t="s">
        <v>373</v>
      </c>
      <c r="F1138" t="s">
        <v>257</v>
      </c>
      <c r="G1138" t="s">
        <v>13</v>
      </c>
      <c r="H1138" t="s">
        <v>14</v>
      </c>
      <c r="J1138" t="s">
        <v>15</v>
      </c>
      <c r="K1138" s="1" t="e">
        <f>VLOOKUP(I1138,'[1]PC50 Y2018 Status'!$D:$H,5,FALSE)</f>
        <v>#N/A</v>
      </c>
    </row>
    <row r="1139" spans="2:11" x14ac:dyDescent="0.25">
      <c r="B1139">
        <v>610000004086</v>
      </c>
      <c r="C1139" t="s">
        <v>18</v>
      </c>
      <c r="D1139">
        <v>117</v>
      </c>
      <c r="E1139" t="s">
        <v>373</v>
      </c>
      <c r="F1139" t="s">
        <v>257</v>
      </c>
      <c r="G1139" t="s">
        <v>13</v>
      </c>
      <c r="H1139" t="s">
        <v>14</v>
      </c>
      <c r="J1139" t="s">
        <v>15</v>
      </c>
      <c r="K1139" s="1" t="e">
        <f>VLOOKUP(I1139,'[1]PC50 Y2018 Status'!$D:$H,5,FALSE)</f>
        <v>#N/A</v>
      </c>
    </row>
    <row r="1140" spans="2:11" x14ac:dyDescent="0.25">
      <c r="B1140">
        <v>347716</v>
      </c>
      <c r="C1140" t="s">
        <v>28</v>
      </c>
      <c r="D1140">
        <v>13</v>
      </c>
      <c r="E1140" t="s">
        <v>374</v>
      </c>
      <c r="F1140" t="s">
        <v>257</v>
      </c>
      <c r="G1140" t="s">
        <v>13</v>
      </c>
      <c r="H1140" t="s">
        <v>14</v>
      </c>
      <c r="J1140" t="s">
        <v>22</v>
      </c>
      <c r="K1140" s="1" t="e">
        <f>VLOOKUP(I1140,'[1]PC50 Y2018 Status'!$D:$H,5,FALSE)</f>
        <v>#N/A</v>
      </c>
    </row>
    <row r="1141" spans="2:11" x14ac:dyDescent="0.25">
      <c r="B1141">
        <v>347741</v>
      </c>
      <c r="C1141" t="s">
        <v>28</v>
      </c>
      <c r="D1141">
        <v>13</v>
      </c>
      <c r="E1141" t="s">
        <v>374</v>
      </c>
      <c r="F1141" t="s">
        <v>257</v>
      </c>
      <c r="G1141" t="s">
        <v>13</v>
      </c>
      <c r="H1141" t="s">
        <v>14</v>
      </c>
      <c r="J1141" t="s">
        <v>22</v>
      </c>
      <c r="K1141" s="1" t="e">
        <f>VLOOKUP(I1141,'[1]PC50 Y2018 Status'!$D:$H,5,FALSE)</f>
        <v>#N/A</v>
      </c>
    </row>
    <row r="1142" spans="2:11" x14ac:dyDescent="0.25">
      <c r="B1142">
        <v>610000004091</v>
      </c>
      <c r="C1142" t="s">
        <v>47</v>
      </c>
      <c r="D1142">
        <v>116</v>
      </c>
      <c r="E1142" t="s">
        <v>374</v>
      </c>
      <c r="F1142" t="s">
        <v>257</v>
      </c>
      <c r="G1142" t="s">
        <v>13</v>
      </c>
      <c r="H1142" t="s">
        <v>14</v>
      </c>
      <c r="J1142" t="s">
        <v>15</v>
      </c>
      <c r="K1142" s="1" t="e">
        <f>VLOOKUP(I1142,'[1]PC50 Y2018 Status'!$D:$H,5,FALSE)</f>
        <v>#N/A</v>
      </c>
    </row>
    <row r="1143" spans="2:11" x14ac:dyDescent="0.25">
      <c r="B1143">
        <v>610000004102</v>
      </c>
      <c r="C1143" t="s">
        <v>67</v>
      </c>
      <c r="D1143">
        <v>55</v>
      </c>
      <c r="E1143" t="s">
        <v>374</v>
      </c>
      <c r="F1143" t="s">
        <v>257</v>
      </c>
      <c r="G1143" t="s">
        <v>13</v>
      </c>
      <c r="H1143" t="s">
        <v>14</v>
      </c>
      <c r="J1143" t="s">
        <v>22</v>
      </c>
      <c r="K1143" s="1" t="e">
        <f>VLOOKUP(I1143,'[1]PC50 Y2018 Status'!$D:$H,5,FALSE)</f>
        <v>#N/A</v>
      </c>
    </row>
    <row r="1144" spans="2:11" x14ac:dyDescent="0.25">
      <c r="B1144">
        <v>610000004129</v>
      </c>
      <c r="C1144" t="s">
        <v>68</v>
      </c>
      <c r="D1144">
        <v>55</v>
      </c>
      <c r="E1144" t="s">
        <v>374</v>
      </c>
      <c r="F1144" t="s">
        <v>257</v>
      </c>
      <c r="G1144" t="s">
        <v>13</v>
      </c>
      <c r="H1144" t="s">
        <v>14</v>
      </c>
      <c r="J1144" t="s">
        <v>22</v>
      </c>
      <c r="K1144" s="1" t="e">
        <f>VLOOKUP(I1144,'[1]PC50 Y2018 Status'!$D:$H,5,FALSE)</f>
        <v>#N/A</v>
      </c>
    </row>
    <row r="1145" spans="2:11" x14ac:dyDescent="0.25">
      <c r="B1145">
        <v>610000004161</v>
      </c>
      <c r="C1145" t="s">
        <v>48</v>
      </c>
      <c r="D1145">
        <v>118</v>
      </c>
      <c r="E1145" t="s">
        <v>374</v>
      </c>
      <c r="F1145" t="s">
        <v>257</v>
      </c>
      <c r="G1145" t="s">
        <v>13</v>
      </c>
      <c r="H1145" t="s">
        <v>14</v>
      </c>
      <c r="J1145" t="s">
        <v>22</v>
      </c>
      <c r="K1145" s="1" t="e">
        <f>VLOOKUP(I1145,'[1]PC50 Y2018 Status'!$D:$H,5,FALSE)</f>
        <v>#N/A</v>
      </c>
    </row>
    <row r="1146" spans="2:11" x14ac:dyDescent="0.25">
      <c r="B1146">
        <v>610000004177</v>
      </c>
      <c r="C1146" t="s">
        <v>37</v>
      </c>
      <c r="D1146">
        <v>56</v>
      </c>
      <c r="E1146" t="s">
        <v>374</v>
      </c>
      <c r="F1146" t="s">
        <v>257</v>
      </c>
      <c r="G1146" t="s">
        <v>13</v>
      </c>
      <c r="H1146" t="s">
        <v>14</v>
      </c>
      <c r="J1146" t="s">
        <v>22</v>
      </c>
      <c r="K1146" s="1" t="e">
        <f>VLOOKUP(I1146,'[1]PC50 Y2018 Status'!$D:$H,5,FALSE)</f>
        <v>#N/A</v>
      </c>
    </row>
    <row r="1147" spans="2:11" x14ac:dyDescent="0.25">
      <c r="B1147">
        <v>342257</v>
      </c>
      <c r="C1147" t="s">
        <v>25</v>
      </c>
      <c r="D1147">
        <v>200</v>
      </c>
      <c r="E1147" t="s">
        <v>375</v>
      </c>
      <c r="F1147" t="s">
        <v>257</v>
      </c>
      <c r="G1147" t="s">
        <v>13</v>
      </c>
      <c r="H1147" t="s">
        <v>14</v>
      </c>
      <c r="J1147" t="s">
        <v>15</v>
      </c>
      <c r="K1147" s="1" t="e">
        <f>VLOOKUP(I1147,'[1]PC50 Y2018 Status'!$D:$H,5,FALSE)</f>
        <v>#N/A</v>
      </c>
    </row>
    <row r="1148" spans="2:11" x14ac:dyDescent="0.25">
      <c r="B1148">
        <v>347637</v>
      </c>
      <c r="C1148" t="s">
        <v>27</v>
      </c>
      <c r="D1148">
        <v>58</v>
      </c>
      <c r="E1148" t="s">
        <v>375</v>
      </c>
      <c r="F1148" t="s">
        <v>257</v>
      </c>
      <c r="G1148" t="s">
        <v>13</v>
      </c>
      <c r="H1148" t="s">
        <v>14</v>
      </c>
      <c r="J1148" t="s">
        <v>15</v>
      </c>
      <c r="K1148" s="1" t="e">
        <f>VLOOKUP(I1148,'[1]PC50 Y2018 Status'!$D:$H,5,FALSE)</f>
        <v>#N/A</v>
      </c>
    </row>
    <row r="1149" spans="2:11" x14ac:dyDescent="0.25">
      <c r="B1149">
        <v>342254</v>
      </c>
      <c r="C1149" t="s">
        <v>125</v>
      </c>
      <c r="D1149">
        <v>5</v>
      </c>
      <c r="E1149" t="s">
        <v>376</v>
      </c>
      <c r="F1149" t="s">
        <v>257</v>
      </c>
      <c r="G1149" t="s">
        <v>13</v>
      </c>
      <c r="H1149" t="s">
        <v>14</v>
      </c>
      <c r="J1149" t="s">
        <v>15</v>
      </c>
      <c r="K1149" s="1" t="e">
        <f>VLOOKUP(I1149,'[1]PC50 Y2018 Status'!$D:$H,5,FALSE)</f>
        <v>#N/A</v>
      </c>
    </row>
    <row r="1150" spans="2:11" x14ac:dyDescent="0.25">
      <c r="B1150">
        <v>610000004050</v>
      </c>
      <c r="C1150" t="s">
        <v>17</v>
      </c>
      <c r="D1150">
        <v>117</v>
      </c>
      <c r="E1150" t="s">
        <v>376</v>
      </c>
      <c r="F1150" t="s">
        <v>257</v>
      </c>
      <c r="G1150" t="s">
        <v>13</v>
      </c>
      <c r="H1150" t="s">
        <v>14</v>
      </c>
      <c r="J1150" t="s">
        <v>15</v>
      </c>
      <c r="K1150" s="1" t="e">
        <f>VLOOKUP(I1150,'[1]PC50 Y2018 Status'!$D:$H,5,FALSE)</f>
        <v>#N/A</v>
      </c>
    </row>
    <row r="1151" spans="2:11" x14ac:dyDescent="0.25">
      <c r="B1151">
        <v>347678</v>
      </c>
      <c r="C1151" t="s">
        <v>28</v>
      </c>
      <c r="D1151">
        <v>14</v>
      </c>
      <c r="E1151" t="s">
        <v>377</v>
      </c>
      <c r="F1151" t="s">
        <v>257</v>
      </c>
      <c r="G1151" t="s">
        <v>13</v>
      </c>
      <c r="H1151" t="s">
        <v>14</v>
      </c>
      <c r="J1151" t="s">
        <v>22</v>
      </c>
      <c r="K1151" s="1" t="e">
        <f>VLOOKUP(I1151,'[1]PC50 Y2018 Status'!$D:$H,5,FALSE)</f>
        <v>#N/A</v>
      </c>
    </row>
    <row r="1152" spans="2:11" x14ac:dyDescent="0.25">
      <c r="B1152">
        <v>347679</v>
      </c>
      <c r="C1152" t="s">
        <v>78</v>
      </c>
      <c r="D1152">
        <v>7</v>
      </c>
      <c r="E1152" t="s">
        <v>377</v>
      </c>
      <c r="F1152" t="s">
        <v>257</v>
      </c>
      <c r="G1152" t="s">
        <v>13</v>
      </c>
      <c r="H1152" t="s">
        <v>14</v>
      </c>
      <c r="J1152" t="s">
        <v>22</v>
      </c>
      <c r="K1152" s="1" t="e">
        <f>VLOOKUP(I1152,'[1]PC50 Y2018 Status'!$D:$H,5,FALSE)</f>
        <v>#N/A</v>
      </c>
    </row>
    <row r="1153" spans="2:11" x14ac:dyDescent="0.25">
      <c r="B1153">
        <v>610000004162</v>
      </c>
      <c r="C1153" t="s">
        <v>43</v>
      </c>
      <c r="D1153">
        <v>55</v>
      </c>
      <c r="E1153" t="s">
        <v>377</v>
      </c>
      <c r="F1153" t="s">
        <v>257</v>
      </c>
      <c r="G1153" t="s">
        <v>13</v>
      </c>
      <c r="H1153" t="s">
        <v>14</v>
      </c>
      <c r="J1153" t="s">
        <v>22</v>
      </c>
      <c r="K1153" s="1" t="e">
        <f>VLOOKUP(I1153,'[1]PC50 Y2018 Status'!$D:$H,5,FALSE)</f>
        <v>#N/A</v>
      </c>
    </row>
    <row r="1154" spans="2:11" x14ac:dyDescent="0.25">
      <c r="B1154">
        <v>610000004170</v>
      </c>
      <c r="C1154" t="s">
        <v>115</v>
      </c>
      <c r="D1154">
        <v>17</v>
      </c>
      <c r="E1154" t="s">
        <v>377</v>
      </c>
      <c r="F1154" t="s">
        <v>257</v>
      </c>
      <c r="G1154" t="s">
        <v>13</v>
      </c>
      <c r="H1154" t="s">
        <v>14</v>
      </c>
      <c r="J1154" t="s">
        <v>22</v>
      </c>
      <c r="K1154" s="1" t="e">
        <f>VLOOKUP(I1154,'[1]PC50 Y2018 Status'!$D:$H,5,FALSE)</f>
        <v>#N/A</v>
      </c>
    </row>
    <row r="1155" spans="2:11" x14ac:dyDescent="0.25">
      <c r="B1155">
        <v>610000004031</v>
      </c>
      <c r="C1155" t="s">
        <v>16</v>
      </c>
      <c r="D1155">
        <v>116</v>
      </c>
      <c r="E1155" t="s">
        <v>378</v>
      </c>
      <c r="F1155" t="s">
        <v>257</v>
      </c>
      <c r="G1155" t="s">
        <v>13</v>
      </c>
      <c r="H1155" t="s">
        <v>14</v>
      </c>
      <c r="J1155" t="s">
        <v>15</v>
      </c>
      <c r="K1155" s="1" t="e">
        <f>VLOOKUP(I1155,'[1]PC50 Y2018 Status'!$D:$H,5,FALSE)</f>
        <v>#N/A</v>
      </c>
    </row>
    <row r="1156" spans="2:11" x14ac:dyDescent="0.25">
      <c r="B1156">
        <v>610000004051</v>
      </c>
      <c r="C1156" t="s">
        <v>17</v>
      </c>
      <c r="D1156">
        <v>117</v>
      </c>
      <c r="E1156" t="s">
        <v>378</v>
      </c>
      <c r="F1156" t="s">
        <v>257</v>
      </c>
      <c r="G1156" t="s">
        <v>13</v>
      </c>
      <c r="H1156" t="s">
        <v>14</v>
      </c>
      <c r="J1156" t="s">
        <v>15</v>
      </c>
      <c r="K1156" s="1" t="e">
        <f>VLOOKUP(I1156,'[1]PC50 Y2018 Status'!$D:$H,5,FALSE)</f>
        <v>#N/A</v>
      </c>
    </row>
    <row r="1157" spans="2:11" x14ac:dyDescent="0.25">
      <c r="B1157">
        <v>342258</v>
      </c>
      <c r="C1157" t="s">
        <v>18</v>
      </c>
      <c r="D1157">
        <v>100</v>
      </c>
      <c r="E1157" t="s">
        <v>379</v>
      </c>
      <c r="F1157" t="s">
        <v>257</v>
      </c>
      <c r="G1157" t="s">
        <v>13</v>
      </c>
      <c r="H1157" t="s">
        <v>14</v>
      </c>
      <c r="J1157" t="s">
        <v>15</v>
      </c>
      <c r="K1157" s="1" t="e">
        <f>VLOOKUP(I1157,'[1]PC50 Y2018 Status'!$D:$H,5,FALSE)</f>
        <v>#N/A</v>
      </c>
    </row>
    <row r="1158" spans="2:11" x14ac:dyDescent="0.25">
      <c r="B1158">
        <v>342586</v>
      </c>
      <c r="C1158" t="s">
        <v>82</v>
      </c>
      <c r="D1158">
        <v>42</v>
      </c>
      <c r="E1158" t="s">
        <v>379</v>
      </c>
      <c r="F1158" t="s">
        <v>257</v>
      </c>
      <c r="G1158" t="s">
        <v>13</v>
      </c>
      <c r="H1158" t="s">
        <v>14</v>
      </c>
      <c r="J1158" t="s">
        <v>22</v>
      </c>
      <c r="K1158" s="1" t="e">
        <f>VLOOKUP(I1158,'[1]PC50 Y2018 Status'!$D:$H,5,FALSE)</f>
        <v>#N/A</v>
      </c>
    </row>
    <row r="1159" spans="2:11" x14ac:dyDescent="0.25">
      <c r="B1159">
        <v>610000004068</v>
      </c>
      <c r="C1159" t="s">
        <v>24</v>
      </c>
      <c r="D1159">
        <v>236</v>
      </c>
      <c r="E1159" t="s">
        <v>380</v>
      </c>
      <c r="F1159" t="s">
        <v>257</v>
      </c>
      <c r="G1159" t="s">
        <v>13</v>
      </c>
      <c r="H1159" t="s">
        <v>14</v>
      </c>
      <c r="J1159" t="s">
        <v>15</v>
      </c>
      <c r="K1159" s="1" t="e">
        <f>VLOOKUP(I1159,'[1]PC50 Y2018 Status'!$D:$H,5,FALSE)</f>
        <v>#N/A</v>
      </c>
    </row>
    <row r="1160" spans="2:11" x14ac:dyDescent="0.25">
      <c r="B1160">
        <v>610000004152</v>
      </c>
      <c r="C1160" t="s">
        <v>82</v>
      </c>
      <c r="D1160">
        <v>55</v>
      </c>
      <c r="E1160" t="s">
        <v>380</v>
      </c>
      <c r="F1160" t="s">
        <v>257</v>
      </c>
      <c r="G1160" t="s">
        <v>13</v>
      </c>
      <c r="H1160" t="s">
        <v>14</v>
      </c>
      <c r="J1160" t="s">
        <v>22</v>
      </c>
      <c r="K1160" s="1" t="e">
        <f>VLOOKUP(I1160,'[1]PC50 Y2018 Status'!$D:$H,5,FALSE)</f>
        <v>#N/A</v>
      </c>
    </row>
    <row r="1161" spans="2:11" x14ac:dyDescent="0.25">
      <c r="B1161">
        <v>347639</v>
      </c>
      <c r="C1161" t="s">
        <v>32</v>
      </c>
      <c r="D1161">
        <v>13</v>
      </c>
      <c r="E1161" t="s">
        <v>381</v>
      </c>
      <c r="F1161" t="s">
        <v>257</v>
      </c>
      <c r="G1161" t="s">
        <v>13</v>
      </c>
      <c r="H1161" t="s">
        <v>14</v>
      </c>
      <c r="J1161" t="s">
        <v>15</v>
      </c>
      <c r="K1161" s="1" t="e">
        <f>VLOOKUP(I1161,'[1]PC50 Y2018 Status'!$D:$H,5,FALSE)</f>
        <v>#N/A</v>
      </c>
    </row>
    <row r="1162" spans="2:11" x14ac:dyDescent="0.25">
      <c r="B1162">
        <v>610000004052</v>
      </c>
      <c r="C1162" t="s">
        <v>46</v>
      </c>
      <c r="D1162">
        <v>54</v>
      </c>
      <c r="E1162" t="s">
        <v>381</v>
      </c>
      <c r="F1162" t="s">
        <v>257</v>
      </c>
      <c r="G1162" t="s">
        <v>13</v>
      </c>
      <c r="H1162" t="s">
        <v>14</v>
      </c>
      <c r="J1162" t="s">
        <v>15</v>
      </c>
      <c r="K1162" s="1" t="e">
        <f>VLOOKUP(I1162,'[1]PC50 Y2018 Status'!$D:$H,5,FALSE)</f>
        <v>#N/A</v>
      </c>
    </row>
    <row r="1163" spans="2:11" x14ac:dyDescent="0.25">
      <c r="B1163">
        <v>610000004081</v>
      </c>
      <c r="C1163" t="s">
        <v>71</v>
      </c>
      <c r="D1163">
        <v>24</v>
      </c>
      <c r="E1163" t="s">
        <v>381</v>
      </c>
      <c r="F1163" t="s">
        <v>257</v>
      </c>
      <c r="G1163" t="s">
        <v>13</v>
      </c>
      <c r="H1163" t="s">
        <v>14</v>
      </c>
      <c r="J1163" t="s">
        <v>15</v>
      </c>
      <c r="K1163" s="1" t="e">
        <f>VLOOKUP(I1163,'[1]PC50 Y2018 Status'!$D:$H,5,FALSE)</f>
        <v>#N/A</v>
      </c>
    </row>
    <row r="1164" spans="2:11" x14ac:dyDescent="0.25">
      <c r="B1164">
        <v>342257</v>
      </c>
      <c r="C1164" t="s">
        <v>25</v>
      </c>
      <c r="D1164">
        <v>201</v>
      </c>
      <c r="E1164" t="s">
        <v>382</v>
      </c>
      <c r="F1164" t="s">
        <v>257</v>
      </c>
      <c r="G1164" t="s">
        <v>13</v>
      </c>
      <c r="H1164" t="s">
        <v>14</v>
      </c>
      <c r="J1164" t="s">
        <v>15</v>
      </c>
      <c r="K1164" s="1" t="e">
        <f>VLOOKUP(I1164,'[1]PC50 Y2018 Status'!$D:$H,5,FALSE)</f>
        <v>#N/A</v>
      </c>
    </row>
    <row r="1165" spans="2:11" x14ac:dyDescent="0.25">
      <c r="B1165">
        <v>347637</v>
      </c>
      <c r="C1165" t="s">
        <v>27</v>
      </c>
      <c r="D1165">
        <v>59</v>
      </c>
      <c r="E1165" t="s">
        <v>382</v>
      </c>
      <c r="F1165" t="s">
        <v>257</v>
      </c>
      <c r="G1165" t="s">
        <v>13</v>
      </c>
      <c r="H1165" t="s">
        <v>14</v>
      </c>
      <c r="J1165" t="s">
        <v>15</v>
      </c>
      <c r="K1165" s="1" t="e">
        <f>VLOOKUP(I1165,'[1]PC50 Y2018 Status'!$D:$H,5,FALSE)</f>
        <v>#N/A</v>
      </c>
    </row>
    <row r="1166" spans="2:11" x14ac:dyDescent="0.25">
      <c r="B1166">
        <v>347638</v>
      </c>
      <c r="C1166" t="s">
        <v>16</v>
      </c>
      <c r="D1166">
        <v>30</v>
      </c>
      <c r="E1166" t="s">
        <v>382</v>
      </c>
      <c r="F1166" t="s">
        <v>257</v>
      </c>
      <c r="G1166" t="s">
        <v>13</v>
      </c>
      <c r="H1166" t="s">
        <v>14</v>
      </c>
      <c r="J1166" t="s">
        <v>15</v>
      </c>
      <c r="K1166" s="1" t="e">
        <f>VLOOKUP(I1166,'[1]PC50 Y2018 Status'!$D:$H,5,FALSE)</f>
        <v>#N/A</v>
      </c>
    </row>
    <row r="1167" spans="2:11" x14ac:dyDescent="0.25">
      <c r="B1167">
        <v>342588</v>
      </c>
      <c r="C1167" t="s">
        <v>82</v>
      </c>
      <c r="D1167">
        <v>43</v>
      </c>
      <c r="E1167" t="s">
        <v>383</v>
      </c>
      <c r="F1167" t="s">
        <v>257</v>
      </c>
      <c r="G1167" t="s">
        <v>13</v>
      </c>
      <c r="H1167" t="s">
        <v>14</v>
      </c>
      <c r="J1167" t="s">
        <v>22</v>
      </c>
      <c r="K1167" s="1" t="e">
        <f>VLOOKUP(I1167,'[1]PC50 Y2018 Status'!$D:$H,5,FALSE)</f>
        <v>#N/A</v>
      </c>
    </row>
    <row r="1168" spans="2:11" x14ac:dyDescent="0.25">
      <c r="B1168">
        <v>610000004104</v>
      </c>
      <c r="C1168" t="s">
        <v>51</v>
      </c>
      <c r="D1168">
        <v>28</v>
      </c>
      <c r="E1168" t="s">
        <v>384</v>
      </c>
      <c r="F1168" t="s">
        <v>257</v>
      </c>
      <c r="G1168" t="s">
        <v>13</v>
      </c>
      <c r="H1168" t="s">
        <v>14</v>
      </c>
      <c r="J1168" t="s">
        <v>22</v>
      </c>
      <c r="K1168" s="1" t="e">
        <f>VLOOKUP(I1168,'[1]PC50 Y2018 Status'!$D:$H,5,FALSE)</f>
        <v>#N/A</v>
      </c>
    </row>
    <row r="1169" spans="2:11" x14ac:dyDescent="0.25">
      <c r="B1169">
        <v>610000004106</v>
      </c>
      <c r="C1169" t="s">
        <v>51</v>
      </c>
      <c r="D1169">
        <v>28</v>
      </c>
      <c r="E1169" t="s">
        <v>385</v>
      </c>
      <c r="F1169" t="s">
        <v>257</v>
      </c>
      <c r="G1169" t="s">
        <v>13</v>
      </c>
      <c r="H1169" t="s">
        <v>14</v>
      </c>
      <c r="J1169" t="s">
        <v>22</v>
      </c>
      <c r="K1169" s="1" t="e">
        <f>VLOOKUP(I1169,'[1]PC50 Y2018 Status'!$D:$H,5,FALSE)</f>
        <v>#N/A</v>
      </c>
    </row>
    <row r="1170" spans="2:11" x14ac:dyDescent="0.25">
      <c r="B1170">
        <v>610000004139</v>
      </c>
      <c r="C1170" t="s">
        <v>96</v>
      </c>
      <c r="D1170">
        <v>9</v>
      </c>
      <c r="E1170" t="s">
        <v>385</v>
      </c>
      <c r="F1170" t="s">
        <v>257</v>
      </c>
      <c r="G1170" t="s">
        <v>13</v>
      </c>
      <c r="H1170" t="s">
        <v>14</v>
      </c>
      <c r="J1170" t="s">
        <v>22</v>
      </c>
      <c r="K1170" s="1" t="e">
        <f>VLOOKUP(I1170,'[1]PC50 Y2018 Status'!$D:$H,5,FALSE)</f>
        <v>#N/A</v>
      </c>
    </row>
    <row r="1171" spans="2:11" x14ac:dyDescent="0.25">
      <c r="B1171">
        <v>610000004175</v>
      </c>
      <c r="C1171" t="s">
        <v>34</v>
      </c>
      <c r="D1171">
        <v>117</v>
      </c>
      <c r="E1171" t="s">
        <v>385</v>
      </c>
      <c r="F1171" t="s">
        <v>257</v>
      </c>
      <c r="G1171" t="s">
        <v>13</v>
      </c>
      <c r="H1171" t="s">
        <v>14</v>
      </c>
      <c r="J1171" t="s">
        <v>22</v>
      </c>
      <c r="K1171" s="1" t="e">
        <f>VLOOKUP(I1171,'[1]PC50 Y2018 Status'!$D:$H,5,FALSE)</f>
        <v>#N/A</v>
      </c>
    </row>
    <row r="1172" spans="2:11" x14ac:dyDescent="0.25">
      <c r="B1172">
        <v>610000004069</v>
      </c>
      <c r="C1172" t="s">
        <v>35</v>
      </c>
      <c r="D1172">
        <v>118</v>
      </c>
      <c r="E1172" t="s">
        <v>386</v>
      </c>
      <c r="F1172" t="s">
        <v>257</v>
      </c>
      <c r="G1172" t="s">
        <v>13</v>
      </c>
      <c r="H1172" t="s">
        <v>14</v>
      </c>
      <c r="J1172" t="s">
        <v>15</v>
      </c>
      <c r="K1172" s="1" t="e">
        <f>VLOOKUP(I1172,'[1]PC50 Y2018 Status'!$D:$H,5,FALSE)</f>
        <v>#N/A</v>
      </c>
    </row>
    <row r="1173" spans="2:11" x14ac:dyDescent="0.25">
      <c r="B1173">
        <v>610000004070</v>
      </c>
      <c r="C1173" t="s">
        <v>35</v>
      </c>
      <c r="D1173">
        <v>118</v>
      </c>
      <c r="E1173" t="s">
        <v>386</v>
      </c>
      <c r="F1173" t="s">
        <v>257</v>
      </c>
      <c r="G1173" t="s">
        <v>13</v>
      </c>
      <c r="H1173" t="s">
        <v>14</v>
      </c>
      <c r="J1173" t="s">
        <v>15</v>
      </c>
      <c r="K1173" s="1" t="e">
        <f>VLOOKUP(I1173,'[1]PC50 Y2018 Status'!$D:$H,5,FALSE)</f>
        <v>#N/A</v>
      </c>
    </row>
    <row r="1174" spans="2:11" x14ac:dyDescent="0.25">
      <c r="B1174">
        <v>610000004068</v>
      </c>
      <c r="C1174" t="s">
        <v>24</v>
      </c>
      <c r="D1174">
        <v>237</v>
      </c>
      <c r="E1174" t="s">
        <v>387</v>
      </c>
      <c r="F1174" t="s">
        <v>257</v>
      </c>
      <c r="G1174" t="s">
        <v>13</v>
      </c>
      <c r="H1174" t="s">
        <v>14</v>
      </c>
      <c r="J1174" t="s">
        <v>15</v>
      </c>
      <c r="K1174" s="1" t="e">
        <f>VLOOKUP(I1174,'[1]PC50 Y2018 Status'!$D:$H,5,FALSE)</f>
        <v>#N/A</v>
      </c>
    </row>
    <row r="1175" spans="2:11" x14ac:dyDescent="0.25">
      <c r="B1175">
        <v>610000004077</v>
      </c>
      <c r="C1175" t="s">
        <v>39</v>
      </c>
      <c r="D1175">
        <v>118</v>
      </c>
      <c r="E1175" t="s">
        <v>387</v>
      </c>
      <c r="F1175" t="s">
        <v>257</v>
      </c>
      <c r="G1175" t="s">
        <v>13</v>
      </c>
      <c r="H1175" t="s">
        <v>14</v>
      </c>
      <c r="J1175" t="s">
        <v>15</v>
      </c>
      <c r="K1175" s="1" t="e">
        <f>VLOOKUP(I1175,'[1]PC50 Y2018 Status'!$D:$H,5,FALSE)</f>
        <v>#N/A</v>
      </c>
    </row>
    <row r="1176" spans="2:11" x14ac:dyDescent="0.25">
      <c r="B1176">
        <v>610000004085</v>
      </c>
      <c r="C1176" t="s">
        <v>18</v>
      </c>
      <c r="D1176">
        <v>118</v>
      </c>
      <c r="E1176" t="s">
        <v>387</v>
      </c>
      <c r="F1176" t="s">
        <v>257</v>
      </c>
      <c r="G1176" t="s">
        <v>13</v>
      </c>
      <c r="H1176" t="s">
        <v>14</v>
      </c>
      <c r="J1176" t="s">
        <v>15</v>
      </c>
      <c r="K1176" s="1" t="e">
        <f>VLOOKUP(I1176,'[1]PC50 Y2018 Status'!$D:$H,5,FALSE)</f>
        <v>#N/A</v>
      </c>
    </row>
    <row r="1177" spans="2:11" x14ac:dyDescent="0.25">
      <c r="B1177">
        <v>610000004086</v>
      </c>
      <c r="C1177" t="s">
        <v>18</v>
      </c>
      <c r="D1177">
        <v>118</v>
      </c>
      <c r="E1177" t="s">
        <v>387</v>
      </c>
      <c r="F1177" t="s">
        <v>257</v>
      </c>
      <c r="G1177" t="s">
        <v>13</v>
      </c>
      <c r="H1177" t="s">
        <v>14</v>
      </c>
      <c r="J1177" t="s">
        <v>15</v>
      </c>
      <c r="K1177" s="1" t="e">
        <f>VLOOKUP(I1177,'[1]PC50 Y2018 Status'!$D:$H,5,FALSE)</f>
        <v>#N/A</v>
      </c>
    </row>
    <row r="1178" spans="2:11" x14ac:dyDescent="0.25">
      <c r="B1178">
        <v>610000004132</v>
      </c>
      <c r="C1178" t="s">
        <v>61</v>
      </c>
      <c r="D1178">
        <v>27</v>
      </c>
      <c r="E1178" t="s">
        <v>387</v>
      </c>
      <c r="F1178" t="s">
        <v>257</v>
      </c>
      <c r="G1178" t="s">
        <v>13</v>
      </c>
      <c r="H1178" t="s">
        <v>14</v>
      </c>
      <c r="J1178" t="s">
        <v>22</v>
      </c>
      <c r="K1178" s="1" t="e">
        <f>VLOOKUP(I1178,'[1]PC50 Y2018 Status'!$D:$H,5,FALSE)</f>
        <v>#N/A</v>
      </c>
    </row>
    <row r="1179" spans="2:11" x14ac:dyDescent="0.25">
      <c r="B1179">
        <v>610000004025</v>
      </c>
      <c r="C1179" t="s">
        <v>44</v>
      </c>
      <c r="D1179">
        <v>109</v>
      </c>
      <c r="E1179" t="s">
        <v>388</v>
      </c>
      <c r="F1179" t="s">
        <v>257</v>
      </c>
      <c r="G1179" t="s">
        <v>13</v>
      </c>
      <c r="H1179" t="s">
        <v>14</v>
      </c>
      <c r="J1179" t="s">
        <v>15</v>
      </c>
      <c r="K1179" s="1" t="e">
        <f>VLOOKUP(I1179,'[1]PC50 Y2018 Status'!$D:$H,5,FALSE)</f>
        <v>#N/A</v>
      </c>
    </row>
    <row r="1180" spans="2:11" x14ac:dyDescent="0.25">
      <c r="B1180">
        <v>610000004091</v>
      </c>
      <c r="C1180" t="s">
        <v>47</v>
      </c>
      <c r="D1180">
        <v>117</v>
      </c>
      <c r="E1180" t="s">
        <v>388</v>
      </c>
      <c r="F1180" t="s">
        <v>257</v>
      </c>
      <c r="G1180" t="s">
        <v>13</v>
      </c>
      <c r="H1180" t="s">
        <v>14</v>
      </c>
      <c r="J1180" t="s">
        <v>15</v>
      </c>
      <c r="K1180" s="1" t="e">
        <f>VLOOKUP(I1180,'[1]PC50 Y2018 Status'!$D:$H,5,FALSE)</f>
        <v>#N/A</v>
      </c>
    </row>
    <row r="1181" spans="2:11" x14ac:dyDescent="0.25">
      <c r="B1181">
        <v>610000004097</v>
      </c>
      <c r="C1181" t="s">
        <v>93</v>
      </c>
      <c r="D1181">
        <v>28</v>
      </c>
      <c r="E1181" t="s">
        <v>388</v>
      </c>
      <c r="F1181" t="s">
        <v>257</v>
      </c>
      <c r="G1181" t="s">
        <v>13</v>
      </c>
      <c r="H1181" t="s">
        <v>14</v>
      </c>
      <c r="J1181" t="s">
        <v>22</v>
      </c>
      <c r="K1181" s="1" t="e">
        <f>VLOOKUP(I1181,'[1]PC50 Y2018 Status'!$D:$H,5,FALSE)</f>
        <v>#N/A</v>
      </c>
    </row>
    <row r="1182" spans="2:11" x14ac:dyDescent="0.25">
      <c r="B1182">
        <v>610000004161</v>
      </c>
      <c r="C1182" t="s">
        <v>48</v>
      </c>
      <c r="D1182">
        <v>119</v>
      </c>
      <c r="E1182" t="s">
        <v>388</v>
      </c>
      <c r="F1182" t="s">
        <v>257</v>
      </c>
      <c r="G1182" t="s">
        <v>13</v>
      </c>
      <c r="H1182" t="s">
        <v>14</v>
      </c>
      <c r="J1182" t="s">
        <v>22</v>
      </c>
      <c r="K1182" s="1" t="e">
        <f>VLOOKUP(I1182,'[1]PC50 Y2018 Status'!$D:$H,5,FALSE)</f>
        <v>#N/A</v>
      </c>
    </row>
    <row r="1183" spans="2:11" x14ac:dyDescent="0.25">
      <c r="B1183">
        <v>342257</v>
      </c>
      <c r="C1183" t="s">
        <v>25</v>
      </c>
      <c r="D1183">
        <v>202</v>
      </c>
      <c r="E1183" t="s">
        <v>389</v>
      </c>
      <c r="F1183" t="s">
        <v>257</v>
      </c>
      <c r="G1183" t="s">
        <v>13</v>
      </c>
      <c r="H1183" t="s">
        <v>14</v>
      </c>
      <c r="J1183" t="s">
        <v>15</v>
      </c>
      <c r="K1183" s="1" t="e">
        <f>VLOOKUP(I1183,'[1]PC50 Y2018 Status'!$D:$H,5,FALSE)</f>
        <v>#N/A</v>
      </c>
    </row>
    <row r="1184" spans="2:11" x14ac:dyDescent="0.25">
      <c r="B1184">
        <v>347637</v>
      </c>
      <c r="C1184" t="s">
        <v>27</v>
      </c>
      <c r="D1184">
        <v>60</v>
      </c>
      <c r="E1184" t="s">
        <v>389</v>
      </c>
      <c r="F1184" t="s">
        <v>257</v>
      </c>
      <c r="G1184" t="s">
        <v>13</v>
      </c>
      <c r="H1184" t="s">
        <v>14</v>
      </c>
      <c r="J1184" t="s">
        <v>15</v>
      </c>
      <c r="K1184" s="1" t="e">
        <f>VLOOKUP(I1184,'[1]PC50 Y2018 Status'!$D:$H,5,FALSE)</f>
        <v>#N/A</v>
      </c>
    </row>
    <row r="1185" spans="2:11" x14ac:dyDescent="0.25">
      <c r="B1185">
        <v>610000004026</v>
      </c>
      <c r="C1185" t="s">
        <v>44</v>
      </c>
      <c r="D1185">
        <v>55</v>
      </c>
      <c r="E1185" t="s">
        <v>389</v>
      </c>
      <c r="F1185" t="s">
        <v>257</v>
      </c>
      <c r="G1185" t="s">
        <v>13</v>
      </c>
      <c r="H1185" t="s">
        <v>14</v>
      </c>
      <c r="J1185" t="s">
        <v>15</v>
      </c>
      <c r="K1185" s="1" t="e">
        <f>VLOOKUP(I1185,'[1]PC50 Y2018 Status'!$D:$H,5,FALSE)</f>
        <v>#N/A</v>
      </c>
    </row>
    <row r="1186" spans="2:11" x14ac:dyDescent="0.25">
      <c r="B1186">
        <v>610000004028</v>
      </c>
      <c r="C1186" t="s">
        <v>44</v>
      </c>
      <c r="D1186">
        <v>53</v>
      </c>
      <c r="E1186" t="s">
        <v>389</v>
      </c>
      <c r="F1186" t="s">
        <v>257</v>
      </c>
      <c r="G1186" t="s">
        <v>13</v>
      </c>
      <c r="H1186" t="s">
        <v>14</v>
      </c>
      <c r="J1186" t="s">
        <v>15</v>
      </c>
      <c r="K1186" s="1" t="e">
        <f>VLOOKUP(I1186,'[1]PC50 Y2018 Status'!$D:$H,5,FALSE)</f>
        <v>#N/A</v>
      </c>
    </row>
    <row r="1187" spans="2:11" x14ac:dyDescent="0.25">
      <c r="B1187">
        <v>610000004061</v>
      </c>
      <c r="C1187" t="s">
        <v>64</v>
      </c>
      <c r="D1187">
        <v>55</v>
      </c>
      <c r="E1187" t="s">
        <v>389</v>
      </c>
      <c r="F1187" t="s">
        <v>257</v>
      </c>
      <c r="G1187" t="s">
        <v>13</v>
      </c>
      <c r="H1187" t="s">
        <v>14</v>
      </c>
      <c r="J1187" t="s">
        <v>15</v>
      </c>
      <c r="K1187" s="1" t="e">
        <f>VLOOKUP(I1187,'[1]PC50 Y2018 Status'!$D:$H,5,FALSE)</f>
        <v>#N/A</v>
      </c>
    </row>
    <row r="1188" spans="2:11" x14ac:dyDescent="0.25">
      <c r="B1188">
        <v>610000004062</v>
      </c>
      <c r="C1188" t="s">
        <v>64</v>
      </c>
      <c r="D1188">
        <v>55</v>
      </c>
      <c r="E1188" t="s">
        <v>389</v>
      </c>
      <c r="F1188" t="s">
        <v>257</v>
      </c>
      <c r="G1188" t="s">
        <v>13</v>
      </c>
      <c r="H1188" t="s">
        <v>14</v>
      </c>
      <c r="J1188" t="s">
        <v>15</v>
      </c>
      <c r="K1188" s="1" t="e">
        <f>VLOOKUP(I1188,'[1]PC50 Y2018 Status'!$D:$H,5,FALSE)</f>
        <v>#N/A</v>
      </c>
    </row>
    <row r="1189" spans="2:11" x14ac:dyDescent="0.25">
      <c r="B1189">
        <v>610000004063</v>
      </c>
      <c r="C1189" t="s">
        <v>64</v>
      </c>
      <c r="D1189">
        <v>53</v>
      </c>
      <c r="E1189" t="s">
        <v>389</v>
      </c>
      <c r="F1189" t="s">
        <v>257</v>
      </c>
      <c r="G1189" t="s">
        <v>13</v>
      </c>
      <c r="H1189" t="s">
        <v>14</v>
      </c>
      <c r="J1189" t="s">
        <v>15</v>
      </c>
      <c r="K1189" s="1" t="e">
        <f>VLOOKUP(I1189,'[1]PC50 Y2018 Status'!$D:$H,5,FALSE)</f>
        <v>#N/A</v>
      </c>
    </row>
    <row r="1190" spans="2:11" x14ac:dyDescent="0.25">
      <c r="B1190">
        <v>610000004064</v>
      </c>
      <c r="C1190" t="s">
        <v>64</v>
      </c>
      <c r="D1190">
        <v>53</v>
      </c>
      <c r="E1190" t="s">
        <v>389</v>
      </c>
      <c r="F1190" t="s">
        <v>257</v>
      </c>
      <c r="G1190" t="s">
        <v>13</v>
      </c>
      <c r="H1190" t="s">
        <v>14</v>
      </c>
      <c r="J1190" t="s">
        <v>15</v>
      </c>
      <c r="K1190" s="1" t="e">
        <f>VLOOKUP(I1190,'[1]PC50 Y2018 Status'!$D:$H,5,FALSE)</f>
        <v>#N/A</v>
      </c>
    </row>
    <row r="1191" spans="2:11" x14ac:dyDescent="0.25">
      <c r="B1191">
        <v>610000004071</v>
      </c>
      <c r="C1191" t="s">
        <v>70</v>
      </c>
      <c r="D1191">
        <v>65</v>
      </c>
      <c r="E1191" t="s">
        <v>389</v>
      </c>
      <c r="F1191" t="s">
        <v>257</v>
      </c>
      <c r="G1191" t="s">
        <v>13</v>
      </c>
      <c r="H1191" t="s">
        <v>14</v>
      </c>
      <c r="J1191" t="s">
        <v>15</v>
      </c>
      <c r="K1191" s="1" t="e">
        <f>VLOOKUP(I1191,'[1]PC50 Y2018 Status'!$D:$H,5,FALSE)</f>
        <v>#N/A</v>
      </c>
    </row>
    <row r="1192" spans="2:11" x14ac:dyDescent="0.25">
      <c r="B1192">
        <v>610000004072</v>
      </c>
      <c r="C1192" t="s">
        <v>70</v>
      </c>
      <c r="D1192">
        <v>53</v>
      </c>
      <c r="E1192" t="s">
        <v>389</v>
      </c>
      <c r="F1192" t="s">
        <v>257</v>
      </c>
      <c r="G1192" t="s">
        <v>13</v>
      </c>
      <c r="H1192" t="s">
        <v>14</v>
      </c>
      <c r="J1192" t="s">
        <v>15</v>
      </c>
      <c r="K1192" s="1" t="e">
        <f>VLOOKUP(I1192,'[1]PC50 Y2018 Status'!$D:$H,5,FALSE)</f>
        <v>#N/A</v>
      </c>
    </row>
    <row r="1193" spans="2:11" x14ac:dyDescent="0.25">
      <c r="B1193">
        <v>610000004073</v>
      </c>
      <c r="C1193" t="s">
        <v>70</v>
      </c>
      <c r="D1193">
        <v>52</v>
      </c>
      <c r="E1193" t="s">
        <v>389</v>
      </c>
      <c r="F1193" t="s">
        <v>257</v>
      </c>
      <c r="G1193" t="s">
        <v>13</v>
      </c>
      <c r="H1193" t="s">
        <v>14</v>
      </c>
      <c r="J1193" t="s">
        <v>15</v>
      </c>
      <c r="K1193" s="1" t="e">
        <f>VLOOKUP(I1193,'[1]PC50 Y2018 Status'!$D:$H,5,FALSE)</f>
        <v>#N/A</v>
      </c>
    </row>
    <row r="1194" spans="2:11" x14ac:dyDescent="0.25">
      <c r="B1194">
        <v>610000004078</v>
      </c>
      <c r="C1194" t="s">
        <v>71</v>
      </c>
      <c r="D1194">
        <v>53</v>
      </c>
      <c r="E1194" t="s">
        <v>389</v>
      </c>
      <c r="F1194" t="s">
        <v>257</v>
      </c>
      <c r="G1194" t="s">
        <v>13</v>
      </c>
      <c r="H1194" t="s">
        <v>14</v>
      </c>
      <c r="J1194" t="s">
        <v>15</v>
      </c>
      <c r="K1194" s="1" t="e">
        <f>VLOOKUP(I1194,'[1]PC50 Y2018 Status'!$D:$H,5,FALSE)</f>
        <v>#N/A</v>
      </c>
    </row>
    <row r="1195" spans="2:11" x14ac:dyDescent="0.25">
      <c r="B1195">
        <v>610000004113</v>
      </c>
      <c r="C1195" t="s">
        <v>78</v>
      </c>
      <c r="D1195">
        <v>28</v>
      </c>
      <c r="E1195" t="s">
        <v>389</v>
      </c>
      <c r="F1195" t="s">
        <v>257</v>
      </c>
      <c r="G1195" t="s">
        <v>13</v>
      </c>
      <c r="H1195" t="s">
        <v>14</v>
      </c>
      <c r="J1195" t="s">
        <v>22</v>
      </c>
      <c r="K1195" s="1" t="e">
        <f>VLOOKUP(I1195,'[1]PC50 Y2018 Status'!$D:$H,5,FALSE)</f>
        <v>#N/A</v>
      </c>
    </row>
    <row r="1196" spans="2:11" x14ac:dyDescent="0.25">
      <c r="B1196">
        <v>610000004050</v>
      </c>
      <c r="C1196" t="s">
        <v>17</v>
      </c>
      <c r="D1196">
        <v>118</v>
      </c>
      <c r="E1196" t="s">
        <v>390</v>
      </c>
      <c r="F1196" t="s">
        <v>257</v>
      </c>
      <c r="G1196" t="s">
        <v>13</v>
      </c>
      <c r="H1196" t="s">
        <v>14</v>
      </c>
      <c r="J1196" t="s">
        <v>15</v>
      </c>
      <c r="K1196" s="1" t="e">
        <f>VLOOKUP(I1196,'[1]PC50 Y2018 Status'!$D:$H,5,FALSE)</f>
        <v>#N/A</v>
      </c>
    </row>
    <row r="1197" spans="2:11" x14ac:dyDescent="0.25">
      <c r="B1197">
        <v>342694</v>
      </c>
      <c r="C1197" t="s">
        <v>32</v>
      </c>
      <c r="D1197">
        <v>39</v>
      </c>
      <c r="E1197" t="s">
        <v>391</v>
      </c>
      <c r="F1197" t="s">
        <v>257</v>
      </c>
      <c r="G1197" t="s">
        <v>13</v>
      </c>
      <c r="H1197" t="s">
        <v>14</v>
      </c>
      <c r="J1197" t="s">
        <v>15</v>
      </c>
      <c r="K1197" s="1" t="e">
        <f>VLOOKUP(I1197,'[1]PC50 Y2018 Status'!$D:$H,5,FALSE)</f>
        <v>#N/A</v>
      </c>
    </row>
    <row r="1198" spans="2:11" x14ac:dyDescent="0.25">
      <c r="B1198">
        <v>350834</v>
      </c>
      <c r="C1198" t="s">
        <v>64</v>
      </c>
      <c r="D1198">
        <v>7</v>
      </c>
      <c r="E1198" t="s">
        <v>391</v>
      </c>
      <c r="F1198" t="s">
        <v>257</v>
      </c>
      <c r="G1198" t="s">
        <v>13</v>
      </c>
      <c r="H1198" t="s">
        <v>14</v>
      </c>
      <c r="J1198" t="s">
        <v>15</v>
      </c>
      <c r="K1198" s="1" t="e">
        <f>VLOOKUP(I1198,'[1]PC50 Y2018 Status'!$D:$H,5,FALSE)</f>
        <v>#N/A</v>
      </c>
    </row>
    <row r="1199" spans="2:11" x14ac:dyDescent="0.25">
      <c r="B1199">
        <v>610000004021</v>
      </c>
      <c r="C1199" t="s">
        <v>10</v>
      </c>
      <c r="D1199">
        <v>109</v>
      </c>
      <c r="E1199" t="s">
        <v>391</v>
      </c>
      <c r="F1199" t="s">
        <v>257</v>
      </c>
      <c r="G1199" t="s">
        <v>13</v>
      </c>
      <c r="H1199" t="s">
        <v>14</v>
      </c>
      <c r="J1199" t="s">
        <v>15</v>
      </c>
      <c r="K1199" s="1" t="e">
        <f>VLOOKUP(I1199,'[1]PC50 Y2018 Status'!$D:$H,5,FALSE)</f>
        <v>#N/A</v>
      </c>
    </row>
    <row r="1200" spans="2:11" x14ac:dyDescent="0.25">
      <c r="B1200">
        <v>610000004022</v>
      </c>
      <c r="C1200" t="s">
        <v>10</v>
      </c>
      <c r="D1200">
        <v>53</v>
      </c>
      <c r="E1200" t="s">
        <v>391</v>
      </c>
      <c r="F1200" t="s">
        <v>257</v>
      </c>
      <c r="G1200" t="s">
        <v>13</v>
      </c>
      <c r="H1200" t="s">
        <v>14</v>
      </c>
      <c r="J1200" t="s">
        <v>15</v>
      </c>
      <c r="K1200" s="1" t="e">
        <f>VLOOKUP(I1200,'[1]PC50 Y2018 Status'!$D:$H,5,FALSE)</f>
        <v>#N/A</v>
      </c>
    </row>
    <row r="1201" spans="2:11" x14ac:dyDescent="0.25">
      <c r="B1201">
        <v>610000004027</v>
      </c>
      <c r="C1201" t="s">
        <v>44</v>
      </c>
      <c r="D1201">
        <v>55</v>
      </c>
      <c r="E1201" t="s">
        <v>391</v>
      </c>
      <c r="F1201" t="s">
        <v>257</v>
      </c>
      <c r="G1201" t="s">
        <v>13</v>
      </c>
      <c r="H1201" t="s">
        <v>14</v>
      </c>
      <c r="J1201" t="s">
        <v>15</v>
      </c>
      <c r="K1201" s="1" t="e">
        <f>VLOOKUP(I1201,'[1]PC50 Y2018 Status'!$D:$H,5,FALSE)</f>
        <v>#N/A</v>
      </c>
    </row>
    <row r="1202" spans="2:11" x14ac:dyDescent="0.25">
      <c r="B1202">
        <v>610000004033</v>
      </c>
      <c r="C1202" t="s">
        <v>32</v>
      </c>
      <c r="D1202">
        <v>52</v>
      </c>
      <c r="E1202" t="s">
        <v>391</v>
      </c>
      <c r="F1202" t="s">
        <v>257</v>
      </c>
      <c r="G1202" t="s">
        <v>13</v>
      </c>
      <c r="H1202" t="s">
        <v>14</v>
      </c>
      <c r="J1202" t="s">
        <v>15</v>
      </c>
      <c r="K1202" s="1" t="e">
        <f>VLOOKUP(I1202,'[1]PC50 Y2018 Status'!$D:$H,5,FALSE)</f>
        <v>#N/A</v>
      </c>
    </row>
    <row r="1203" spans="2:11" x14ac:dyDescent="0.25">
      <c r="B1203">
        <v>610000004053</v>
      </c>
      <c r="C1203" t="s">
        <v>46</v>
      </c>
      <c r="D1203">
        <v>54</v>
      </c>
      <c r="E1203" t="s">
        <v>391</v>
      </c>
      <c r="F1203" t="s">
        <v>257</v>
      </c>
      <c r="G1203" t="s">
        <v>13</v>
      </c>
      <c r="H1203" t="s">
        <v>14</v>
      </c>
      <c r="J1203" t="s">
        <v>15</v>
      </c>
      <c r="K1203" s="1" t="e">
        <f>VLOOKUP(I1203,'[1]PC50 Y2018 Status'!$D:$H,5,FALSE)</f>
        <v>#N/A</v>
      </c>
    </row>
    <row r="1204" spans="2:11" x14ac:dyDescent="0.25">
      <c r="B1204">
        <v>610000004054</v>
      </c>
      <c r="C1204" t="s">
        <v>46</v>
      </c>
      <c r="D1204">
        <v>54</v>
      </c>
      <c r="E1204" t="s">
        <v>391</v>
      </c>
      <c r="F1204" t="s">
        <v>257</v>
      </c>
      <c r="G1204" t="s">
        <v>13</v>
      </c>
      <c r="H1204" t="s">
        <v>14</v>
      </c>
      <c r="J1204" t="s">
        <v>15</v>
      </c>
      <c r="K1204" s="1" t="e">
        <f>VLOOKUP(I1204,'[1]PC50 Y2018 Status'!$D:$H,5,FALSE)</f>
        <v>#N/A</v>
      </c>
    </row>
    <row r="1205" spans="2:11" x14ac:dyDescent="0.25">
      <c r="B1205">
        <v>610000004066</v>
      </c>
      <c r="C1205" t="s">
        <v>106</v>
      </c>
      <c r="D1205">
        <v>11</v>
      </c>
      <c r="E1205" t="s">
        <v>391</v>
      </c>
      <c r="F1205" t="s">
        <v>257</v>
      </c>
      <c r="G1205" t="s">
        <v>13</v>
      </c>
      <c r="H1205" t="s">
        <v>14</v>
      </c>
      <c r="J1205" t="s">
        <v>15</v>
      </c>
      <c r="K1205" s="1" t="e">
        <f>VLOOKUP(I1205,'[1]PC50 Y2018 Status'!$D:$H,5,FALSE)</f>
        <v>#N/A</v>
      </c>
    </row>
    <row r="1206" spans="2:11" x14ac:dyDescent="0.25">
      <c r="B1206">
        <v>610000004079</v>
      </c>
      <c r="C1206" t="s">
        <v>71</v>
      </c>
      <c r="D1206">
        <v>53</v>
      </c>
      <c r="E1206" t="s">
        <v>391</v>
      </c>
      <c r="F1206" t="s">
        <v>257</v>
      </c>
      <c r="G1206" t="s">
        <v>13</v>
      </c>
      <c r="H1206" t="s">
        <v>14</v>
      </c>
      <c r="J1206" t="s">
        <v>15</v>
      </c>
      <c r="K1206" s="1" t="e">
        <f>VLOOKUP(I1206,'[1]PC50 Y2018 Status'!$D:$H,5,FALSE)</f>
        <v>#N/A</v>
      </c>
    </row>
    <row r="1207" spans="2:11" x14ac:dyDescent="0.25">
      <c r="B1207">
        <v>610000004080</v>
      </c>
      <c r="C1207" t="s">
        <v>71</v>
      </c>
      <c r="D1207">
        <v>54</v>
      </c>
      <c r="E1207" t="s">
        <v>391</v>
      </c>
      <c r="F1207" t="s">
        <v>257</v>
      </c>
      <c r="G1207" t="s">
        <v>13</v>
      </c>
      <c r="H1207" t="s">
        <v>14</v>
      </c>
      <c r="J1207" t="s">
        <v>15</v>
      </c>
      <c r="K1207" s="1" t="e">
        <f>VLOOKUP(I1207,'[1]PC50 Y2018 Status'!$D:$H,5,FALSE)</f>
        <v>#N/A</v>
      </c>
    </row>
    <row r="1208" spans="2:11" x14ac:dyDescent="0.25">
      <c r="B1208">
        <v>610000004087</v>
      </c>
      <c r="C1208" t="s">
        <v>72</v>
      </c>
      <c r="D1208">
        <v>52</v>
      </c>
      <c r="E1208" t="s">
        <v>391</v>
      </c>
      <c r="F1208" t="s">
        <v>257</v>
      </c>
      <c r="G1208" t="s">
        <v>13</v>
      </c>
      <c r="H1208" t="s">
        <v>14</v>
      </c>
      <c r="J1208" t="s">
        <v>15</v>
      </c>
      <c r="K1208" s="1" t="e">
        <f>VLOOKUP(I1208,'[1]PC50 Y2018 Status'!$D:$H,5,FALSE)</f>
        <v>#N/A</v>
      </c>
    </row>
    <row r="1209" spans="2:11" x14ac:dyDescent="0.25">
      <c r="B1209">
        <v>610000004088</v>
      </c>
      <c r="C1209" t="s">
        <v>72</v>
      </c>
      <c r="D1209">
        <v>52</v>
      </c>
      <c r="E1209" t="s">
        <v>391</v>
      </c>
      <c r="F1209" t="s">
        <v>257</v>
      </c>
      <c r="G1209" t="s">
        <v>13</v>
      </c>
      <c r="H1209" t="s">
        <v>14</v>
      </c>
      <c r="J1209" t="s">
        <v>15</v>
      </c>
      <c r="K1209" s="1" t="e">
        <f>VLOOKUP(I1209,'[1]PC50 Y2018 Status'!$D:$H,5,FALSE)</f>
        <v>#N/A</v>
      </c>
    </row>
    <row r="1210" spans="2:11" x14ac:dyDescent="0.25">
      <c r="B1210">
        <v>610000004092</v>
      </c>
      <c r="C1210" t="s">
        <v>73</v>
      </c>
      <c r="D1210">
        <v>52</v>
      </c>
      <c r="E1210" t="s">
        <v>391</v>
      </c>
      <c r="F1210" t="s">
        <v>257</v>
      </c>
      <c r="G1210" t="s">
        <v>13</v>
      </c>
      <c r="H1210" t="s">
        <v>14</v>
      </c>
      <c r="J1210" t="s">
        <v>15</v>
      </c>
      <c r="K1210" s="1" t="e">
        <f>VLOOKUP(I1210,'[1]PC50 Y2018 Status'!$D:$H,5,FALSE)</f>
        <v>#N/A</v>
      </c>
    </row>
    <row r="1211" spans="2:11" x14ac:dyDescent="0.25">
      <c r="B1211">
        <v>342336</v>
      </c>
      <c r="C1211" t="s">
        <v>207</v>
      </c>
      <c r="D1211">
        <v>5</v>
      </c>
      <c r="E1211" t="s">
        <v>392</v>
      </c>
      <c r="F1211" t="s">
        <v>257</v>
      </c>
      <c r="G1211" t="s">
        <v>13</v>
      </c>
      <c r="H1211" t="s">
        <v>14</v>
      </c>
      <c r="J1211" t="s">
        <v>15</v>
      </c>
      <c r="K1211" s="1" t="e">
        <f>VLOOKUP(I1211,'[1]PC50 Y2018 Status'!$D:$H,5,FALSE)</f>
        <v>#N/A</v>
      </c>
    </row>
    <row r="1212" spans="2:11" x14ac:dyDescent="0.25">
      <c r="B1212">
        <v>610000004031</v>
      </c>
      <c r="C1212" t="s">
        <v>16</v>
      </c>
      <c r="D1212">
        <v>117</v>
      </c>
      <c r="E1212" t="s">
        <v>392</v>
      </c>
      <c r="F1212" t="s">
        <v>257</v>
      </c>
      <c r="G1212" t="s">
        <v>13</v>
      </c>
      <c r="H1212" t="s">
        <v>14</v>
      </c>
      <c r="J1212" t="s">
        <v>15</v>
      </c>
      <c r="K1212" s="1" t="e">
        <f>VLOOKUP(I1212,'[1]PC50 Y2018 Status'!$D:$H,5,FALSE)</f>
        <v>#N/A</v>
      </c>
    </row>
    <row r="1213" spans="2:11" x14ac:dyDescent="0.25">
      <c r="B1213">
        <v>610000004051</v>
      </c>
      <c r="C1213" t="s">
        <v>17</v>
      </c>
      <c r="D1213">
        <v>118</v>
      </c>
      <c r="E1213" t="s">
        <v>392</v>
      </c>
      <c r="F1213" t="s">
        <v>257</v>
      </c>
      <c r="G1213" t="s">
        <v>13</v>
      </c>
      <c r="H1213" t="s">
        <v>14</v>
      </c>
      <c r="J1213" t="s">
        <v>15</v>
      </c>
      <c r="K1213" s="1" t="e">
        <f>VLOOKUP(I1213,'[1]PC50 Y2018 Status'!$D:$H,5,FALSE)</f>
        <v>#N/A</v>
      </c>
    </row>
    <row r="1214" spans="2:11" x14ac:dyDescent="0.25">
      <c r="B1214">
        <v>610000004126</v>
      </c>
      <c r="C1214" t="s">
        <v>131</v>
      </c>
      <c r="D1214">
        <v>19</v>
      </c>
      <c r="E1214" t="s">
        <v>392</v>
      </c>
      <c r="F1214" t="s">
        <v>257</v>
      </c>
      <c r="G1214" t="s">
        <v>13</v>
      </c>
      <c r="H1214" t="s">
        <v>14</v>
      </c>
      <c r="J1214" t="s">
        <v>22</v>
      </c>
      <c r="K1214" s="1" t="e">
        <f>VLOOKUP(I1214,'[1]PC50 Y2018 Status'!$D:$H,5,FALSE)</f>
        <v>#N/A</v>
      </c>
    </row>
    <row r="1215" spans="2:11" x14ac:dyDescent="0.25">
      <c r="B1215">
        <v>610000004127</v>
      </c>
      <c r="C1215" t="s">
        <v>131</v>
      </c>
      <c r="D1215">
        <v>19</v>
      </c>
      <c r="E1215" t="s">
        <v>392</v>
      </c>
      <c r="F1215" t="s">
        <v>257</v>
      </c>
      <c r="G1215" t="s">
        <v>13</v>
      </c>
      <c r="H1215" t="s">
        <v>14</v>
      </c>
      <c r="J1215" t="s">
        <v>22</v>
      </c>
      <c r="K1215" s="1" t="e">
        <f>VLOOKUP(I1215,'[1]PC50 Y2018 Status'!$D:$H,5,FALSE)</f>
        <v>#N/A</v>
      </c>
    </row>
    <row r="1216" spans="2:11" x14ac:dyDescent="0.25">
      <c r="B1216">
        <v>342258</v>
      </c>
      <c r="C1216" t="s">
        <v>18</v>
      </c>
      <c r="D1216">
        <v>101</v>
      </c>
      <c r="E1216" t="s">
        <v>393</v>
      </c>
      <c r="F1216" t="s">
        <v>257</v>
      </c>
      <c r="G1216" t="s">
        <v>13</v>
      </c>
      <c r="H1216" t="s">
        <v>14</v>
      </c>
      <c r="J1216" t="s">
        <v>15</v>
      </c>
      <c r="K1216" s="1" t="e">
        <f>VLOOKUP(I1216,'[1]PC50 Y2018 Status'!$D:$H,5,FALSE)</f>
        <v>#N/A</v>
      </c>
    </row>
    <row r="1217" spans="2:11" x14ac:dyDescent="0.25">
      <c r="B1217">
        <v>610000004096</v>
      </c>
      <c r="C1217" t="s">
        <v>93</v>
      </c>
      <c r="D1217">
        <v>41</v>
      </c>
      <c r="E1217" t="s">
        <v>393</v>
      </c>
      <c r="F1217" t="s">
        <v>257</v>
      </c>
      <c r="G1217" t="s">
        <v>13</v>
      </c>
      <c r="H1217" t="s">
        <v>14</v>
      </c>
      <c r="J1217" t="s">
        <v>22</v>
      </c>
      <c r="K1217" s="1" t="e">
        <f>VLOOKUP(I1217,'[1]PC50 Y2018 Status'!$D:$H,5,FALSE)</f>
        <v>#N/A</v>
      </c>
    </row>
    <row r="1218" spans="2:11" x14ac:dyDescent="0.25">
      <c r="B1218">
        <v>610000004116</v>
      </c>
      <c r="C1218" t="s">
        <v>78</v>
      </c>
      <c r="D1218">
        <v>28</v>
      </c>
      <c r="E1218" t="s">
        <v>393</v>
      </c>
      <c r="F1218" t="s">
        <v>257</v>
      </c>
      <c r="G1218" t="s">
        <v>13</v>
      </c>
      <c r="H1218" t="s">
        <v>14</v>
      </c>
      <c r="J1218" t="s">
        <v>22</v>
      </c>
      <c r="K1218" s="1" t="e">
        <f>VLOOKUP(I1218,'[1]PC50 Y2018 Status'!$D:$H,5,FALSE)</f>
        <v>#N/A</v>
      </c>
    </row>
    <row r="1219" spans="2:11" x14ac:dyDescent="0.25">
      <c r="B1219">
        <v>610000004044</v>
      </c>
      <c r="C1219" t="s">
        <v>79</v>
      </c>
      <c r="D1219">
        <v>11</v>
      </c>
      <c r="E1219" t="s">
        <v>394</v>
      </c>
      <c r="F1219" t="s">
        <v>257</v>
      </c>
      <c r="G1219" t="s">
        <v>13</v>
      </c>
      <c r="H1219" t="s">
        <v>14</v>
      </c>
      <c r="J1219" t="s">
        <v>15</v>
      </c>
      <c r="K1219" s="1" t="e">
        <f>VLOOKUP(I1219,'[1]PC50 Y2018 Status'!$D:$H,5,FALSE)</f>
        <v>#N/A</v>
      </c>
    </row>
    <row r="1220" spans="2:11" x14ac:dyDescent="0.25">
      <c r="B1220">
        <v>610000004068</v>
      </c>
      <c r="C1220" t="s">
        <v>24</v>
      </c>
      <c r="D1220">
        <v>238</v>
      </c>
      <c r="E1220" t="s">
        <v>394</v>
      </c>
      <c r="F1220" t="s">
        <v>257</v>
      </c>
      <c r="G1220" t="s">
        <v>13</v>
      </c>
      <c r="H1220" t="s">
        <v>14</v>
      </c>
      <c r="J1220" t="s">
        <v>15</v>
      </c>
      <c r="K1220" s="1" t="e">
        <f>VLOOKUP(I1220,'[1]PC50 Y2018 Status'!$D:$H,5,FALSE)</f>
        <v>#N/A</v>
      </c>
    </row>
    <row r="1221" spans="2:11" x14ac:dyDescent="0.25">
      <c r="B1221">
        <v>610000004095</v>
      </c>
      <c r="C1221" t="s">
        <v>40</v>
      </c>
      <c r="D1221">
        <v>57</v>
      </c>
      <c r="E1221" t="s">
        <v>395</v>
      </c>
      <c r="F1221" t="s">
        <v>257</v>
      </c>
      <c r="G1221" t="s">
        <v>13</v>
      </c>
      <c r="H1221" t="s">
        <v>14</v>
      </c>
      <c r="J1221" t="s">
        <v>22</v>
      </c>
      <c r="K1221" s="1" t="e">
        <f>VLOOKUP(I1221,'[1]PC50 Y2018 Status'!$D:$H,5,FALSE)</f>
        <v>#N/A</v>
      </c>
    </row>
    <row r="1222" spans="2:11" x14ac:dyDescent="0.25">
      <c r="B1222">
        <v>610000004163</v>
      </c>
      <c r="C1222" t="s">
        <v>43</v>
      </c>
      <c r="D1222">
        <v>57</v>
      </c>
      <c r="E1222" t="s">
        <v>395</v>
      </c>
      <c r="F1222" t="s">
        <v>257</v>
      </c>
      <c r="G1222" t="s">
        <v>13</v>
      </c>
      <c r="H1222" t="s">
        <v>14</v>
      </c>
      <c r="J1222" t="s">
        <v>22</v>
      </c>
      <c r="K1222" s="1" t="e">
        <f>VLOOKUP(I1222,'[1]PC50 Y2018 Status'!$D:$H,5,FALSE)</f>
        <v>#N/A</v>
      </c>
    </row>
    <row r="1223" spans="2:11" x14ac:dyDescent="0.25">
      <c r="B1223">
        <v>610000004167</v>
      </c>
      <c r="C1223" t="s">
        <v>115</v>
      </c>
      <c r="D1223">
        <v>19</v>
      </c>
      <c r="E1223" t="s">
        <v>395</v>
      </c>
      <c r="F1223" t="s">
        <v>257</v>
      </c>
      <c r="G1223" t="s">
        <v>13</v>
      </c>
      <c r="H1223" t="s">
        <v>14</v>
      </c>
      <c r="J1223" t="s">
        <v>22</v>
      </c>
      <c r="K1223" s="1" t="e">
        <f>VLOOKUP(I1223,'[1]PC50 Y2018 Status'!$D:$H,5,FALSE)</f>
        <v>#N/A</v>
      </c>
    </row>
    <row r="1224" spans="2:11" x14ac:dyDescent="0.25">
      <c r="B1224">
        <v>342257</v>
      </c>
      <c r="C1224" t="s">
        <v>25</v>
      </c>
      <c r="D1224">
        <v>203</v>
      </c>
      <c r="E1224" t="s">
        <v>396</v>
      </c>
      <c r="F1224" t="s">
        <v>257</v>
      </c>
      <c r="G1224" t="s">
        <v>13</v>
      </c>
      <c r="H1224" t="s">
        <v>14</v>
      </c>
      <c r="J1224" t="s">
        <v>15</v>
      </c>
      <c r="K1224" s="1" t="e">
        <f>VLOOKUP(I1224,'[1]PC50 Y2018 Status'!$D:$H,5,FALSE)</f>
        <v>#N/A</v>
      </c>
    </row>
    <row r="1225" spans="2:11" x14ac:dyDescent="0.25">
      <c r="B1225">
        <v>347637</v>
      </c>
      <c r="C1225" t="s">
        <v>27</v>
      </c>
      <c r="D1225">
        <v>61</v>
      </c>
      <c r="E1225" t="s">
        <v>396</v>
      </c>
      <c r="F1225" t="s">
        <v>257</v>
      </c>
      <c r="G1225" t="s">
        <v>13</v>
      </c>
      <c r="H1225" t="s">
        <v>14</v>
      </c>
      <c r="J1225" t="s">
        <v>15</v>
      </c>
      <c r="K1225" s="1" t="e">
        <f>VLOOKUP(I1225,'[1]PC50 Y2018 Status'!$D:$H,5,FALSE)</f>
        <v>#N/A</v>
      </c>
    </row>
    <row r="1226" spans="2:11" x14ac:dyDescent="0.25">
      <c r="B1226">
        <v>347638</v>
      </c>
      <c r="C1226" t="s">
        <v>16</v>
      </c>
      <c r="D1226">
        <v>31</v>
      </c>
      <c r="E1226" t="s">
        <v>396</v>
      </c>
      <c r="F1226" t="s">
        <v>257</v>
      </c>
      <c r="G1226" t="s">
        <v>13</v>
      </c>
      <c r="H1226" t="s">
        <v>14</v>
      </c>
      <c r="J1226" t="s">
        <v>15</v>
      </c>
      <c r="K1226" s="1" t="e">
        <f>VLOOKUP(I1226,'[1]PC50 Y2018 Status'!$D:$H,5,FALSE)</f>
        <v>#N/A</v>
      </c>
    </row>
    <row r="1227" spans="2:11" x14ac:dyDescent="0.25">
      <c r="B1227">
        <v>342698</v>
      </c>
      <c r="C1227" t="s">
        <v>20</v>
      </c>
      <c r="D1227">
        <v>4</v>
      </c>
      <c r="E1227" t="s">
        <v>397</v>
      </c>
      <c r="F1227" t="s">
        <v>257</v>
      </c>
      <c r="G1227" t="s">
        <v>13</v>
      </c>
      <c r="H1227" t="s">
        <v>14</v>
      </c>
      <c r="J1227" t="s">
        <v>22</v>
      </c>
      <c r="K1227" s="1" t="e">
        <f>VLOOKUP(I1227,'[1]PC50 Y2018 Status'!$D:$H,5,FALSE)</f>
        <v>#N/A</v>
      </c>
    </row>
    <row r="1228" spans="2:11" x14ac:dyDescent="0.25">
      <c r="B1228">
        <v>610000004175</v>
      </c>
      <c r="C1228" t="s">
        <v>34</v>
      </c>
      <c r="D1228">
        <v>118</v>
      </c>
      <c r="E1228" t="s">
        <v>398</v>
      </c>
      <c r="F1228" t="s">
        <v>257</v>
      </c>
      <c r="G1228" t="s">
        <v>13</v>
      </c>
      <c r="H1228" t="s">
        <v>14</v>
      </c>
      <c r="J1228" t="s">
        <v>22</v>
      </c>
      <c r="K1228" s="1" t="e">
        <f>VLOOKUP(I1228,'[1]PC50 Y2018 Status'!$D:$H,5,FALSE)</f>
        <v>#N/A</v>
      </c>
    </row>
    <row r="1229" spans="2:11" x14ac:dyDescent="0.25">
      <c r="B1229">
        <v>610000004069</v>
      </c>
      <c r="C1229" t="s">
        <v>35</v>
      </c>
      <c r="D1229">
        <v>119</v>
      </c>
      <c r="E1229" t="s">
        <v>399</v>
      </c>
      <c r="F1229" t="s">
        <v>257</v>
      </c>
      <c r="G1229" t="s">
        <v>13</v>
      </c>
      <c r="H1229" t="s">
        <v>14</v>
      </c>
      <c r="J1229" t="s">
        <v>15</v>
      </c>
      <c r="K1229" s="1" t="e">
        <f>VLOOKUP(I1229,'[1]PC50 Y2018 Status'!$D:$H,5,FALSE)</f>
        <v>#N/A</v>
      </c>
    </row>
    <row r="1230" spans="2:11" x14ac:dyDescent="0.25">
      <c r="B1230">
        <v>610000004070</v>
      </c>
      <c r="C1230" t="s">
        <v>35</v>
      </c>
      <c r="D1230">
        <v>119</v>
      </c>
      <c r="E1230" t="s">
        <v>399</v>
      </c>
      <c r="F1230" t="s">
        <v>257</v>
      </c>
      <c r="G1230" t="s">
        <v>13</v>
      </c>
      <c r="H1230" t="s">
        <v>14</v>
      </c>
      <c r="J1230" t="s">
        <v>15</v>
      </c>
      <c r="K1230" s="1" t="e">
        <f>VLOOKUP(I1230,'[1]PC50 Y2018 Status'!$D:$H,5,FALSE)</f>
        <v>#N/A</v>
      </c>
    </row>
    <row r="1231" spans="2:11" x14ac:dyDescent="0.25">
      <c r="B1231">
        <v>610000004131</v>
      </c>
      <c r="C1231" t="s">
        <v>61</v>
      </c>
      <c r="D1231">
        <v>39</v>
      </c>
      <c r="E1231" t="s">
        <v>399</v>
      </c>
      <c r="F1231" t="s">
        <v>257</v>
      </c>
      <c r="G1231" t="s">
        <v>13</v>
      </c>
      <c r="H1231" t="s">
        <v>14</v>
      </c>
      <c r="J1231" t="s">
        <v>22</v>
      </c>
      <c r="K1231" s="1" t="e">
        <f>VLOOKUP(I1231,'[1]PC50 Y2018 Status'!$D:$H,5,FALSE)</f>
        <v>#N/A</v>
      </c>
    </row>
    <row r="1232" spans="2:11" x14ac:dyDescent="0.25">
      <c r="B1232">
        <v>610000004068</v>
      </c>
      <c r="C1232" t="s">
        <v>24</v>
      </c>
      <c r="D1232">
        <v>239</v>
      </c>
      <c r="E1232" t="s">
        <v>400</v>
      </c>
      <c r="F1232" t="s">
        <v>257</v>
      </c>
      <c r="G1232" t="s">
        <v>13</v>
      </c>
      <c r="H1232" t="s">
        <v>14</v>
      </c>
      <c r="J1232" t="s">
        <v>15</v>
      </c>
      <c r="K1232" s="1" t="e">
        <f>VLOOKUP(I1232,'[1]PC50 Y2018 Status'!$D:$H,5,FALSE)</f>
        <v>#N/A</v>
      </c>
    </row>
    <row r="1233" spans="2:11" x14ac:dyDescent="0.25">
      <c r="B1233">
        <v>610000004077</v>
      </c>
      <c r="C1233" t="s">
        <v>39</v>
      </c>
      <c r="D1233">
        <v>119</v>
      </c>
      <c r="E1233" t="s">
        <v>400</v>
      </c>
      <c r="F1233" t="s">
        <v>257</v>
      </c>
      <c r="G1233" t="s">
        <v>13</v>
      </c>
      <c r="H1233" t="s">
        <v>14</v>
      </c>
      <c r="J1233" t="s">
        <v>15</v>
      </c>
      <c r="K1233" s="1" t="e">
        <f>VLOOKUP(I1233,'[1]PC50 Y2018 Status'!$D:$H,5,FALSE)</f>
        <v>#N/A</v>
      </c>
    </row>
    <row r="1234" spans="2:11" x14ac:dyDescent="0.25">
      <c r="B1234">
        <v>610000004085</v>
      </c>
      <c r="C1234" t="s">
        <v>18</v>
      </c>
      <c r="D1234">
        <v>119</v>
      </c>
      <c r="E1234" t="s">
        <v>400</v>
      </c>
      <c r="F1234" t="s">
        <v>257</v>
      </c>
      <c r="G1234" t="s">
        <v>13</v>
      </c>
      <c r="H1234" t="s">
        <v>14</v>
      </c>
      <c r="J1234" t="s">
        <v>15</v>
      </c>
      <c r="K1234" s="1" t="e">
        <f>VLOOKUP(I1234,'[1]PC50 Y2018 Status'!$D:$H,5,FALSE)</f>
        <v>#N/A</v>
      </c>
    </row>
    <row r="1235" spans="2:11" x14ac:dyDescent="0.25">
      <c r="B1235">
        <v>610000004086</v>
      </c>
      <c r="C1235" t="s">
        <v>18</v>
      </c>
      <c r="D1235">
        <v>119</v>
      </c>
      <c r="E1235" t="s">
        <v>400</v>
      </c>
      <c r="F1235" t="s">
        <v>257</v>
      </c>
      <c r="G1235" t="s">
        <v>13</v>
      </c>
      <c r="H1235" t="s">
        <v>14</v>
      </c>
      <c r="J1235" t="s">
        <v>15</v>
      </c>
      <c r="K1235" s="1" t="e">
        <f>VLOOKUP(I1235,'[1]PC50 Y2018 Status'!$D:$H,5,FALSE)</f>
        <v>#N/A</v>
      </c>
    </row>
    <row r="1236" spans="2:11" x14ac:dyDescent="0.25">
      <c r="B1236">
        <v>351886</v>
      </c>
      <c r="C1236" t="s">
        <v>227</v>
      </c>
      <c r="D1236">
        <v>2</v>
      </c>
      <c r="E1236" t="s">
        <v>401</v>
      </c>
      <c r="F1236" t="s">
        <v>257</v>
      </c>
      <c r="G1236" t="s">
        <v>13</v>
      </c>
      <c r="H1236" t="s">
        <v>14</v>
      </c>
      <c r="J1236" t="s">
        <v>15</v>
      </c>
      <c r="K1236" s="1" t="e">
        <f>VLOOKUP(I1236,'[1]PC50 Y2018 Status'!$D:$H,5,FALSE)</f>
        <v>#N/A</v>
      </c>
    </row>
    <row r="1237" spans="2:11" x14ac:dyDescent="0.25">
      <c r="B1237">
        <v>610000004091</v>
      </c>
      <c r="C1237" t="s">
        <v>47</v>
      </c>
      <c r="D1237">
        <v>118</v>
      </c>
      <c r="E1237" t="s">
        <v>401</v>
      </c>
      <c r="F1237" t="s">
        <v>257</v>
      </c>
      <c r="G1237" t="s">
        <v>13</v>
      </c>
      <c r="H1237" t="s">
        <v>14</v>
      </c>
      <c r="J1237" t="s">
        <v>15</v>
      </c>
      <c r="K1237" s="1" t="e">
        <f>VLOOKUP(I1237,'[1]PC50 Y2018 Status'!$D:$H,5,FALSE)</f>
        <v>#N/A</v>
      </c>
    </row>
    <row r="1238" spans="2:11" x14ac:dyDescent="0.25">
      <c r="B1238">
        <v>610000004103</v>
      </c>
      <c r="C1238" t="s">
        <v>51</v>
      </c>
      <c r="D1238">
        <v>38</v>
      </c>
      <c r="E1238" t="s">
        <v>401</v>
      </c>
      <c r="F1238" t="s">
        <v>257</v>
      </c>
      <c r="G1238" t="s">
        <v>13</v>
      </c>
      <c r="H1238" t="s">
        <v>14</v>
      </c>
      <c r="J1238" t="s">
        <v>22</v>
      </c>
      <c r="K1238" s="1" t="e">
        <f>VLOOKUP(I1238,'[1]PC50 Y2018 Status'!$D:$H,5,FALSE)</f>
        <v>#N/A</v>
      </c>
    </row>
    <row r="1239" spans="2:11" x14ac:dyDescent="0.25">
      <c r="B1239">
        <v>610000004161</v>
      </c>
      <c r="C1239" t="s">
        <v>48</v>
      </c>
      <c r="D1239">
        <v>120</v>
      </c>
      <c r="E1239" t="s">
        <v>401</v>
      </c>
      <c r="F1239" t="s">
        <v>257</v>
      </c>
      <c r="G1239" t="s">
        <v>13</v>
      </c>
      <c r="H1239" t="s">
        <v>14</v>
      </c>
      <c r="J1239" t="s">
        <v>22</v>
      </c>
      <c r="K1239" s="1" t="e">
        <f>VLOOKUP(I1239,'[1]PC50 Y2018 Status'!$D:$H,5,FALSE)</f>
        <v>#N/A</v>
      </c>
    </row>
    <row r="1240" spans="2:11" x14ac:dyDescent="0.25">
      <c r="B1240">
        <v>342257</v>
      </c>
      <c r="C1240" t="s">
        <v>25</v>
      </c>
      <c r="D1240">
        <v>204</v>
      </c>
      <c r="E1240" t="s">
        <v>402</v>
      </c>
      <c r="F1240" t="s">
        <v>257</v>
      </c>
      <c r="G1240" t="s">
        <v>13</v>
      </c>
      <c r="H1240" t="s">
        <v>14</v>
      </c>
      <c r="J1240" t="s">
        <v>15</v>
      </c>
      <c r="K1240" s="1" t="e">
        <f>VLOOKUP(I1240,'[1]PC50 Y2018 Status'!$D:$H,5,FALSE)</f>
        <v>#N/A</v>
      </c>
    </row>
    <row r="1241" spans="2:11" x14ac:dyDescent="0.25">
      <c r="B1241">
        <v>342279</v>
      </c>
      <c r="C1241" t="s">
        <v>64</v>
      </c>
      <c r="D1241">
        <v>47</v>
      </c>
      <c r="E1241" t="s">
        <v>402</v>
      </c>
      <c r="F1241" t="s">
        <v>257</v>
      </c>
      <c r="G1241" t="s">
        <v>13</v>
      </c>
      <c r="H1241" t="s">
        <v>14</v>
      </c>
      <c r="J1241" t="s">
        <v>15</v>
      </c>
      <c r="K1241" s="1" t="e">
        <f>VLOOKUP(I1241,'[1]PC50 Y2018 Status'!$D:$H,5,FALSE)</f>
        <v>#N/A</v>
      </c>
    </row>
    <row r="1242" spans="2:11" x14ac:dyDescent="0.25">
      <c r="B1242">
        <v>347637</v>
      </c>
      <c r="C1242" t="s">
        <v>27</v>
      </c>
      <c r="D1242">
        <v>62</v>
      </c>
      <c r="E1242" t="s">
        <v>402</v>
      </c>
      <c r="F1242" t="s">
        <v>257</v>
      </c>
      <c r="G1242" t="s">
        <v>13</v>
      </c>
      <c r="H1242" t="s">
        <v>14</v>
      </c>
      <c r="J1242" t="s">
        <v>15</v>
      </c>
      <c r="K1242" s="1" t="e">
        <f>VLOOKUP(I1242,'[1]PC50 Y2018 Status'!$D:$H,5,FALSE)</f>
        <v>#N/A</v>
      </c>
    </row>
    <row r="1243" spans="2:11" x14ac:dyDescent="0.25">
      <c r="B1243">
        <v>351885</v>
      </c>
      <c r="C1243" t="s">
        <v>227</v>
      </c>
      <c r="D1243">
        <v>1</v>
      </c>
      <c r="E1243" t="s">
        <v>402</v>
      </c>
      <c r="F1243" t="s">
        <v>313</v>
      </c>
      <c r="G1243" t="s">
        <v>13</v>
      </c>
      <c r="H1243" t="s">
        <v>14</v>
      </c>
      <c r="J1243" t="s">
        <v>15</v>
      </c>
      <c r="K1243" s="1" t="e">
        <f>VLOOKUP(I1243,'[1]PC50 Y2018 Status'!$D:$H,5,FALSE)</f>
        <v>#N/A</v>
      </c>
    </row>
    <row r="1244" spans="2:11" x14ac:dyDescent="0.25">
      <c r="B1244">
        <v>610000004032</v>
      </c>
      <c r="C1244" t="s">
        <v>32</v>
      </c>
      <c r="D1244">
        <v>63</v>
      </c>
      <c r="E1244" t="s">
        <v>402</v>
      </c>
      <c r="F1244" t="s">
        <v>257</v>
      </c>
      <c r="G1244" t="s">
        <v>13</v>
      </c>
      <c r="H1244" t="s">
        <v>14</v>
      </c>
      <c r="J1244" t="s">
        <v>15</v>
      </c>
      <c r="K1244" s="1" t="e">
        <f>VLOOKUP(I1244,'[1]PC50 Y2018 Status'!$D:$H,5,FALSE)</f>
        <v>#N/A</v>
      </c>
    </row>
    <row r="1245" spans="2:11" x14ac:dyDescent="0.25">
      <c r="B1245">
        <v>610000004168</v>
      </c>
      <c r="C1245" t="s">
        <v>115</v>
      </c>
      <c r="D1245">
        <v>19</v>
      </c>
      <c r="E1245" t="s">
        <v>402</v>
      </c>
      <c r="F1245" t="s">
        <v>257</v>
      </c>
      <c r="G1245" t="s">
        <v>13</v>
      </c>
      <c r="H1245" t="s">
        <v>14</v>
      </c>
      <c r="J1245" t="s">
        <v>22</v>
      </c>
      <c r="K1245" s="1" t="e">
        <f>VLOOKUP(I1245,'[1]PC50 Y2018 Status'!$D:$H,5,FALSE)</f>
        <v>#N/A</v>
      </c>
    </row>
    <row r="1246" spans="2:11" x14ac:dyDescent="0.25">
      <c r="B1246">
        <v>347716</v>
      </c>
      <c r="C1246" t="s">
        <v>28</v>
      </c>
      <c r="D1246">
        <v>14</v>
      </c>
      <c r="E1246" t="s">
        <v>403</v>
      </c>
      <c r="F1246" t="s">
        <v>257</v>
      </c>
      <c r="G1246" t="s">
        <v>13</v>
      </c>
      <c r="H1246" t="s">
        <v>14</v>
      </c>
      <c r="J1246" t="s">
        <v>22</v>
      </c>
      <c r="K1246" s="1" t="e">
        <f>VLOOKUP(I1246,'[1]PC50 Y2018 Status'!$D:$H,5,FALSE)</f>
        <v>#N/A</v>
      </c>
    </row>
    <row r="1247" spans="2:11" x14ac:dyDescent="0.25">
      <c r="B1247">
        <v>347741</v>
      </c>
      <c r="C1247" t="s">
        <v>28</v>
      </c>
      <c r="D1247">
        <v>14</v>
      </c>
      <c r="E1247" t="s">
        <v>403</v>
      </c>
      <c r="F1247" t="s">
        <v>257</v>
      </c>
      <c r="G1247" t="s">
        <v>13</v>
      </c>
      <c r="H1247" t="s">
        <v>14</v>
      </c>
      <c r="J1247" t="s">
        <v>22</v>
      </c>
      <c r="K1247" s="1" t="e">
        <f>VLOOKUP(I1247,'[1]PC50 Y2018 Status'!$D:$H,5,FALSE)</f>
        <v>#N/A</v>
      </c>
    </row>
    <row r="1248" spans="2:11" x14ac:dyDescent="0.25">
      <c r="B1248">
        <v>610000004050</v>
      </c>
      <c r="C1248" t="s">
        <v>17</v>
      </c>
      <c r="D1248">
        <v>119</v>
      </c>
      <c r="E1248" t="s">
        <v>403</v>
      </c>
      <c r="F1248" t="s">
        <v>257</v>
      </c>
      <c r="G1248" t="s">
        <v>13</v>
      </c>
      <c r="H1248" t="s">
        <v>14</v>
      </c>
      <c r="J1248" t="s">
        <v>15</v>
      </c>
      <c r="K1248" s="1" t="e">
        <f>VLOOKUP(I1248,'[1]PC50 Y2018 Status'!$D:$H,5,FALSE)</f>
        <v>#N/A</v>
      </c>
    </row>
    <row r="1249" spans="2:11" x14ac:dyDescent="0.25">
      <c r="B1249">
        <v>610000004102</v>
      </c>
      <c r="C1249" t="s">
        <v>67</v>
      </c>
      <c r="D1249">
        <v>56</v>
      </c>
      <c r="E1249" t="s">
        <v>403</v>
      </c>
      <c r="F1249" t="s">
        <v>257</v>
      </c>
      <c r="G1249" t="s">
        <v>13</v>
      </c>
      <c r="H1249" t="s">
        <v>14</v>
      </c>
      <c r="J1249" t="s">
        <v>22</v>
      </c>
      <c r="K1249" s="1" t="e">
        <f>VLOOKUP(I1249,'[1]PC50 Y2018 Status'!$D:$H,5,FALSE)</f>
        <v>#N/A</v>
      </c>
    </row>
    <row r="1250" spans="2:11" x14ac:dyDescent="0.25">
      <c r="B1250">
        <v>610000004111</v>
      </c>
      <c r="C1250" t="s">
        <v>78</v>
      </c>
      <c r="D1250">
        <v>49</v>
      </c>
      <c r="E1250" t="s">
        <v>403</v>
      </c>
      <c r="F1250" t="s">
        <v>257</v>
      </c>
      <c r="G1250" t="s">
        <v>13</v>
      </c>
      <c r="H1250" t="s">
        <v>14</v>
      </c>
      <c r="J1250" t="s">
        <v>22</v>
      </c>
      <c r="K1250" s="1" t="e">
        <f>VLOOKUP(I1250,'[1]PC50 Y2018 Status'!$D:$H,5,FALSE)</f>
        <v>#N/A</v>
      </c>
    </row>
    <row r="1251" spans="2:11" x14ac:dyDescent="0.25">
      <c r="B1251">
        <v>610000004115</v>
      </c>
      <c r="C1251" t="s">
        <v>78</v>
      </c>
      <c r="D1251">
        <v>28</v>
      </c>
      <c r="E1251" t="s">
        <v>403</v>
      </c>
      <c r="F1251" t="s">
        <v>257</v>
      </c>
      <c r="G1251" t="s">
        <v>13</v>
      </c>
      <c r="H1251" t="s">
        <v>14</v>
      </c>
      <c r="J1251" t="s">
        <v>22</v>
      </c>
      <c r="K1251" s="1" t="e">
        <f>VLOOKUP(I1251,'[1]PC50 Y2018 Status'!$D:$H,5,FALSE)</f>
        <v>#N/A</v>
      </c>
    </row>
    <row r="1252" spans="2:11" x14ac:dyDescent="0.25">
      <c r="B1252">
        <v>610000004129</v>
      </c>
      <c r="C1252" t="s">
        <v>68</v>
      </c>
      <c r="D1252">
        <v>56</v>
      </c>
      <c r="E1252" t="s">
        <v>403</v>
      </c>
      <c r="F1252" t="s">
        <v>257</v>
      </c>
      <c r="G1252" t="s">
        <v>13</v>
      </c>
      <c r="H1252" t="s">
        <v>14</v>
      </c>
      <c r="J1252" t="s">
        <v>22</v>
      </c>
      <c r="K1252" s="1" t="e">
        <f>VLOOKUP(I1252,'[1]PC50 Y2018 Status'!$D:$H,5,FALSE)</f>
        <v>#N/A</v>
      </c>
    </row>
    <row r="1253" spans="2:11" x14ac:dyDescent="0.25">
      <c r="B1253">
        <v>610000004177</v>
      </c>
      <c r="C1253" t="s">
        <v>37</v>
      </c>
      <c r="D1253">
        <v>57</v>
      </c>
      <c r="E1253" t="s">
        <v>403</v>
      </c>
      <c r="F1253" t="s">
        <v>257</v>
      </c>
      <c r="G1253" t="s">
        <v>13</v>
      </c>
      <c r="H1253" t="s">
        <v>14</v>
      </c>
      <c r="J1253" t="s">
        <v>22</v>
      </c>
      <c r="K1253" s="1" t="e">
        <f>VLOOKUP(I1253,'[1]PC50 Y2018 Status'!$D:$H,5,FALSE)</f>
        <v>#N/A</v>
      </c>
    </row>
    <row r="1254" spans="2:11" x14ac:dyDescent="0.25">
      <c r="B1254">
        <v>610000004031</v>
      </c>
      <c r="C1254" t="s">
        <v>16</v>
      </c>
      <c r="D1254">
        <v>118</v>
      </c>
      <c r="E1254" t="s">
        <v>404</v>
      </c>
      <c r="F1254" t="s">
        <v>257</v>
      </c>
      <c r="G1254" t="s">
        <v>13</v>
      </c>
      <c r="H1254" t="s">
        <v>14</v>
      </c>
      <c r="J1254" t="s">
        <v>15</v>
      </c>
      <c r="K1254" s="1" t="e">
        <f>VLOOKUP(I1254,'[1]PC50 Y2018 Status'!$D:$H,5,FALSE)</f>
        <v>#N/A</v>
      </c>
    </row>
    <row r="1255" spans="2:11" x14ac:dyDescent="0.25">
      <c r="B1255">
        <v>610000004051</v>
      </c>
      <c r="C1255" t="s">
        <v>17</v>
      </c>
      <c r="D1255">
        <v>119</v>
      </c>
      <c r="E1255" t="s">
        <v>404</v>
      </c>
      <c r="F1255" t="s">
        <v>257</v>
      </c>
      <c r="G1255" t="s">
        <v>13</v>
      </c>
      <c r="H1255" t="s">
        <v>14</v>
      </c>
      <c r="J1255" t="s">
        <v>15</v>
      </c>
      <c r="K1255" s="1" t="e">
        <f>VLOOKUP(I1255,'[1]PC50 Y2018 Status'!$D:$H,5,FALSE)</f>
        <v>#N/A</v>
      </c>
    </row>
    <row r="1256" spans="2:11" x14ac:dyDescent="0.25">
      <c r="B1256">
        <v>610000004112</v>
      </c>
      <c r="C1256" t="s">
        <v>78</v>
      </c>
      <c r="D1256">
        <v>40</v>
      </c>
      <c r="E1256" t="s">
        <v>404</v>
      </c>
      <c r="F1256" t="s">
        <v>257</v>
      </c>
      <c r="G1256" t="s">
        <v>13</v>
      </c>
      <c r="H1256" t="s">
        <v>14</v>
      </c>
      <c r="J1256" t="s">
        <v>22</v>
      </c>
      <c r="K1256" s="1" t="e">
        <f>VLOOKUP(I1256,'[1]PC50 Y2018 Status'!$D:$H,5,FALSE)</f>
        <v>#N/A</v>
      </c>
    </row>
    <row r="1257" spans="2:11" x14ac:dyDescent="0.25">
      <c r="B1257">
        <v>610000004122</v>
      </c>
      <c r="C1257" t="s">
        <v>54</v>
      </c>
      <c r="D1257">
        <v>40</v>
      </c>
      <c r="E1257" t="s">
        <v>404</v>
      </c>
      <c r="F1257" t="s">
        <v>257</v>
      </c>
      <c r="G1257" t="s">
        <v>13</v>
      </c>
      <c r="H1257" t="s">
        <v>14</v>
      </c>
      <c r="J1257" t="s">
        <v>22</v>
      </c>
      <c r="K1257" s="1" t="e">
        <f>VLOOKUP(I1257,'[1]PC50 Y2018 Status'!$D:$H,5,FALSE)</f>
        <v>#N/A</v>
      </c>
    </row>
    <row r="1258" spans="2:11" x14ac:dyDescent="0.25">
      <c r="B1258">
        <v>610000004130</v>
      </c>
      <c r="C1258" t="s">
        <v>61</v>
      </c>
      <c r="D1258">
        <v>40</v>
      </c>
      <c r="E1258" t="s">
        <v>404</v>
      </c>
      <c r="F1258" t="s">
        <v>257</v>
      </c>
      <c r="G1258" t="s">
        <v>13</v>
      </c>
      <c r="H1258" t="s">
        <v>14</v>
      </c>
      <c r="J1258" t="s">
        <v>22</v>
      </c>
      <c r="K1258" s="1" t="e">
        <f>VLOOKUP(I1258,'[1]PC50 Y2018 Status'!$D:$H,5,FALSE)</f>
        <v>#N/A</v>
      </c>
    </row>
    <row r="1259" spans="2:11" x14ac:dyDescent="0.25">
      <c r="B1259">
        <v>342258</v>
      </c>
      <c r="C1259" t="s">
        <v>18</v>
      </c>
      <c r="D1259">
        <v>102</v>
      </c>
      <c r="E1259" t="s">
        <v>405</v>
      </c>
      <c r="F1259" t="s">
        <v>257</v>
      </c>
      <c r="G1259" t="s">
        <v>13</v>
      </c>
      <c r="H1259" t="s">
        <v>14</v>
      </c>
      <c r="J1259" t="s">
        <v>15</v>
      </c>
      <c r="K1259" s="1" t="e">
        <f>VLOOKUP(I1259,'[1]PC50 Y2018 Status'!$D:$H,5,FALSE)</f>
        <v>#N/A</v>
      </c>
    </row>
    <row r="1260" spans="2:11" x14ac:dyDescent="0.25">
      <c r="B1260">
        <v>347678</v>
      </c>
      <c r="C1260" t="s">
        <v>28</v>
      </c>
      <c r="D1260">
        <v>15</v>
      </c>
      <c r="E1260" t="s">
        <v>405</v>
      </c>
      <c r="F1260" t="s">
        <v>257</v>
      </c>
      <c r="G1260" t="s">
        <v>13</v>
      </c>
      <c r="H1260" t="s">
        <v>14</v>
      </c>
      <c r="J1260" t="s">
        <v>22</v>
      </c>
      <c r="K1260" s="1" t="e">
        <f>VLOOKUP(I1260,'[1]PC50 Y2018 Status'!$D:$H,5,FALSE)</f>
        <v>#N/A</v>
      </c>
    </row>
    <row r="1261" spans="2:11" x14ac:dyDescent="0.25">
      <c r="B1261">
        <v>610000004162</v>
      </c>
      <c r="C1261" t="s">
        <v>43</v>
      </c>
      <c r="D1261">
        <v>56</v>
      </c>
      <c r="E1261" t="s">
        <v>405</v>
      </c>
      <c r="F1261" t="s">
        <v>257</v>
      </c>
      <c r="G1261" t="s">
        <v>13</v>
      </c>
      <c r="H1261" t="s">
        <v>14</v>
      </c>
      <c r="J1261" t="s">
        <v>22</v>
      </c>
      <c r="K1261" s="1" t="e">
        <f>VLOOKUP(I1261,'[1]PC50 Y2018 Status'!$D:$H,5,FALSE)</f>
        <v>#N/A</v>
      </c>
    </row>
    <row r="1262" spans="2:11" x14ac:dyDescent="0.25">
      <c r="B1262">
        <v>610000004068</v>
      </c>
      <c r="C1262" t="s">
        <v>24</v>
      </c>
      <c r="D1262">
        <v>240</v>
      </c>
      <c r="E1262" t="s">
        <v>406</v>
      </c>
      <c r="F1262" t="s">
        <v>257</v>
      </c>
      <c r="G1262" t="s">
        <v>13</v>
      </c>
      <c r="H1262" t="s">
        <v>14</v>
      </c>
      <c r="J1262" t="s">
        <v>15</v>
      </c>
      <c r="K1262" s="1" t="e">
        <f>VLOOKUP(I1262,'[1]PC50 Y2018 Status'!$D:$H,5,FALSE)</f>
        <v>#N/A</v>
      </c>
    </row>
    <row r="1263" spans="2:11" x14ac:dyDescent="0.25">
      <c r="B1263">
        <v>610000004176</v>
      </c>
      <c r="C1263" t="s">
        <v>59</v>
      </c>
      <c r="D1263">
        <v>40</v>
      </c>
      <c r="E1263" t="s">
        <v>406</v>
      </c>
      <c r="F1263" t="s">
        <v>257</v>
      </c>
      <c r="G1263" t="s">
        <v>13</v>
      </c>
      <c r="H1263" t="s">
        <v>14</v>
      </c>
      <c r="J1263" t="s">
        <v>22</v>
      </c>
      <c r="K1263" s="1" t="e">
        <f>VLOOKUP(I1263,'[1]PC50 Y2018 Status'!$D:$H,5,FALSE)</f>
        <v>#N/A</v>
      </c>
    </row>
    <row r="1264" spans="2:11" x14ac:dyDescent="0.25">
      <c r="B1264">
        <v>342586</v>
      </c>
      <c r="C1264" t="s">
        <v>82</v>
      </c>
      <c r="D1264">
        <v>43</v>
      </c>
      <c r="E1264" t="s">
        <v>407</v>
      </c>
      <c r="F1264" t="s">
        <v>257</v>
      </c>
      <c r="G1264" t="s">
        <v>13</v>
      </c>
      <c r="H1264" t="s">
        <v>14</v>
      </c>
      <c r="J1264" t="s">
        <v>22</v>
      </c>
      <c r="K1264" s="1" t="e">
        <f>VLOOKUP(I1264,'[1]PC50 Y2018 Status'!$D:$H,5,FALSE)</f>
        <v>#N/A</v>
      </c>
    </row>
    <row r="1265" spans="2:11" x14ac:dyDescent="0.25">
      <c r="B1265">
        <v>610000004123</v>
      </c>
      <c r="C1265" t="s">
        <v>54</v>
      </c>
      <c r="D1265">
        <v>28</v>
      </c>
      <c r="E1265" t="s">
        <v>407</v>
      </c>
      <c r="F1265" t="s">
        <v>257</v>
      </c>
      <c r="G1265" t="s">
        <v>13</v>
      </c>
      <c r="H1265" t="s">
        <v>14</v>
      </c>
      <c r="J1265" t="s">
        <v>22</v>
      </c>
      <c r="K1265" s="1" t="e">
        <f>VLOOKUP(I1265,'[1]PC50 Y2018 Status'!$D:$H,5,FALSE)</f>
        <v>#N/A</v>
      </c>
    </row>
    <row r="1266" spans="2:11" x14ac:dyDescent="0.25">
      <c r="B1266">
        <v>342257</v>
      </c>
      <c r="C1266" t="s">
        <v>25</v>
      </c>
      <c r="D1266">
        <v>205</v>
      </c>
      <c r="E1266" t="s">
        <v>408</v>
      </c>
      <c r="F1266" t="s">
        <v>257</v>
      </c>
      <c r="G1266" t="s">
        <v>13</v>
      </c>
      <c r="H1266" t="s">
        <v>14</v>
      </c>
      <c r="J1266" t="s">
        <v>15</v>
      </c>
      <c r="K1266" s="1" t="e">
        <f>VLOOKUP(I1266,'[1]PC50 Y2018 Status'!$D:$H,5,FALSE)</f>
        <v>#N/A</v>
      </c>
    </row>
    <row r="1267" spans="2:11" x14ac:dyDescent="0.25">
      <c r="B1267">
        <v>342631</v>
      </c>
      <c r="C1267" t="s">
        <v>115</v>
      </c>
      <c r="D1267">
        <v>15</v>
      </c>
      <c r="E1267" t="s">
        <v>408</v>
      </c>
      <c r="F1267" t="s">
        <v>257</v>
      </c>
      <c r="G1267" t="s">
        <v>13</v>
      </c>
      <c r="H1267" t="s">
        <v>14</v>
      </c>
      <c r="J1267" t="s">
        <v>22</v>
      </c>
      <c r="K1267" s="1" t="e">
        <f>VLOOKUP(I1267,'[1]PC50 Y2018 Status'!$D:$H,5,FALSE)</f>
        <v>#N/A</v>
      </c>
    </row>
    <row r="1268" spans="2:11" x14ac:dyDescent="0.25">
      <c r="B1268">
        <v>347637</v>
      </c>
      <c r="C1268" t="s">
        <v>27</v>
      </c>
      <c r="D1268">
        <v>63</v>
      </c>
      <c r="E1268" t="s">
        <v>408</v>
      </c>
      <c r="F1268" t="s">
        <v>257</v>
      </c>
      <c r="G1268" t="s">
        <v>13</v>
      </c>
      <c r="H1268" t="s">
        <v>14</v>
      </c>
      <c r="J1268" t="s">
        <v>15</v>
      </c>
      <c r="K1268" s="1" t="e">
        <f>VLOOKUP(I1268,'[1]PC50 Y2018 Status'!$D:$H,5,FALSE)</f>
        <v>#N/A</v>
      </c>
    </row>
    <row r="1269" spans="2:11" x14ac:dyDescent="0.25">
      <c r="B1269">
        <v>347638</v>
      </c>
      <c r="C1269" t="s">
        <v>16</v>
      </c>
      <c r="D1269">
        <v>32</v>
      </c>
      <c r="E1269" t="s">
        <v>408</v>
      </c>
      <c r="F1269" t="s">
        <v>257</v>
      </c>
      <c r="G1269" t="s">
        <v>13</v>
      </c>
      <c r="H1269" t="s">
        <v>14</v>
      </c>
      <c r="J1269" t="s">
        <v>15</v>
      </c>
      <c r="K1269" s="1" t="e">
        <f>VLOOKUP(I1269,'[1]PC50 Y2018 Status'!$D:$H,5,FALSE)</f>
        <v>#N/A</v>
      </c>
    </row>
    <row r="1270" spans="2:11" x14ac:dyDescent="0.25">
      <c r="B1270">
        <v>610000004152</v>
      </c>
      <c r="C1270" t="s">
        <v>82</v>
      </c>
      <c r="D1270">
        <v>56</v>
      </c>
      <c r="E1270" t="s">
        <v>408</v>
      </c>
      <c r="F1270" t="s">
        <v>257</v>
      </c>
      <c r="G1270" t="s">
        <v>13</v>
      </c>
      <c r="H1270" t="s">
        <v>14</v>
      </c>
      <c r="J1270" t="s">
        <v>22</v>
      </c>
      <c r="K1270" s="1" t="e">
        <f>VLOOKUP(I1270,'[1]PC50 Y2018 Status'!$D:$H,5,FALSE)</f>
        <v>#N/A</v>
      </c>
    </row>
    <row r="1271" spans="2:11" x14ac:dyDescent="0.25">
      <c r="B1271">
        <v>342299</v>
      </c>
      <c r="C1271" t="s">
        <v>95</v>
      </c>
      <c r="D1271">
        <v>16</v>
      </c>
      <c r="E1271" t="s">
        <v>409</v>
      </c>
      <c r="F1271" t="s">
        <v>257</v>
      </c>
      <c r="G1271" t="s">
        <v>13</v>
      </c>
      <c r="H1271" t="s">
        <v>14</v>
      </c>
      <c r="J1271" t="s">
        <v>22</v>
      </c>
      <c r="K1271" s="1" t="e">
        <f>VLOOKUP(I1271,'[1]PC50 Y2018 Status'!$D:$H,5,FALSE)</f>
        <v>#N/A</v>
      </c>
    </row>
    <row r="1272" spans="2:11" x14ac:dyDescent="0.25">
      <c r="B1272">
        <v>342450</v>
      </c>
      <c r="C1272" t="s">
        <v>77</v>
      </c>
      <c r="D1272">
        <v>8</v>
      </c>
      <c r="E1272" t="s">
        <v>409</v>
      </c>
      <c r="F1272" t="s">
        <v>257</v>
      </c>
      <c r="G1272" t="s">
        <v>13</v>
      </c>
      <c r="H1272" t="s">
        <v>14</v>
      </c>
      <c r="J1272" t="s">
        <v>22</v>
      </c>
      <c r="K1272" s="1" t="e">
        <f>VLOOKUP(I1272,'[1]PC50 Y2018 Status'!$D:$H,5,FALSE)</f>
        <v>#N/A</v>
      </c>
    </row>
    <row r="1273" spans="2:11" x14ac:dyDescent="0.25">
      <c r="B1273">
        <v>342587</v>
      </c>
      <c r="C1273" t="s">
        <v>74</v>
      </c>
      <c r="D1273">
        <v>8</v>
      </c>
      <c r="E1273" t="s">
        <v>409</v>
      </c>
      <c r="F1273" t="s">
        <v>257</v>
      </c>
      <c r="G1273" t="s">
        <v>13</v>
      </c>
      <c r="H1273" t="s">
        <v>14</v>
      </c>
      <c r="J1273" t="s">
        <v>15</v>
      </c>
      <c r="K1273" s="1" t="e">
        <f>VLOOKUP(I1273,'[1]PC50 Y2018 Status'!$D:$H,5,FALSE)</f>
        <v>#N/A</v>
      </c>
    </row>
    <row r="1274" spans="2:11" x14ac:dyDescent="0.25">
      <c r="B1274">
        <v>347639</v>
      </c>
      <c r="C1274" t="s">
        <v>32</v>
      </c>
      <c r="D1274">
        <v>14</v>
      </c>
      <c r="E1274" t="s">
        <v>409</v>
      </c>
      <c r="F1274" t="s">
        <v>257</v>
      </c>
      <c r="G1274" t="s">
        <v>13</v>
      </c>
      <c r="H1274" t="s">
        <v>14</v>
      </c>
      <c r="J1274" t="s">
        <v>15</v>
      </c>
      <c r="K1274" s="1" t="e">
        <f>VLOOKUP(I1274,'[1]PC50 Y2018 Status'!$D:$H,5,FALSE)</f>
        <v>#N/A</v>
      </c>
    </row>
    <row r="1275" spans="2:11" x14ac:dyDescent="0.25">
      <c r="B1275">
        <v>351883</v>
      </c>
      <c r="C1275" t="s">
        <v>227</v>
      </c>
      <c r="D1275">
        <v>3</v>
      </c>
      <c r="E1275" t="s">
        <v>409</v>
      </c>
      <c r="F1275" t="s">
        <v>257</v>
      </c>
      <c r="G1275" t="s">
        <v>13</v>
      </c>
      <c r="H1275" t="s">
        <v>14</v>
      </c>
      <c r="J1275" t="s">
        <v>15</v>
      </c>
      <c r="K1275" s="1" t="e">
        <f>VLOOKUP(I1275,'[1]PC50 Y2018 Status'!$D:$H,5,FALSE)</f>
        <v>#N/A</v>
      </c>
    </row>
    <row r="1276" spans="2:11" x14ac:dyDescent="0.25">
      <c r="B1276">
        <v>610000004052</v>
      </c>
      <c r="C1276" t="s">
        <v>46</v>
      </c>
      <c r="D1276">
        <v>55</v>
      </c>
      <c r="E1276" t="s">
        <v>409</v>
      </c>
      <c r="F1276" t="s">
        <v>257</v>
      </c>
      <c r="G1276" t="s">
        <v>13</v>
      </c>
      <c r="H1276" t="s">
        <v>14</v>
      </c>
      <c r="J1276" t="s">
        <v>15</v>
      </c>
      <c r="K1276" s="1" t="e">
        <f>VLOOKUP(I1276,'[1]PC50 Y2018 Status'!$D:$H,5,FALSE)</f>
        <v>#N/A</v>
      </c>
    </row>
    <row r="1277" spans="2:11" x14ac:dyDescent="0.25">
      <c r="B1277">
        <v>610000004081</v>
      </c>
      <c r="C1277" t="s">
        <v>71</v>
      </c>
      <c r="D1277">
        <v>25</v>
      </c>
      <c r="E1277" t="s">
        <v>409</v>
      </c>
      <c r="F1277" t="s">
        <v>257</v>
      </c>
      <c r="G1277" t="s">
        <v>13</v>
      </c>
      <c r="H1277" t="s">
        <v>14</v>
      </c>
      <c r="J1277" t="s">
        <v>15</v>
      </c>
      <c r="K1277" s="1" t="e">
        <f>VLOOKUP(I1277,'[1]PC50 Y2018 Status'!$D:$H,5,FALSE)</f>
        <v>#N/A</v>
      </c>
    </row>
    <row r="1278" spans="2:11" x14ac:dyDescent="0.25">
      <c r="B1278">
        <v>342588</v>
      </c>
      <c r="C1278" t="s">
        <v>82</v>
      </c>
      <c r="D1278">
        <v>44</v>
      </c>
      <c r="E1278" t="s">
        <v>410</v>
      </c>
      <c r="F1278" t="s">
        <v>257</v>
      </c>
      <c r="G1278" t="s">
        <v>13</v>
      </c>
      <c r="H1278" t="s">
        <v>14</v>
      </c>
      <c r="J1278" t="s">
        <v>22</v>
      </c>
      <c r="K1278" s="1" t="e">
        <f>VLOOKUP(I1278,'[1]PC50 Y2018 Status'!$D:$H,5,FALSE)</f>
        <v>#N/A</v>
      </c>
    </row>
    <row r="1279" spans="2:11" x14ac:dyDescent="0.25">
      <c r="B1279">
        <v>610000004075</v>
      </c>
      <c r="C1279" t="s">
        <v>243</v>
      </c>
      <c r="D1279">
        <v>11</v>
      </c>
      <c r="E1279" t="s">
        <v>410</v>
      </c>
      <c r="F1279" t="s">
        <v>257</v>
      </c>
      <c r="G1279" t="s">
        <v>13</v>
      </c>
      <c r="H1279" t="s">
        <v>14</v>
      </c>
      <c r="J1279" t="s">
        <v>15</v>
      </c>
      <c r="K1279" s="1" t="e">
        <f>VLOOKUP(I1279,'[1]PC50 Y2018 Status'!$D:$H,5,FALSE)</f>
        <v>#N/A</v>
      </c>
    </row>
    <row r="1280" spans="2:11" x14ac:dyDescent="0.25">
      <c r="B1280">
        <v>610000004175</v>
      </c>
      <c r="C1280" t="s">
        <v>34</v>
      </c>
      <c r="D1280">
        <v>119</v>
      </c>
      <c r="E1280" t="s">
        <v>410</v>
      </c>
      <c r="F1280" t="s">
        <v>257</v>
      </c>
      <c r="G1280" t="s">
        <v>13</v>
      </c>
      <c r="H1280" t="s">
        <v>14</v>
      </c>
      <c r="J1280" t="s">
        <v>22</v>
      </c>
      <c r="K1280" s="1" t="e">
        <f>VLOOKUP(I1280,'[1]PC50 Y2018 Status'!$D:$H,5,FALSE)</f>
        <v>#N/A</v>
      </c>
    </row>
    <row r="1281" spans="2:11" x14ac:dyDescent="0.25">
      <c r="B1281">
        <v>610000004069</v>
      </c>
      <c r="C1281" t="s">
        <v>35</v>
      </c>
      <c r="D1281">
        <v>120</v>
      </c>
      <c r="E1281" t="s">
        <v>411</v>
      </c>
      <c r="F1281" t="s">
        <v>257</v>
      </c>
      <c r="G1281" t="s">
        <v>13</v>
      </c>
      <c r="H1281" t="s">
        <v>14</v>
      </c>
      <c r="J1281" t="s">
        <v>15</v>
      </c>
      <c r="K1281" s="1" t="e">
        <f>VLOOKUP(I1281,'[1]PC50 Y2018 Status'!$D:$H,5,FALSE)</f>
        <v>#N/A</v>
      </c>
    </row>
    <row r="1282" spans="2:11" x14ac:dyDescent="0.25">
      <c r="B1282">
        <v>610000004070</v>
      </c>
      <c r="C1282" t="s">
        <v>35</v>
      </c>
      <c r="D1282">
        <v>120</v>
      </c>
      <c r="E1282" t="s">
        <v>411</v>
      </c>
      <c r="F1282" t="s">
        <v>257</v>
      </c>
      <c r="G1282" t="s">
        <v>13</v>
      </c>
      <c r="H1282" t="s">
        <v>14</v>
      </c>
      <c r="J1282" t="s">
        <v>15</v>
      </c>
      <c r="K1282" s="1" t="e">
        <f>VLOOKUP(I1282,'[1]PC50 Y2018 Status'!$D:$H,5,FALSE)</f>
        <v>#N/A</v>
      </c>
    </row>
    <row r="1283" spans="2:11" x14ac:dyDescent="0.25">
      <c r="B1283">
        <v>610000004068</v>
      </c>
      <c r="C1283" t="s">
        <v>24</v>
      </c>
      <c r="D1283">
        <v>241</v>
      </c>
      <c r="E1283" t="s">
        <v>412</v>
      </c>
      <c r="F1283" t="s">
        <v>257</v>
      </c>
      <c r="G1283" t="s">
        <v>13</v>
      </c>
      <c r="H1283" t="s">
        <v>14</v>
      </c>
      <c r="J1283" t="s">
        <v>15</v>
      </c>
      <c r="K1283" s="1" t="e">
        <f>VLOOKUP(I1283,'[1]PC50 Y2018 Status'!$D:$H,5,FALSE)</f>
        <v>#N/A</v>
      </c>
    </row>
    <row r="1284" spans="2:11" x14ac:dyDescent="0.25">
      <c r="B1284">
        <v>610000004074</v>
      </c>
      <c r="C1284" t="s">
        <v>138</v>
      </c>
      <c r="D1284">
        <v>18</v>
      </c>
      <c r="E1284" t="s">
        <v>412</v>
      </c>
      <c r="F1284" t="s">
        <v>257</v>
      </c>
      <c r="G1284" t="s">
        <v>13</v>
      </c>
      <c r="H1284" t="s">
        <v>14</v>
      </c>
      <c r="J1284" t="s">
        <v>15</v>
      </c>
      <c r="K1284" s="1" t="e">
        <f>VLOOKUP(I1284,'[1]PC50 Y2018 Status'!$D:$H,5,FALSE)</f>
        <v>#N/A</v>
      </c>
    </row>
    <row r="1285" spans="2:11" x14ac:dyDescent="0.25">
      <c r="B1285">
        <v>610000004077</v>
      </c>
      <c r="C1285" t="s">
        <v>39</v>
      </c>
      <c r="D1285">
        <v>120</v>
      </c>
      <c r="E1285" t="s">
        <v>412</v>
      </c>
      <c r="F1285" t="s">
        <v>257</v>
      </c>
      <c r="G1285" t="s">
        <v>13</v>
      </c>
      <c r="H1285" t="s">
        <v>14</v>
      </c>
      <c r="J1285" t="s">
        <v>15</v>
      </c>
      <c r="K1285" s="1" t="e">
        <f>VLOOKUP(I1285,'[1]PC50 Y2018 Status'!$D:$H,5,FALSE)</f>
        <v>#N/A</v>
      </c>
    </row>
    <row r="1286" spans="2:11" x14ac:dyDescent="0.25">
      <c r="B1286">
        <v>610000004085</v>
      </c>
      <c r="C1286" t="s">
        <v>18</v>
      </c>
      <c r="D1286">
        <v>120</v>
      </c>
      <c r="E1286" t="s">
        <v>412</v>
      </c>
      <c r="F1286" t="s">
        <v>257</v>
      </c>
      <c r="G1286" t="s">
        <v>13</v>
      </c>
      <c r="H1286" t="s">
        <v>14</v>
      </c>
      <c r="J1286" t="s">
        <v>15</v>
      </c>
      <c r="K1286" s="1" t="e">
        <f>VLOOKUP(I1286,'[1]PC50 Y2018 Status'!$D:$H,5,FALSE)</f>
        <v>#N/A</v>
      </c>
    </row>
    <row r="1287" spans="2:11" x14ac:dyDescent="0.25">
      <c r="B1287">
        <v>610000004086</v>
      </c>
      <c r="C1287" t="s">
        <v>18</v>
      </c>
      <c r="D1287">
        <v>120</v>
      </c>
      <c r="E1287" t="s">
        <v>412</v>
      </c>
      <c r="F1287" t="s">
        <v>257</v>
      </c>
      <c r="G1287" t="s">
        <v>13</v>
      </c>
      <c r="H1287" t="s">
        <v>14</v>
      </c>
      <c r="J1287" t="s">
        <v>15</v>
      </c>
      <c r="K1287" s="1" t="e">
        <f>VLOOKUP(I1287,'[1]PC50 Y2018 Status'!$D:$H,5,FALSE)</f>
        <v>#N/A</v>
      </c>
    </row>
    <row r="1288" spans="2:11" x14ac:dyDescent="0.25">
      <c r="B1288">
        <v>610000004091</v>
      </c>
      <c r="C1288" t="s">
        <v>47</v>
      </c>
      <c r="D1288">
        <v>119</v>
      </c>
      <c r="E1288" t="s">
        <v>413</v>
      </c>
      <c r="F1288" t="s">
        <v>257</v>
      </c>
      <c r="G1288" t="s">
        <v>13</v>
      </c>
      <c r="H1288" t="s">
        <v>14</v>
      </c>
      <c r="J1288" t="s">
        <v>15</v>
      </c>
      <c r="K1288" s="1" t="e">
        <f>VLOOKUP(I1288,'[1]PC50 Y2018 Status'!$D:$H,5,FALSE)</f>
        <v>#N/A</v>
      </c>
    </row>
    <row r="1289" spans="2:11" x14ac:dyDescent="0.25">
      <c r="B1289">
        <v>610000004161</v>
      </c>
      <c r="C1289" t="s">
        <v>48</v>
      </c>
      <c r="D1289">
        <v>121</v>
      </c>
      <c r="E1289" t="s">
        <v>413</v>
      </c>
      <c r="F1289" t="s">
        <v>257</v>
      </c>
      <c r="G1289" t="s">
        <v>13</v>
      </c>
      <c r="H1289" t="s">
        <v>14</v>
      </c>
      <c r="J1289" t="s">
        <v>22</v>
      </c>
      <c r="K1289" s="1" t="e">
        <f>VLOOKUP(I1289,'[1]PC50 Y2018 Status'!$D:$H,5,FALSE)</f>
        <v>#N/A</v>
      </c>
    </row>
    <row r="1290" spans="2:11" x14ac:dyDescent="0.25">
      <c r="B1290">
        <v>342257</v>
      </c>
      <c r="C1290" t="s">
        <v>25</v>
      </c>
      <c r="D1290">
        <v>206</v>
      </c>
      <c r="E1290" t="s">
        <v>414</v>
      </c>
      <c r="F1290" t="s">
        <v>257</v>
      </c>
      <c r="G1290" t="s">
        <v>13</v>
      </c>
      <c r="H1290" t="s">
        <v>14</v>
      </c>
      <c r="J1290" t="s">
        <v>15</v>
      </c>
      <c r="K1290" s="1" t="e">
        <f>VLOOKUP(I1290,'[1]PC50 Y2018 Status'!$D:$H,5,FALSE)</f>
        <v>#N/A</v>
      </c>
    </row>
    <row r="1291" spans="2:11" x14ac:dyDescent="0.25">
      <c r="B1291">
        <v>347637</v>
      </c>
      <c r="C1291" t="s">
        <v>27</v>
      </c>
      <c r="D1291">
        <v>64</v>
      </c>
      <c r="E1291" t="s">
        <v>414</v>
      </c>
      <c r="F1291" t="s">
        <v>257</v>
      </c>
      <c r="G1291" t="s">
        <v>13</v>
      </c>
      <c r="H1291" t="s">
        <v>14</v>
      </c>
      <c r="J1291" t="s">
        <v>15</v>
      </c>
      <c r="K1291" s="1" t="e">
        <f>VLOOKUP(I1291,'[1]PC50 Y2018 Status'!$D:$H,5,FALSE)</f>
        <v>#N/A</v>
      </c>
    </row>
    <row r="1292" spans="2:11" x14ac:dyDescent="0.25">
      <c r="B1292">
        <v>342699</v>
      </c>
      <c r="C1292" t="s">
        <v>20</v>
      </c>
      <c r="D1292">
        <v>4</v>
      </c>
      <c r="E1292" t="s">
        <v>415</v>
      </c>
      <c r="F1292" t="s">
        <v>257</v>
      </c>
      <c r="G1292" t="s">
        <v>13</v>
      </c>
      <c r="H1292" t="s">
        <v>14</v>
      </c>
      <c r="J1292" t="s">
        <v>22</v>
      </c>
      <c r="K1292" s="1" t="e">
        <f>VLOOKUP(I1292,'[1]PC50 Y2018 Status'!$D:$H,5,FALSE)</f>
        <v>#N/A</v>
      </c>
    </row>
    <row r="1293" spans="2:11" x14ac:dyDescent="0.25">
      <c r="B1293">
        <v>343826</v>
      </c>
      <c r="C1293" t="s">
        <v>23</v>
      </c>
      <c r="D1293">
        <v>6</v>
      </c>
      <c r="E1293" t="s">
        <v>415</v>
      </c>
      <c r="F1293" t="s">
        <v>257</v>
      </c>
      <c r="G1293" t="s">
        <v>13</v>
      </c>
      <c r="H1293" t="s">
        <v>14</v>
      </c>
      <c r="J1293" t="s">
        <v>22</v>
      </c>
      <c r="K1293" s="1" t="e">
        <f>VLOOKUP(I1293,'[1]PC50 Y2018 Status'!$D:$H,5,FALSE)</f>
        <v>#N/A</v>
      </c>
    </row>
    <row r="1294" spans="2:11" x14ac:dyDescent="0.25">
      <c r="B1294">
        <v>610000004025</v>
      </c>
      <c r="C1294" t="s">
        <v>44</v>
      </c>
      <c r="D1294">
        <v>110</v>
      </c>
      <c r="E1294" t="s">
        <v>415</v>
      </c>
      <c r="F1294" t="s">
        <v>257</v>
      </c>
      <c r="G1294" t="s">
        <v>13</v>
      </c>
      <c r="H1294" t="s">
        <v>14</v>
      </c>
      <c r="J1294" t="s">
        <v>15</v>
      </c>
      <c r="K1294" s="1" t="e">
        <f>VLOOKUP(I1294,'[1]PC50 Y2018 Status'!$D:$H,5,FALSE)</f>
        <v>#N/A</v>
      </c>
    </row>
    <row r="1295" spans="2:11" x14ac:dyDescent="0.25">
      <c r="B1295">
        <v>610000004050</v>
      </c>
      <c r="C1295" t="s">
        <v>17</v>
      </c>
      <c r="D1295">
        <v>120</v>
      </c>
      <c r="E1295" t="s">
        <v>415</v>
      </c>
      <c r="F1295" t="s">
        <v>257</v>
      </c>
      <c r="G1295" t="s">
        <v>13</v>
      </c>
      <c r="H1295" t="s">
        <v>14</v>
      </c>
      <c r="J1295" t="s">
        <v>15</v>
      </c>
      <c r="K1295" s="1" t="e">
        <f>VLOOKUP(I1295,'[1]PC50 Y2018 Status'!$D:$H,5,FALSE)</f>
        <v>#N/A</v>
      </c>
    </row>
    <row r="1296" spans="2:11" x14ac:dyDescent="0.25">
      <c r="B1296">
        <v>610000004026</v>
      </c>
      <c r="C1296" t="s">
        <v>44</v>
      </c>
      <c r="D1296">
        <v>56</v>
      </c>
      <c r="E1296" t="s">
        <v>416</v>
      </c>
      <c r="F1296" t="s">
        <v>257</v>
      </c>
      <c r="G1296" t="s">
        <v>13</v>
      </c>
      <c r="H1296" t="s">
        <v>14</v>
      </c>
      <c r="J1296" t="s">
        <v>15</v>
      </c>
      <c r="K1296" s="1" t="e">
        <f>VLOOKUP(I1296,'[1]PC50 Y2018 Status'!$D:$H,5,FALSE)</f>
        <v>#N/A</v>
      </c>
    </row>
    <row r="1297" spans="2:11" x14ac:dyDescent="0.25">
      <c r="B1297">
        <v>610000004028</v>
      </c>
      <c r="C1297" t="s">
        <v>44</v>
      </c>
      <c r="D1297">
        <v>54</v>
      </c>
      <c r="E1297" t="s">
        <v>416</v>
      </c>
      <c r="F1297" t="s">
        <v>257</v>
      </c>
      <c r="G1297" t="s">
        <v>13</v>
      </c>
      <c r="H1297" t="s">
        <v>14</v>
      </c>
      <c r="J1297" t="s">
        <v>15</v>
      </c>
      <c r="K1297" s="1" t="e">
        <f>VLOOKUP(I1297,'[1]PC50 Y2018 Status'!$D:$H,5,FALSE)</f>
        <v>#N/A</v>
      </c>
    </row>
    <row r="1298" spans="2:11" x14ac:dyDescent="0.25">
      <c r="B1298">
        <v>610000004061</v>
      </c>
      <c r="C1298" t="s">
        <v>64</v>
      </c>
      <c r="D1298">
        <v>56</v>
      </c>
      <c r="E1298" t="s">
        <v>416</v>
      </c>
      <c r="F1298" t="s">
        <v>257</v>
      </c>
      <c r="G1298" t="s">
        <v>13</v>
      </c>
      <c r="H1298" t="s">
        <v>14</v>
      </c>
      <c r="J1298" t="s">
        <v>15</v>
      </c>
      <c r="K1298" s="1" t="e">
        <f>VLOOKUP(I1298,'[1]PC50 Y2018 Status'!$D:$H,5,FALSE)</f>
        <v>#N/A</v>
      </c>
    </row>
    <row r="1299" spans="2:11" x14ac:dyDescent="0.25">
      <c r="B1299">
        <v>610000004062</v>
      </c>
      <c r="C1299" t="s">
        <v>64</v>
      </c>
      <c r="D1299">
        <v>56</v>
      </c>
      <c r="E1299" t="s">
        <v>416</v>
      </c>
      <c r="F1299" t="s">
        <v>257</v>
      </c>
      <c r="G1299" t="s">
        <v>13</v>
      </c>
      <c r="H1299" t="s">
        <v>14</v>
      </c>
      <c r="J1299" t="s">
        <v>15</v>
      </c>
      <c r="K1299" s="1" t="e">
        <f>VLOOKUP(I1299,'[1]PC50 Y2018 Status'!$D:$H,5,FALSE)</f>
        <v>#N/A</v>
      </c>
    </row>
    <row r="1300" spans="2:11" x14ac:dyDescent="0.25">
      <c r="B1300">
        <v>610000004063</v>
      </c>
      <c r="C1300" t="s">
        <v>64</v>
      </c>
      <c r="D1300">
        <v>54</v>
      </c>
      <c r="E1300" t="s">
        <v>416</v>
      </c>
      <c r="F1300" t="s">
        <v>257</v>
      </c>
      <c r="G1300" t="s">
        <v>13</v>
      </c>
      <c r="H1300" t="s">
        <v>14</v>
      </c>
      <c r="J1300" t="s">
        <v>15</v>
      </c>
      <c r="K1300" s="1" t="e">
        <f>VLOOKUP(I1300,'[1]PC50 Y2018 Status'!$D:$H,5,FALSE)</f>
        <v>#N/A</v>
      </c>
    </row>
    <row r="1301" spans="2:11" x14ac:dyDescent="0.25">
      <c r="B1301">
        <v>610000004064</v>
      </c>
      <c r="C1301" t="s">
        <v>64</v>
      </c>
      <c r="D1301">
        <v>54</v>
      </c>
      <c r="E1301" t="s">
        <v>416</v>
      </c>
      <c r="F1301" t="s">
        <v>257</v>
      </c>
      <c r="G1301" t="s">
        <v>13</v>
      </c>
      <c r="H1301" t="s">
        <v>14</v>
      </c>
      <c r="J1301" t="s">
        <v>15</v>
      </c>
      <c r="K1301" s="1" t="e">
        <f>VLOOKUP(I1301,'[1]PC50 Y2018 Status'!$D:$H,5,FALSE)</f>
        <v>#N/A</v>
      </c>
    </row>
    <row r="1302" spans="2:11" x14ac:dyDescent="0.25">
      <c r="B1302">
        <v>610000004071</v>
      </c>
      <c r="C1302" t="s">
        <v>70</v>
      </c>
      <c r="D1302">
        <v>66</v>
      </c>
      <c r="E1302" t="s">
        <v>416</v>
      </c>
      <c r="F1302" t="s">
        <v>257</v>
      </c>
      <c r="G1302" t="s">
        <v>13</v>
      </c>
      <c r="H1302" t="s">
        <v>14</v>
      </c>
      <c r="J1302" t="s">
        <v>15</v>
      </c>
      <c r="K1302" s="1" t="e">
        <f>VLOOKUP(I1302,'[1]PC50 Y2018 Status'!$D:$H,5,FALSE)</f>
        <v>#N/A</v>
      </c>
    </row>
    <row r="1303" spans="2:11" x14ac:dyDescent="0.25">
      <c r="B1303">
        <v>610000004072</v>
      </c>
      <c r="C1303" t="s">
        <v>70</v>
      </c>
      <c r="D1303">
        <v>54</v>
      </c>
      <c r="E1303" t="s">
        <v>416</v>
      </c>
      <c r="F1303" t="s">
        <v>257</v>
      </c>
      <c r="G1303" t="s">
        <v>13</v>
      </c>
      <c r="H1303" t="s">
        <v>14</v>
      </c>
      <c r="J1303" t="s">
        <v>15</v>
      </c>
      <c r="K1303" s="1" t="e">
        <f>VLOOKUP(I1303,'[1]PC50 Y2018 Status'!$D:$H,5,FALSE)</f>
        <v>#N/A</v>
      </c>
    </row>
    <row r="1304" spans="2:11" x14ac:dyDescent="0.25">
      <c r="B1304">
        <v>610000004073</v>
      </c>
      <c r="C1304" t="s">
        <v>70</v>
      </c>
      <c r="D1304">
        <v>53</v>
      </c>
      <c r="E1304" t="s">
        <v>416</v>
      </c>
      <c r="F1304" t="s">
        <v>257</v>
      </c>
      <c r="G1304" t="s">
        <v>13</v>
      </c>
      <c r="H1304" t="s">
        <v>14</v>
      </c>
      <c r="J1304" t="s">
        <v>15</v>
      </c>
      <c r="K1304" s="1" t="e">
        <f>VLOOKUP(I1304,'[1]PC50 Y2018 Status'!$D:$H,5,FALSE)</f>
        <v>#N/A</v>
      </c>
    </row>
    <row r="1305" spans="2:11" x14ac:dyDescent="0.25">
      <c r="B1305">
        <v>610000004078</v>
      </c>
      <c r="C1305" t="s">
        <v>71</v>
      </c>
      <c r="D1305">
        <v>54</v>
      </c>
      <c r="E1305" t="s">
        <v>416</v>
      </c>
      <c r="F1305" t="s">
        <v>257</v>
      </c>
      <c r="G1305" t="s">
        <v>13</v>
      </c>
      <c r="H1305" t="s">
        <v>14</v>
      </c>
      <c r="J1305" t="s">
        <v>15</v>
      </c>
      <c r="K1305" s="1" t="e">
        <f>VLOOKUP(I1305,'[1]PC50 Y2018 Status'!$D:$H,5,FALSE)</f>
        <v>#N/A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PC50 Y2018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Thamburanawit, Pimnacha {PI}</dc:creator>
  <cp:lastModifiedBy>Windows User</cp:lastModifiedBy>
  <dcterms:created xsi:type="dcterms:W3CDTF">2018-07-06T06:48:02Z</dcterms:created>
  <dcterms:modified xsi:type="dcterms:W3CDTF">2018-07-06T09:51:10Z</dcterms:modified>
</cp:coreProperties>
</file>