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"/>
    </mc:Choice>
  </mc:AlternateContent>
  <xr:revisionPtr revIDLastSave="0" documentId="13_ncr:1_{86072FDF-9690-4BCB-9128-B3D9540D45C3}" xr6:coauthVersionLast="41" xr6:coauthVersionMax="41" xr10:uidLastSave="{00000000-0000-0000-0000-000000000000}"/>
  <bookViews>
    <workbookView xWindow="-120" yWindow="-120" windowWidth="20730" windowHeight="11160" firstSheet="5" activeTab="10" xr2:uid="{00000000-000D-0000-FFFF-FFFF00000000}"/>
  </bookViews>
  <sheets>
    <sheet name="AcZB02" sheetId="1" r:id="rId1"/>
    <sheet name="Week1" sheetId="7" r:id="rId2"/>
    <sheet name="Week2" sheetId="4" r:id="rId3"/>
    <sheet name="Week3" sheetId="10" r:id="rId4"/>
    <sheet name="Week4" sheetId="11" r:id="rId5"/>
    <sheet name="Week7" sheetId="15" r:id="rId6"/>
    <sheet name="Week8" sheetId="16" r:id="rId7"/>
    <sheet name="Manhour HR" sheetId="5" r:id="rId8"/>
    <sheet name="Sum OT" sheetId="19" r:id="rId9"/>
    <sheet name="Summary Weekly" sheetId="20" r:id="rId10"/>
    <sheet name="Summary Weekly (2)" sheetId="21" r:id="rId11"/>
    <sheet name="Total by M2" sheetId="18" r:id="rId12"/>
    <sheet name="Total Manhour" sheetId="13" r:id="rId13"/>
    <sheet name="Summary Monthly" sheetId="14" r:id="rId14"/>
    <sheet name="Summary Monthly (2)" sheetId="17" r:id="rId15"/>
    <sheet name="Total by Week" sheetId="9" r:id="rId16"/>
    <sheet name=" E" sheetId="8" r:id="rId17"/>
  </sheets>
  <definedNames>
    <definedName name="_xlnm._FilterDatabase" localSheetId="0" hidden="1">AcZB02!$A$4:$S$754</definedName>
  </definedNames>
  <calcPr calcId="191029"/>
  <pivotCaches>
    <pivotCache cacheId="0" r:id="rId18"/>
    <pivotCache cacheId="1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" i="21" l="1"/>
  <c r="H10" i="21"/>
  <c r="C10" i="21"/>
  <c r="I10" i="21" s="1"/>
  <c r="J17" i="21"/>
  <c r="I17" i="21"/>
  <c r="H17" i="21"/>
  <c r="J8" i="21"/>
  <c r="H8" i="21"/>
  <c r="C8" i="21"/>
  <c r="I8" i="21" s="1"/>
  <c r="J19" i="21"/>
  <c r="H19" i="21"/>
  <c r="C19" i="21"/>
  <c r="I19" i="21" s="1"/>
  <c r="J12" i="21"/>
  <c r="H12" i="21"/>
  <c r="I12" i="21"/>
  <c r="J18" i="21"/>
  <c r="I18" i="21"/>
  <c r="H18" i="21"/>
  <c r="J15" i="21"/>
  <c r="H15" i="21"/>
  <c r="C15" i="21"/>
  <c r="I15" i="21" s="1"/>
  <c r="J6" i="21"/>
  <c r="H6" i="21"/>
  <c r="C6" i="21"/>
  <c r="I6" i="21" s="1"/>
  <c r="J21" i="21"/>
  <c r="H21" i="21"/>
  <c r="C21" i="21"/>
  <c r="I21" i="21" s="1"/>
  <c r="J9" i="21"/>
  <c r="H9" i="21"/>
  <c r="C9" i="21"/>
  <c r="I9" i="21" s="1"/>
  <c r="J11" i="21"/>
  <c r="H11" i="21"/>
  <c r="C11" i="21"/>
  <c r="I11" i="21" s="1"/>
  <c r="J4" i="21"/>
  <c r="H4" i="21"/>
  <c r="C4" i="21"/>
  <c r="I4" i="21" s="1"/>
  <c r="J5" i="21"/>
  <c r="C5" i="21"/>
  <c r="I5" i="21" s="1"/>
  <c r="B5" i="21"/>
  <c r="H5" i="21" s="1"/>
  <c r="J13" i="21"/>
  <c r="C13" i="21"/>
  <c r="I13" i="21" s="1"/>
  <c r="B13" i="21"/>
  <c r="H13" i="21" s="1"/>
  <c r="J20" i="21"/>
  <c r="I20" i="21"/>
  <c r="B20" i="21"/>
  <c r="H20" i="21" s="1"/>
  <c r="J14" i="21"/>
  <c r="C14" i="21"/>
  <c r="I14" i="21" s="1"/>
  <c r="B14" i="21"/>
  <c r="H14" i="21" s="1"/>
  <c r="J16" i="21"/>
  <c r="H16" i="21"/>
  <c r="C16" i="21"/>
  <c r="I16" i="21" s="1"/>
  <c r="J7" i="21"/>
  <c r="C7" i="21"/>
  <c r="I7" i="21" s="1"/>
  <c r="B7" i="21"/>
  <c r="H7" i="21" s="1"/>
  <c r="K17" i="21" l="1"/>
  <c r="K18" i="21"/>
  <c r="K10" i="21"/>
  <c r="K11" i="21"/>
  <c r="K5" i="21"/>
  <c r="K15" i="21"/>
  <c r="K4" i="21"/>
  <c r="K12" i="21"/>
  <c r="K21" i="21"/>
  <c r="K19" i="21"/>
  <c r="K13" i="21"/>
  <c r="K7" i="21"/>
  <c r="K16" i="21"/>
  <c r="K6" i="21"/>
  <c r="K14" i="21"/>
  <c r="K20" i="21"/>
  <c r="K9" i="21"/>
  <c r="K8" i="21"/>
  <c r="J5" i="20"/>
  <c r="C11" i="20"/>
  <c r="B10" i="20"/>
  <c r="B9" i="20"/>
  <c r="B8" i="20"/>
  <c r="B7" i="20"/>
  <c r="B5" i="20"/>
  <c r="K163" i="5" l="1"/>
  <c r="L167" i="5"/>
  <c r="L165" i="5"/>
  <c r="L164" i="5"/>
  <c r="L163" i="5"/>
  <c r="L180" i="5"/>
  <c r="K180" i="5"/>
  <c r="L179" i="5"/>
  <c r="K179" i="5"/>
  <c r="L178" i="5"/>
  <c r="K178" i="5"/>
  <c r="L177" i="5"/>
  <c r="K177" i="5"/>
  <c r="L176" i="5"/>
  <c r="K176" i="5"/>
  <c r="L175" i="5"/>
  <c r="K175" i="5"/>
  <c r="L174" i="5"/>
  <c r="K174" i="5"/>
  <c r="L173" i="5"/>
  <c r="K173" i="5"/>
  <c r="L172" i="5"/>
  <c r="K172" i="5"/>
  <c r="L171" i="5"/>
  <c r="K171" i="5"/>
  <c r="L170" i="5"/>
  <c r="K170" i="5"/>
  <c r="L169" i="5"/>
  <c r="K169" i="5"/>
  <c r="L168" i="5"/>
  <c r="K168" i="5"/>
  <c r="K167" i="5"/>
  <c r="L166" i="5"/>
  <c r="K166" i="5"/>
  <c r="K165" i="5"/>
  <c r="K164" i="5"/>
  <c r="C22" i="20" l="1"/>
  <c r="C20" i="20"/>
  <c r="C19" i="20"/>
  <c r="C18" i="20"/>
  <c r="H18" i="20" s="1"/>
  <c r="C16" i="20"/>
  <c r="C15" i="20"/>
  <c r="H15" i="20" s="1"/>
  <c r="C14" i="20"/>
  <c r="H14" i="20" s="1"/>
  <c r="C13" i="20"/>
  <c r="H13" i="20" s="1"/>
  <c r="C12" i="20"/>
  <c r="C10" i="20"/>
  <c r="C9" i="20"/>
  <c r="C7" i="20"/>
  <c r="H7" i="20" s="1"/>
  <c r="C6" i="20"/>
  <c r="H6" i="20" s="1"/>
  <c r="C5" i="20"/>
  <c r="H5" i="20" s="1"/>
  <c r="H22" i="20"/>
  <c r="H21" i="20"/>
  <c r="H17" i="20"/>
  <c r="H11" i="20"/>
  <c r="H10" i="20"/>
  <c r="H9" i="20"/>
  <c r="G22" i="20"/>
  <c r="I22" i="20"/>
  <c r="G21" i="20"/>
  <c r="I21" i="20"/>
  <c r="G20" i="20"/>
  <c r="I20" i="20"/>
  <c r="H20" i="20"/>
  <c r="H19" i="20"/>
  <c r="G19" i="20"/>
  <c r="I19" i="20"/>
  <c r="G18" i="20"/>
  <c r="I18" i="20"/>
  <c r="G17" i="20"/>
  <c r="I17" i="20"/>
  <c r="H16" i="20"/>
  <c r="G16" i="20"/>
  <c r="I16" i="20"/>
  <c r="G15" i="20"/>
  <c r="I15" i="20"/>
  <c r="G14" i="20"/>
  <c r="I14" i="20"/>
  <c r="G13" i="20"/>
  <c r="I13" i="20"/>
  <c r="H12" i="20"/>
  <c r="G12" i="20"/>
  <c r="I12" i="20"/>
  <c r="G11" i="20"/>
  <c r="I11" i="20"/>
  <c r="G10" i="20"/>
  <c r="I10" i="20"/>
  <c r="G9" i="20"/>
  <c r="I9" i="20"/>
  <c r="H8" i="20"/>
  <c r="G8" i="20"/>
  <c r="I8" i="20"/>
  <c r="G7" i="20"/>
  <c r="I7" i="20"/>
  <c r="G6" i="20"/>
  <c r="I6" i="20"/>
  <c r="G5" i="20"/>
  <c r="I5" i="20"/>
  <c r="J17" i="20" l="1"/>
  <c r="J21" i="20"/>
  <c r="J18" i="20"/>
  <c r="J16" i="20"/>
  <c r="J13" i="20"/>
  <c r="J11" i="20"/>
  <c r="J12" i="20"/>
  <c r="J20" i="20"/>
  <c r="J10" i="20"/>
  <c r="J14" i="20"/>
  <c r="J22" i="20"/>
  <c r="J8" i="20"/>
  <c r="J6" i="20"/>
  <c r="J19" i="20"/>
  <c r="J7" i="20"/>
  <c r="J15" i="20"/>
  <c r="J9" i="20"/>
  <c r="J3" i="19"/>
  <c r="K3" i="19" s="1"/>
  <c r="J12" i="19"/>
  <c r="J4" i="19" l="1"/>
  <c r="J5" i="19" l="1"/>
  <c r="J6" i="19"/>
  <c r="J7" i="19"/>
  <c r="J8" i="19"/>
  <c r="J9" i="19"/>
  <c r="J10" i="19"/>
  <c r="J11" i="19"/>
  <c r="J13" i="19"/>
  <c r="J14" i="19"/>
  <c r="J15" i="19"/>
  <c r="J16" i="19"/>
  <c r="J17" i="19"/>
  <c r="J18" i="19"/>
  <c r="J19" i="19"/>
  <c r="J20" i="19"/>
  <c r="S5" i="9" l="1"/>
  <c r="T5" i="9"/>
  <c r="K103" i="5"/>
  <c r="L129" i="5"/>
  <c r="L120" i="5"/>
  <c r="L103" i="5"/>
  <c r="L123" i="5"/>
  <c r="L144" i="5"/>
  <c r="L143" i="5"/>
  <c r="L24" i="5" l="1"/>
  <c r="K3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63" i="5"/>
  <c r="L83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0" i="5"/>
  <c r="L139" i="5"/>
  <c r="L138" i="5"/>
  <c r="L137" i="5"/>
  <c r="L136" i="5"/>
  <c r="L135" i="5"/>
  <c r="L134" i="5"/>
  <c r="L133" i="5"/>
  <c r="L132" i="5"/>
  <c r="L131" i="5"/>
  <c r="L130" i="5"/>
  <c r="L128" i="5"/>
  <c r="L127" i="5"/>
  <c r="L126" i="5"/>
  <c r="L125" i="5"/>
  <c r="L124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3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AK5" i="18" l="1"/>
  <c r="K143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23" i="5"/>
  <c r="AK6" i="18" l="1"/>
  <c r="AI6" i="18" s="1"/>
  <c r="AK7" i="18"/>
  <c r="AK8" i="18"/>
  <c r="AJ8" i="18" s="1"/>
  <c r="AK9" i="18"/>
  <c r="AK10" i="18"/>
  <c r="AI10" i="18" s="1"/>
  <c r="AK11" i="18"/>
  <c r="AK12" i="18"/>
  <c r="AJ12" i="18" s="1"/>
  <c r="AK13" i="18"/>
  <c r="AJ13" i="18" s="1"/>
  <c r="AK14" i="18"/>
  <c r="AI14" i="18" s="1"/>
  <c r="AK15" i="18"/>
  <c r="AK16" i="18"/>
  <c r="AJ16" i="18" s="1"/>
  <c r="AK17" i="18"/>
  <c r="AJ17" i="18" s="1"/>
  <c r="AK18" i="18"/>
  <c r="AI18" i="18" s="1"/>
  <c r="AK19" i="18"/>
  <c r="AK20" i="18"/>
  <c r="AJ20" i="18" s="1"/>
  <c r="AK21" i="18"/>
  <c r="AJ21" i="18" s="1"/>
  <c r="AK22" i="18"/>
  <c r="AJ22" i="18" s="1"/>
  <c r="AI5" i="18"/>
  <c r="AF5" i="18"/>
  <c r="AG22" i="18"/>
  <c r="AF22" i="18"/>
  <c r="AB22" i="18"/>
  <c r="AC22" i="18" s="1"/>
  <c r="AA22" i="18"/>
  <c r="U22" i="18"/>
  <c r="T22" i="18"/>
  <c r="S22" i="18"/>
  <c r="M22" i="18"/>
  <c r="L22" i="18"/>
  <c r="F22" i="18"/>
  <c r="E22" i="18"/>
  <c r="AG21" i="18"/>
  <c r="AF21" i="18"/>
  <c r="AB21" i="18"/>
  <c r="AA21" i="18"/>
  <c r="AC21" i="18" s="1"/>
  <c r="U21" i="18"/>
  <c r="T21" i="18"/>
  <c r="M21" i="18"/>
  <c r="L21" i="18"/>
  <c r="F21" i="18"/>
  <c r="E21" i="18"/>
  <c r="AG20" i="18"/>
  <c r="AF20" i="18"/>
  <c r="AB20" i="18"/>
  <c r="AA20" i="18"/>
  <c r="AC20" i="18" s="1"/>
  <c r="U20" i="18"/>
  <c r="T20" i="18"/>
  <c r="S20" i="18"/>
  <c r="M20" i="18"/>
  <c r="L20" i="18"/>
  <c r="F20" i="18"/>
  <c r="E20" i="18"/>
  <c r="AG19" i="18"/>
  <c r="AF19" i="18"/>
  <c r="AB19" i="18"/>
  <c r="AA19" i="18"/>
  <c r="AC19" i="18" s="1"/>
  <c r="U19" i="18"/>
  <c r="T19" i="18"/>
  <c r="S19" i="18"/>
  <c r="V19" i="18" s="1"/>
  <c r="M19" i="18"/>
  <c r="L19" i="18"/>
  <c r="F19" i="18"/>
  <c r="E19" i="18"/>
  <c r="AG18" i="18"/>
  <c r="AF18" i="18"/>
  <c r="AB18" i="18"/>
  <c r="AA18" i="18"/>
  <c r="U18" i="18"/>
  <c r="T18" i="18"/>
  <c r="S18" i="18"/>
  <c r="M18" i="18"/>
  <c r="L18" i="18"/>
  <c r="F18" i="18"/>
  <c r="E18" i="18"/>
  <c r="AG17" i="18"/>
  <c r="AF17" i="18"/>
  <c r="AB17" i="18"/>
  <c r="AA17" i="18"/>
  <c r="U17" i="18"/>
  <c r="T17" i="18"/>
  <c r="S17" i="18"/>
  <c r="M17" i="18"/>
  <c r="L17" i="18"/>
  <c r="F17" i="18"/>
  <c r="E17" i="18"/>
  <c r="AG16" i="18"/>
  <c r="AF16" i="18"/>
  <c r="AB16" i="18"/>
  <c r="AA16" i="18"/>
  <c r="AC16" i="18" s="1"/>
  <c r="U16" i="18"/>
  <c r="T16" i="18"/>
  <c r="S16" i="18"/>
  <c r="M16" i="18"/>
  <c r="L16" i="18"/>
  <c r="F16" i="18"/>
  <c r="E16" i="18"/>
  <c r="AG15" i="18"/>
  <c r="AF15" i="18"/>
  <c r="AB15" i="18"/>
  <c r="AA15" i="18"/>
  <c r="AC15" i="18" s="1"/>
  <c r="U15" i="18"/>
  <c r="T15" i="18"/>
  <c r="S15" i="18"/>
  <c r="M15" i="18"/>
  <c r="L15" i="18"/>
  <c r="F15" i="18"/>
  <c r="E15" i="18"/>
  <c r="AG14" i="18"/>
  <c r="AF14" i="18"/>
  <c r="AB14" i="18"/>
  <c r="AA14" i="18"/>
  <c r="AC14" i="18" s="1"/>
  <c r="U14" i="18"/>
  <c r="T14" i="18"/>
  <c r="S14" i="18"/>
  <c r="M14" i="18"/>
  <c r="L14" i="18"/>
  <c r="F14" i="18"/>
  <c r="E14" i="18"/>
  <c r="AG13" i="18"/>
  <c r="AF13" i="18"/>
  <c r="AB13" i="18"/>
  <c r="AC13" i="18" s="1"/>
  <c r="AA13" i="18"/>
  <c r="U13" i="18"/>
  <c r="T13" i="18"/>
  <c r="S13" i="18"/>
  <c r="M13" i="18"/>
  <c r="L13" i="18"/>
  <c r="F13" i="18"/>
  <c r="E13" i="18"/>
  <c r="G13" i="18" s="1"/>
  <c r="AG12" i="18"/>
  <c r="AF12" i="18"/>
  <c r="AB12" i="18"/>
  <c r="AA12" i="18"/>
  <c r="AC12" i="18" s="1"/>
  <c r="U12" i="18"/>
  <c r="T12" i="18"/>
  <c r="S12" i="18"/>
  <c r="M12" i="18"/>
  <c r="L12" i="18"/>
  <c r="F12" i="18"/>
  <c r="E12" i="18"/>
  <c r="G12" i="18" s="1"/>
  <c r="AG11" i="18"/>
  <c r="AF11" i="18"/>
  <c r="AB11" i="18"/>
  <c r="AA11" i="18"/>
  <c r="AC11" i="18" s="1"/>
  <c r="U11" i="18"/>
  <c r="T11" i="18"/>
  <c r="S11" i="18"/>
  <c r="M11" i="18"/>
  <c r="L11" i="18"/>
  <c r="F11" i="18"/>
  <c r="E11" i="18"/>
  <c r="G11" i="18" s="1"/>
  <c r="AG10" i="18"/>
  <c r="AF10" i="18"/>
  <c r="AB10" i="18"/>
  <c r="AA10" i="18"/>
  <c r="AC10" i="18" s="1"/>
  <c r="U10" i="18"/>
  <c r="T10" i="18"/>
  <c r="S10" i="18"/>
  <c r="M10" i="18"/>
  <c r="L10" i="18"/>
  <c r="F10" i="18"/>
  <c r="E10" i="18"/>
  <c r="AJ9" i="18"/>
  <c r="AI9" i="18"/>
  <c r="AG9" i="18"/>
  <c r="AF9" i="18"/>
  <c r="AB9" i="18"/>
  <c r="AA9" i="18"/>
  <c r="U9" i="18"/>
  <c r="T9" i="18"/>
  <c r="S9" i="18"/>
  <c r="M9" i="18"/>
  <c r="L9" i="18"/>
  <c r="F9" i="18"/>
  <c r="E9" i="18"/>
  <c r="AG8" i="18"/>
  <c r="AF8" i="18"/>
  <c r="AB8" i="18"/>
  <c r="AC8" i="18" s="1"/>
  <c r="AA8" i="18"/>
  <c r="U8" i="18"/>
  <c r="T8" i="18"/>
  <c r="S8" i="18"/>
  <c r="M8" i="18"/>
  <c r="L8" i="18"/>
  <c r="F8" i="18"/>
  <c r="E8" i="18"/>
  <c r="G8" i="18" s="1"/>
  <c r="AG7" i="18"/>
  <c r="AF7" i="18"/>
  <c r="AB7" i="18"/>
  <c r="AA7" i="18"/>
  <c r="AC7" i="18" s="1"/>
  <c r="U7" i="18"/>
  <c r="T7" i="18"/>
  <c r="S7" i="18"/>
  <c r="V7" i="18" s="1"/>
  <c r="M7" i="18"/>
  <c r="L7" i="18"/>
  <c r="F7" i="18"/>
  <c r="E7" i="18"/>
  <c r="AG6" i="18"/>
  <c r="AF6" i="18"/>
  <c r="AB6" i="18"/>
  <c r="AA6" i="18"/>
  <c r="AC6" i="18" s="1"/>
  <c r="U6" i="18"/>
  <c r="T6" i="18"/>
  <c r="S6" i="18"/>
  <c r="M6" i="18"/>
  <c r="L6" i="18"/>
  <c r="F6" i="18"/>
  <c r="E6" i="18"/>
  <c r="AG5" i="18"/>
  <c r="AB5" i="18"/>
  <c r="AC5" i="18" s="1"/>
  <c r="AA5" i="18"/>
  <c r="U5" i="18"/>
  <c r="T5" i="18"/>
  <c r="S5" i="18"/>
  <c r="M5" i="18"/>
  <c r="L5" i="18"/>
  <c r="F5" i="18"/>
  <c r="E5" i="18"/>
  <c r="G5" i="18" s="1"/>
  <c r="C20" i="17"/>
  <c r="C17" i="17"/>
  <c r="C15" i="17"/>
  <c r="C11" i="17"/>
  <c r="C9" i="17"/>
  <c r="AJ18" i="18" l="1"/>
  <c r="V15" i="18"/>
  <c r="AI17" i="18"/>
  <c r="AJ10" i="18"/>
  <c r="AI11" i="18"/>
  <c r="AI13" i="18"/>
  <c r="AL13" i="18" s="1"/>
  <c r="G16" i="18"/>
  <c r="G21" i="18"/>
  <c r="AI21" i="18"/>
  <c r="V11" i="18"/>
  <c r="V20" i="18"/>
  <c r="AL10" i="18"/>
  <c r="AI19" i="18"/>
  <c r="G17" i="18"/>
  <c r="G22" i="18"/>
  <c r="G18" i="18"/>
  <c r="G7" i="18"/>
  <c r="AI7" i="18"/>
  <c r="AI15" i="18"/>
  <c r="AJ7" i="18"/>
  <c r="AL9" i="18"/>
  <c r="AJ11" i="18"/>
  <c r="AJ15" i="18"/>
  <c r="AL17" i="18"/>
  <c r="AJ19" i="18"/>
  <c r="AI12" i="18"/>
  <c r="AL12" i="18" s="1"/>
  <c r="AI22" i="18"/>
  <c r="AL22" i="18" s="1"/>
  <c r="AI8" i="18"/>
  <c r="AL8" i="18" s="1"/>
  <c r="AI16" i="18"/>
  <c r="AL16" i="18" s="1"/>
  <c r="AI20" i="18"/>
  <c r="AL20" i="18" s="1"/>
  <c r="AJ6" i="18"/>
  <c r="AL6" i="18" s="1"/>
  <c r="AJ14" i="18"/>
  <c r="AL14" i="18" s="1"/>
  <c r="AJ5" i="18"/>
  <c r="AL5" i="18" s="1"/>
  <c r="AL21" i="18"/>
  <c r="V13" i="18"/>
  <c r="V10" i="18"/>
  <c r="V22" i="18"/>
  <c r="V14" i="18"/>
  <c r="G15" i="18"/>
  <c r="G9" i="18"/>
  <c r="AC9" i="18"/>
  <c r="AC18" i="18"/>
  <c r="AC17" i="18"/>
  <c r="V17" i="18"/>
  <c r="V21" i="18"/>
  <c r="V5" i="18"/>
  <c r="V9" i="18"/>
  <c r="V16" i="18"/>
  <c r="V18" i="18"/>
  <c r="V8" i="18"/>
  <c r="V12" i="18"/>
  <c r="V6" i="18"/>
  <c r="G14" i="18"/>
  <c r="G6" i="18"/>
  <c r="G20" i="18"/>
  <c r="G10" i="18"/>
  <c r="G19" i="18"/>
  <c r="AL18" i="18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H5" i="17"/>
  <c r="I22" i="17"/>
  <c r="H22" i="17"/>
  <c r="I21" i="17"/>
  <c r="H21" i="17"/>
  <c r="I20" i="17"/>
  <c r="H20" i="17"/>
  <c r="I19" i="17"/>
  <c r="H19" i="17"/>
  <c r="I18" i="17"/>
  <c r="H18" i="17"/>
  <c r="I17" i="17"/>
  <c r="H17" i="17"/>
  <c r="I16" i="17"/>
  <c r="H16" i="17"/>
  <c r="I15" i="17"/>
  <c r="H15" i="17"/>
  <c r="I14" i="17"/>
  <c r="H14" i="17"/>
  <c r="I13" i="17"/>
  <c r="H13" i="17"/>
  <c r="I12" i="17"/>
  <c r="H12" i="17"/>
  <c r="I11" i="17"/>
  <c r="H11" i="17"/>
  <c r="I10" i="17"/>
  <c r="H10" i="17"/>
  <c r="I9" i="17"/>
  <c r="H9" i="17"/>
  <c r="I8" i="17"/>
  <c r="H8" i="17"/>
  <c r="I7" i="17"/>
  <c r="H7" i="17"/>
  <c r="I6" i="17"/>
  <c r="H6" i="17"/>
  <c r="I5" i="17"/>
  <c r="M22" i="16"/>
  <c r="M20" i="16"/>
  <c r="M18" i="16"/>
  <c r="M17" i="16"/>
  <c r="M16" i="16"/>
  <c r="M15" i="16"/>
  <c r="M13" i="16"/>
  <c r="M12" i="16"/>
  <c r="M9" i="16"/>
  <c r="M7" i="16"/>
  <c r="M5" i="16"/>
  <c r="F22" i="16"/>
  <c r="L21" i="16"/>
  <c r="M21" i="16" s="1"/>
  <c r="F20" i="16"/>
  <c r="L20" i="16" s="1"/>
  <c r="F18" i="16"/>
  <c r="L18" i="16" s="1"/>
  <c r="L17" i="16"/>
  <c r="F16" i="16"/>
  <c r="F15" i="16"/>
  <c r="F14" i="16"/>
  <c r="F13" i="16"/>
  <c r="L13" i="16" s="1"/>
  <c r="F12" i="16"/>
  <c r="L12" i="16" s="1"/>
  <c r="L11" i="16"/>
  <c r="M11" i="16" s="1"/>
  <c r="F9" i="16"/>
  <c r="L9" i="16" s="1"/>
  <c r="F8" i="16"/>
  <c r="L8" i="16"/>
  <c r="F7" i="16"/>
  <c r="F6" i="16"/>
  <c r="F5" i="16"/>
  <c r="K5" i="16"/>
  <c r="K6" i="16"/>
  <c r="M6" i="16" s="1"/>
  <c r="K7" i="16"/>
  <c r="K139" i="5"/>
  <c r="K140" i="5"/>
  <c r="K124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L22" i="16"/>
  <c r="K22" i="16"/>
  <c r="K21" i="16"/>
  <c r="K20" i="16"/>
  <c r="L19" i="16"/>
  <c r="M19" i="16" s="1"/>
  <c r="K19" i="16"/>
  <c r="K18" i="16"/>
  <c r="K17" i="16"/>
  <c r="L16" i="16"/>
  <c r="K16" i="16"/>
  <c r="L15" i="16"/>
  <c r="K15" i="16"/>
  <c r="L14" i="16"/>
  <c r="K14" i="16"/>
  <c r="M14" i="16" s="1"/>
  <c r="K13" i="16"/>
  <c r="K12" i="16"/>
  <c r="K11" i="16"/>
  <c r="L10" i="16"/>
  <c r="K10" i="16"/>
  <c r="K9" i="16"/>
  <c r="K8" i="16"/>
  <c r="M8" i="16" s="1"/>
  <c r="L7" i="16"/>
  <c r="L6" i="16"/>
  <c r="L5" i="16"/>
  <c r="AL11" i="18" l="1"/>
  <c r="AL19" i="18"/>
  <c r="AL15" i="18"/>
  <c r="AL7" i="18"/>
  <c r="J10" i="17"/>
  <c r="J18" i="17"/>
  <c r="J20" i="17"/>
  <c r="J22" i="17"/>
  <c r="J14" i="17"/>
  <c r="J5" i="17"/>
  <c r="J9" i="17"/>
  <c r="J7" i="17"/>
  <c r="J15" i="17"/>
  <c r="J8" i="17"/>
  <c r="J16" i="17"/>
  <c r="J11" i="17"/>
  <c r="J12" i="17"/>
  <c r="J19" i="17"/>
  <c r="J13" i="17"/>
  <c r="J6" i="17"/>
  <c r="J17" i="17"/>
  <c r="J21" i="17"/>
  <c r="M10" i="16"/>
  <c r="J5" i="8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83" i="5"/>
  <c r="J22" i="15" l="1"/>
  <c r="I22" i="15"/>
  <c r="J21" i="15"/>
  <c r="I21" i="15"/>
  <c r="J20" i="15"/>
  <c r="I20" i="15"/>
  <c r="J19" i="15"/>
  <c r="I19" i="15"/>
  <c r="J18" i="15"/>
  <c r="I18" i="15"/>
  <c r="J17" i="15"/>
  <c r="I17" i="15"/>
  <c r="J16" i="15"/>
  <c r="I16" i="15"/>
  <c r="J15" i="15"/>
  <c r="I15" i="15"/>
  <c r="J14" i="15"/>
  <c r="I14" i="15"/>
  <c r="J13" i="15"/>
  <c r="I13" i="15"/>
  <c r="J12" i="15"/>
  <c r="I12" i="15"/>
  <c r="J11" i="15"/>
  <c r="I11" i="15"/>
  <c r="J10" i="15"/>
  <c r="I10" i="15"/>
  <c r="J9" i="15"/>
  <c r="I9" i="15"/>
  <c r="J8" i="15"/>
  <c r="I8" i="15"/>
  <c r="J7" i="15"/>
  <c r="I7" i="15"/>
  <c r="J6" i="15"/>
  <c r="I6" i="15"/>
  <c r="J5" i="15"/>
  <c r="I5" i="15"/>
  <c r="H22" i="14"/>
  <c r="G22" i="14"/>
  <c r="H21" i="14"/>
  <c r="G21" i="14"/>
  <c r="H20" i="14"/>
  <c r="G20" i="14"/>
  <c r="I20" i="14" s="1"/>
  <c r="H19" i="14"/>
  <c r="G19" i="14"/>
  <c r="H18" i="14"/>
  <c r="G18" i="14"/>
  <c r="I18" i="14" s="1"/>
  <c r="H17" i="14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I5" i="14" l="1"/>
  <c r="I9" i="14"/>
  <c r="I7" i="14"/>
  <c r="I11" i="14"/>
  <c r="I15" i="14"/>
  <c r="I19" i="14"/>
  <c r="I21" i="14"/>
  <c r="I8" i="14"/>
  <c r="I12" i="14"/>
  <c r="I16" i="14"/>
  <c r="I6" i="14"/>
  <c r="I22" i="14"/>
  <c r="I10" i="14"/>
  <c r="I14" i="14"/>
  <c r="I13" i="14"/>
  <c r="I17" i="14"/>
  <c r="H5" i="8"/>
  <c r="AG5" i="9"/>
  <c r="AJ5" i="9" s="1"/>
  <c r="AG22" i="9"/>
  <c r="AJ22" i="9" s="1"/>
  <c r="AG21" i="9"/>
  <c r="AG20" i="9"/>
  <c r="AG19" i="9"/>
  <c r="AJ19" i="9" s="1"/>
  <c r="AG18" i="9"/>
  <c r="AG17" i="9"/>
  <c r="AG16" i="9"/>
  <c r="AJ16" i="9" s="1"/>
  <c r="AG15" i="9"/>
  <c r="AG14" i="9"/>
  <c r="AG13" i="9"/>
  <c r="AG12" i="9"/>
  <c r="AG11" i="9"/>
  <c r="AG10" i="9"/>
  <c r="AG9" i="9"/>
  <c r="AG8" i="9"/>
  <c r="AG7" i="9"/>
  <c r="AG6" i="9"/>
  <c r="AJ6" i="9" s="1"/>
  <c r="AF22" i="9"/>
  <c r="AF21" i="9"/>
  <c r="AF20" i="9"/>
  <c r="AF19" i="9"/>
  <c r="AF18" i="9"/>
  <c r="AF17" i="9"/>
  <c r="AF16" i="9"/>
  <c r="AF15" i="9"/>
  <c r="AF14" i="9"/>
  <c r="AF13" i="9"/>
  <c r="AF12" i="9"/>
  <c r="AI12" i="9" s="1"/>
  <c r="AF11" i="9"/>
  <c r="AF10" i="9"/>
  <c r="AI10" i="9" s="1"/>
  <c r="AL10" i="9" s="1"/>
  <c r="AF9" i="9"/>
  <c r="AI9" i="9" s="1"/>
  <c r="AF8" i="9"/>
  <c r="AF7" i="9"/>
  <c r="AF6" i="9"/>
  <c r="AF5" i="9"/>
  <c r="AI5" i="9" s="1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AA5" i="9"/>
  <c r="AL5" i="9" l="1"/>
  <c r="AJ14" i="9"/>
  <c r="AI19" i="9"/>
  <c r="AL19" i="9" s="1"/>
  <c r="AI11" i="9"/>
  <c r="AI6" i="9"/>
  <c r="AL6" i="9" s="1"/>
  <c r="AI14" i="9"/>
  <c r="AI22" i="9"/>
  <c r="AL22" i="9" s="1"/>
  <c r="AI8" i="9"/>
  <c r="AI15" i="9"/>
  <c r="AI13" i="9"/>
  <c r="AI18" i="9"/>
  <c r="AI17" i="9"/>
  <c r="AI16" i="9"/>
  <c r="AL16" i="9" s="1"/>
  <c r="AI21" i="9"/>
  <c r="AI20" i="9"/>
  <c r="AI7" i="9"/>
  <c r="AJ11" i="9"/>
  <c r="AJ9" i="9"/>
  <c r="AL9" i="9" s="1"/>
  <c r="AJ12" i="9"/>
  <c r="AL12" i="9" s="1"/>
  <c r="AJ20" i="9"/>
  <c r="AJ15" i="9"/>
  <c r="AJ7" i="9"/>
  <c r="AJ18" i="9"/>
  <c r="AJ10" i="9"/>
  <c r="AJ21" i="9"/>
  <c r="AJ13" i="9"/>
  <c r="AJ8" i="9"/>
  <c r="K88" i="5"/>
  <c r="K84" i="5"/>
  <c r="K100" i="5"/>
  <c r="K99" i="5"/>
  <c r="K98" i="5"/>
  <c r="K97" i="5"/>
  <c r="K96" i="5"/>
  <c r="K95" i="5"/>
  <c r="K94" i="5"/>
  <c r="K93" i="5"/>
  <c r="K92" i="5"/>
  <c r="K91" i="5"/>
  <c r="K90" i="5"/>
  <c r="K89" i="5"/>
  <c r="K87" i="5"/>
  <c r="K86" i="5"/>
  <c r="K85" i="5"/>
  <c r="K63" i="5"/>
  <c r="I22" i="1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I6" i="11"/>
  <c r="H6" i="11"/>
  <c r="I5" i="11"/>
  <c r="H5" i="11"/>
  <c r="AL11" i="9" l="1"/>
  <c r="AL8" i="9"/>
  <c r="AL18" i="9"/>
  <c r="AL14" i="9"/>
  <c r="AL13" i="9"/>
  <c r="AL7" i="9"/>
  <c r="AL15" i="9"/>
  <c r="AL20" i="9"/>
  <c r="AL21" i="9"/>
  <c r="AB22" i="9"/>
  <c r="AA22" i="9"/>
  <c r="AB21" i="9"/>
  <c r="AA21" i="9"/>
  <c r="AB20" i="9"/>
  <c r="AA20" i="9"/>
  <c r="AB19" i="9"/>
  <c r="AA19" i="9"/>
  <c r="AB18" i="9"/>
  <c r="AA18" i="9"/>
  <c r="AB17" i="9"/>
  <c r="AA17" i="9"/>
  <c r="AB16" i="9"/>
  <c r="AA16" i="9"/>
  <c r="AB15" i="9"/>
  <c r="AA15" i="9"/>
  <c r="AB14" i="9"/>
  <c r="AA14" i="9"/>
  <c r="AC14" i="9" s="1"/>
  <c r="AB13" i="9"/>
  <c r="AA13" i="9"/>
  <c r="AC13" i="9" s="1"/>
  <c r="AB12" i="9"/>
  <c r="AA12" i="9"/>
  <c r="AB11" i="9"/>
  <c r="AA11" i="9"/>
  <c r="AB10" i="9"/>
  <c r="AA10" i="9"/>
  <c r="AB9" i="9"/>
  <c r="AA9" i="9"/>
  <c r="AB8" i="9"/>
  <c r="AA8" i="9"/>
  <c r="AB7" i="9"/>
  <c r="AA7" i="9"/>
  <c r="AB6" i="9"/>
  <c r="AA6" i="9"/>
  <c r="AB5" i="9"/>
  <c r="AC5" i="9" s="1"/>
  <c r="AC10" i="9" l="1"/>
  <c r="AC6" i="9"/>
  <c r="AC12" i="9"/>
  <c r="AC20" i="9"/>
  <c r="AC16" i="9"/>
  <c r="AC17" i="9"/>
  <c r="AC21" i="9"/>
  <c r="AC7" i="9"/>
  <c r="AC11" i="9"/>
  <c r="AC15" i="9"/>
  <c r="AC19" i="9"/>
  <c r="AC9" i="9"/>
  <c r="AC18" i="9"/>
  <c r="AC22" i="9"/>
  <c r="AC8" i="9"/>
  <c r="J884" i="1"/>
  <c r="J182" i="1"/>
  <c r="J6" i="1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U22" i="9" l="1"/>
  <c r="T22" i="9"/>
  <c r="S22" i="9"/>
  <c r="U21" i="9"/>
  <c r="T21" i="9"/>
  <c r="U20" i="9"/>
  <c r="T20" i="9"/>
  <c r="S20" i="9"/>
  <c r="U19" i="9"/>
  <c r="T19" i="9"/>
  <c r="S19" i="9"/>
  <c r="U18" i="9"/>
  <c r="T18" i="9"/>
  <c r="S18" i="9"/>
  <c r="T17" i="9"/>
  <c r="S17" i="9"/>
  <c r="U16" i="9"/>
  <c r="T16" i="9"/>
  <c r="S16" i="9"/>
  <c r="U15" i="9"/>
  <c r="T15" i="9"/>
  <c r="S15" i="9"/>
  <c r="V15" i="9" s="1"/>
  <c r="U14" i="9"/>
  <c r="T14" i="9"/>
  <c r="S14" i="9"/>
  <c r="U13" i="9"/>
  <c r="T13" i="9"/>
  <c r="S13" i="9"/>
  <c r="U12" i="9"/>
  <c r="T12" i="9"/>
  <c r="S12" i="9"/>
  <c r="U11" i="9"/>
  <c r="T11" i="9"/>
  <c r="S11" i="9"/>
  <c r="U10" i="9"/>
  <c r="T10" i="9"/>
  <c r="S10" i="9"/>
  <c r="U9" i="9"/>
  <c r="T9" i="9"/>
  <c r="S9" i="9"/>
  <c r="U8" i="9"/>
  <c r="T8" i="9"/>
  <c r="S8" i="9"/>
  <c r="U7" i="9"/>
  <c r="T7" i="9"/>
  <c r="S7" i="9"/>
  <c r="V7" i="9" s="1"/>
  <c r="U6" i="9"/>
  <c r="T6" i="9"/>
  <c r="S6" i="9"/>
  <c r="U5" i="9"/>
  <c r="V5" i="9"/>
  <c r="K72" i="5"/>
  <c r="V12" i="9" l="1"/>
  <c r="V21" i="9"/>
  <c r="V19" i="9"/>
  <c r="V11" i="9"/>
  <c r="V18" i="9"/>
  <c r="V13" i="9"/>
  <c r="U17" i="9"/>
  <c r="V17" i="9" s="1"/>
  <c r="AJ17" i="9"/>
  <c r="AL17" i="9" s="1"/>
  <c r="V22" i="9"/>
  <c r="V8" i="9"/>
  <c r="V16" i="9"/>
  <c r="V10" i="9"/>
  <c r="V6" i="9"/>
  <c r="V9" i="9"/>
  <c r="V14" i="9"/>
  <c r="V20" i="9"/>
  <c r="F22" i="9"/>
  <c r="E22" i="9"/>
  <c r="F21" i="9"/>
  <c r="E21" i="9"/>
  <c r="F20" i="9"/>
  <c r="E20" i="9"/>
  <c r="F19" i="9"/>
  <c r="E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F5" i="9"/>
  <c r="E5" i="9"/>
  <c r="G7" i="9" l="1"/>
  <c r="G11" i="9"/>
  <c r="G15" i="9"/>
  <c r="G19" i="9"/>
  <c r="G10" i="9"/>
  <c r="G14" i="9"/>
  <c r="G6" i="9"/>
  <c r="G8" i="9"/>
  <c r="G12" i="9"/>
  <c r="G16" i="9"/>
  <c r="G5" i="9"/>
  <c r="G18" i="9"/>
  <c r="G20" i="9"/>
  <c r="G22" i="9"/>
  <c r="G9" i="9"/>
  <c r="G13" i="9"/>
  <c r="G17" i="9"/>
  <c r="G21" i="9"/>
  <c r="I10" i="8"/>
  <c r="H5" i="4"/>
  <c r="I5" i="4"/>
  <c r="H6" i="8"/>
  <c r="K80" i="5" l="1"/>
  <c r="K79" i="5"/>
  <c r="K78" i="5"/>
  <c r="K77" i="5"/>
  <c r="K76" i="5"/>
  <c r="K75" i="5"/>
  <c r="K74" i="5"/>
  <c r="K73" i="5"/>
  <c r="K71" i="5"/>
  <c r="K70" i="5"/>
  <c r="K69" i="5"/>
  <c r="K68" i="5"/>
  <c r="K67" i="5"/>
  <c r="K66" i="5"/>
  <c r="K65" i="5"/>
  <c r="K64" i="5"/>
  <c r="K23" i="5"/>
  <c r="K43" i="5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J13" i="8" s="1"/>
  <c r="I12" i="8"/>
  <c r="H12" i="8"/>
  <c r="I11" i="8"/>
  <c r="H11" i="8"/>
  <c r="H10" i="8"/>
  <c r="J10" i="8" s="1"/>
  <c r="I9" i="8"/>
  <c r="H9" i="8"/>
  <c r="I8" i="8"/>
  <c r="H8" i="8"/>
  <c r="I7" i="8"/>
  <c r="H7" i="8"/>
  <c r="I6" i="8"/>
  <c r="J6" i="8" s="1"/>
  <c r="I5" i="8"/>
  <c r="J5" i="1"/>
  <c r="H5" i="7"/>
  <c r="I5" i="7"/>
  <c r="I22" i="7"/>
  <c r="H22" i="7"/>
  <c r="J22" i="7" s="1"/>
  <c r="I21" i="7"/>
  <c r="H21" i="7"/>
  <c r="J21" i="7" s="1"/>
  <c r="I20" i="7"/>
  <c r="H20" i="7"/>
  <c r="J20" i="7" s="1"/>
  <c r="I19" i="7"/>
  <c r="H19" i="7"/>
  <c r="J19" i="7" s="1"/>
  <c r="I18" i="7"/>
  <c r="H18" i="7"/>
  <c r="J18" i="7" s="1"/>
  <c r="I17" i="7"/>
  <c r="H17" i="7"/>
  <c r="I16" i="7"/>
  <c r="H16" i="7"/>
  <c r="J16" i="7" s="1"/>
  <c r="I15" i="7"/>
  <c r="H15" i="7"/>
  <c r="J15" i="7" s="1"/>
  <c r="I14" i="7"/>
  <c r="H14" i="7"/>
  <c r="J14" i="7" s="1"/>
  <c r="I13" i="7"/>
  <c r="H13" i="7"/>
  <c r="I12" i="7"/>
  <c r="H12" i="7"/>
  <c r="J12" i="7" s="1"/>
  <c r="I11" i="7"/>
  <c r="H11" i="7"/>
  <c r="J11" i="7" s="1"/>
  <c r="I10" i="7"/>
  <c r="H10" i="7"/>
  <c r="J10" i="7" s="1"/>
  <c r="I9" i="7"/>
  <c r="H9" i="7"/>
  <c r="I8" i="7"/>
  <c r="H8" i="7"/>
  <c r="J8" i="7" s="1"/>
  <c r="I7" i="7"/>
  <c r="J7" i="7" s="1"/>
  <c r="H7" i="7"/>
  <c r="I6" i="7"/>
  <c r="H6" i="7"/>
  <c r="J6" i="7" s="1"/>
  <c r="J16" i="8" l="1"/>
  <c r="J20" i="8"/>
  <c r="J17" i="8"/>
  <c r="J14" i="8"/>
  <c r="J18" i="8"/>
  <c r="J22" i="8"/>
  <c r="J11" i="8"/>
  <c r="J15" i="8"/>
  <c r="J19" i="8"/>
  <c r="J12" i="8"/>
  <c r="J7" i="8"/>
  <c r="J21" i="8"/>
  <c r="J8" i="8"/>
  <c r="J9" i="8"/>
  <c r="J9" i="7"/>
  <c r="J17" i="7"/>
  <c r="J13" i="7"/>
  <c r="J5" i="7"/>
  <c r="J181" i="1"/>
  <c r="J241" i="1"/>
  <c r="K20" i="5" l="1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28" i="5"/>
  <c r="K40" i="5"/>
  <c r="K39" i="5"/>
  <c r="K38" i="5"/>
  <c r="K37" i="5"/>
  <c r="K36" i="5"/>
  <c r="K35" i="5"/>
  <c r="K34" i="5"/>
  <c r="K33" i="5"/>
  <c r="K32" i="5"/>
  <c r="K31" i="5"/>
  <c r="K30" i="5"/>
  <c r="K29" i="5"/>
  <c r="K27" i="5"/>
  <c r="K26" i="5"/>
  <c r="K25" i="5"/>
  <c r="K24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I6" i="4" l="1"/>
  <c r="H7" i="4"/>
  <c r="H8" i="4"/>
  <c r="H9" i="4"/>
  <c r="H10" i="4"/>
  <c r="H11" i="4"/>
  <c r="H12" i="4"/>
  <c r="H13" i="4"/>
  <c r="I14" i="4"/>
  <c r="H15" i="4"/>
  <c r="H16" i="4"/>
  <c r="H17" i="4"/>
  <c r="H18" i="4"/>
  <c r="H19" i="4"/>
  <c r="H20" i="4"/>
  <c r="H21" i="4"/>
  <c r="H22" i="4"/>
  <c r="H6" i="4"/>
  <c r="I20" i="4" l="1"/>
  <c r="H14" i="4"/>
  <c r="I12" i="4"/>
  <c r="I19" i="4"/>
  <c r="I11" i="4"/>
  <c r="I16" i="4"/>
  <c r="I8" i="4"/>
  <c r="I15" i="4"/>
  <c r="I7" i="4"/>
  <c r="I22" i="4"/>
  <c r="I10" i="4"/>
  <c r="I18" i="4"/>
  <c r="I21" i="4"/>
  <c r="I17" i="4"/>
  <c r="I13" i="4"/>
  <c r="I9" i="4"/>
  <c r="J890" i="1"/>
  <c r="J889" i="1"/>
  <c r="J888" i="1"/>
  <c r="J887" i="1"/>
  <c r="J886" i="1"/>
  <c r="J885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07" i="1" l="1"/>
  <c r="J671" i="1"/>
  <c r="J669" i="1"/>
  <c r="J646" i="1"/>
  <c r="J636" i="1"/>
  <c r="J581" i="1"/>
  <c r="J573" i="1"/>
  <c r="J564" i="1"/>
  <c r="J561" i="1"/>
  <c r="J551" i="1"/>
  <c r="J439" i="1"/>
  <c r="J416" i="1"/>
  <c r="J309" i="1"/>
  <c r="J414" i="1"/>
  <c r="J252" i="1"/>
  <c r="J249" i="1"/>
  <c r="J238" i="1"/>
  <c r="J219" i="1"/>
  <c r="J19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0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5" i="1"/>
  <c r="J644" i="1"/>
  <c r="J643" i="1"/>
  <c r="J642" i="1"/>
  <c r="J641" i="1"/>
  <c r="J640" i="1"/>
  <c r="J639" i="1"/>
  <c r="J638" i="1"/>
  <c r="J637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0" i="1"/>
  <c r="J579" i="1"/>
  <c r="J578" i="1"/>
  <c r="J577" i="1"/>
  <c r="J576" i="1"/>
  <c r="J575" i="1"/>
  <c r="J574" i="1"/>
  <c r="J572" i="1"/>
  <c r="J571" i="1"/>
  <c r="J570" i="1"/>
  <c r="J569" i="1"/>
  <c r="J568" i="1"/>
  <c r="J567" i="1"/>
  <c r="J566" i="1"/>
  <c r="J565" i="1"/>
  <c r="J563" i="1"/>
  <c r="J562" i="1"/>
  <c r="J560" i="1"/>
  <c r="J559" i="1"/>
  <c r="J558" i="1"/>
  <c r="J557" i="1"/>
  <c r="J556" i="1"/>
  <c r="J555" i="1"/>
  <c r="J554" i="1"/>
  <c r="J553" i="1"/>
  <c r="J552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5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1" i="1"/>
  <c r="J250" i="1"/>
  <c r="J248" i="1"/>
  <c r="J247" i="1"/>
  <c r="J246" i="1"/>
  <c r="J245" i="1"/>
  <c r="J244" i="1"/>
  <c r="J243" i="1"/>
  <c r="J242" i="1"/>
  <c r="J240" i="1"/>
  <c r="J239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Thamburanawit, Pimnacha {PI}</author>
  </authors>
  <commentList>
    <comment ref="B2" authorId="0" shapeId="0" xr:uid="{93EC20BF-29ED-4F7F-BBBE-CE0CE69C8F10}">
      <text>
        <r>
          <rPr>
            <b/>
            <sz val="9"/>
            <color indexed="81"/>
            <rFont val="Tahoma"/>
            <family val="2"/>
          </rPr>
          <t>Thamburanawit, Pimnacha {PI}:</t>
        </r>
        <r>
          <rPr>
            <sz val="9"/>
            <color indexed="81"/>
            <rFont val="Tahoma"/>
            <family val="2"/>
          </rPr>
          <t xml:space="preserve">
ZB02 ทั้งหมด ยกเว้น 029</t>
        </r>
      </text>
    </comment>
    <comment ref="D2" authorId="0" shapeId="0" xr:uid="{65B4BA99-CADB-4B38-8685-D397BF814747}">
      <text>
        <r>
          <rPr>
            <b/>
            <sz val="9"/>
            <color indexed="81"/>
            <rFont val="Tahoma"/>
            <family val="2"/>
          </rPr>
          <t>Thamburanawit, Pimnacha {PI}:</t>
        </r>
        <r>
          <rPr>
            <sz val="9"/>
            <color indexed="81"/>
            <rFont val="Tahoma"/>
            <family val="2"/>
          </rPr>
          <t xml:space="preserve">
ZB02 เฉพาะ 029 RCA เท่านั้น</t>
        </r>
      </text>
    </comment>
    <comment ref="D3" authorId="0" shapeId="0" xr:uid="{68A11CAA-8BBC-4A5E-AA3C-961474B6D604}">
      <text>
        <r>
          <rPr>
            <b/>
            <sz val="9"/>
            <color indexed="81"/>
            <rFont val="Tahoma"/>
          </rPr>
          <t>Thamburanawit, Pimnacha {PI}:</t>
        </r>
        <r>
          <rPr>
            <sz val="9"/>
            <color indexed="81"/>
            <rFont val="Tahoma"/>
          </rPr>
          <t xml:space="preserve">
เวลาที่ได้มาจากการ confirm ปิดงานใน SAP  แยกเป็นแต่ละ type (ZB01/ZB02/ZB05)
- Status "TECO"ไม่มีเวลา
- Status " TECO CPNF" </t>
        </r>
      </text>
    </comment>
    <comment ref="E3" authorId="0" shapeId="0" xr:uid="{D77C988D-8FE2-47A8-BE62-4B752D50AC9C}">
      <text>
        <r>
          <rPr>
            <b/>
            <sz val="9"/>
            <color indexed="81"/>
            <rFont val="Tahoma"/>
          </rPr>
          <t>Thamburanawit, Pimnacha {PI}:</t>
        </r>
        <r>
          <rPr>
            <sz val="9"/>
            <color indexed="81"/>
            <rFont val="Tahoma"/>
          </rPr>
          <t xml:space="preserve">
จำนวน Work order ที่มีชื่อปรากฏอยู่ใน Work orde ใบนั้นๆ
</t>
        </r>
      </text>
    </comment>
    <comment ref="F3" authorId="0" shapeId="0" xr:uid="{8A3AEBAA-9724-4A3A-9F95-DEE5DC8A50AE}">
      <text>
        <r>
          <rPr>
            <b/>
            <sz val="9"/>
            <color indexed="81"/>
            <rFont val="Tahoma"/>
          </rPr>
          <t>Thamburanawit, Pimnacha {PI}:</t>
        </r>
        <r>
          <rPr>
            <sz val="9"/>
            <color indexed="81"/>
            <rFont val="Tahoma"/>
          </rPr>
          <t xml:space="preserve">
เวลาการทำงานที่ได้มาจาก HR</t>
        </r>
      </text>
    </comment>
    <comment ref="G3" authorId="0" shapeId="0" xr:uid="{1DDB6C6B-8000-4B6E-A930-46D2DE17F1F1}">
      <text>
        <r>
          <rPr>
            <b/>
            <sz val="9"/>
            <color indexed="81"/>
            <rFont val="Tahoma"/>
            <family val="2"/>
          </rPr>
          <t>Thamburanawit, Pimnacha {PI}:</t>
        </r>
        <r>
          <rPr>
            <sz val="9"/>
            <color indexed="81"/>
            <rFont val="Tahoma"/>
            <family val="2"/>
          </rPr>
          <t xml:space="preserve">
ได้มากจาก HR report เฉพาะชั่วโมง OT</t>
        </r>
      </text>
    </comment>
  </commentList>
</comments>
</file>

<file path=xl/sharedStrings.xml><?xml version="1.0" encoding="utf-8"?>
<sst xmlns="http://schemas.openxmlformats.org/spreadsheetml/2006/main" count="8509" uniqueCount="349">
  <si>
    <t>20.01.2020                                                                                  Dynamic List Display                                                                                          1</t>
  </si>
  <si>
    <t>S</t>
  </si>
  <si>
    <t>Confirm.</t>
  </si>
  <si>
    <t>Postg date</t>
  </si>
  <si>
    <t>Counter</t>
  </si>
  <si>
    <t>WkCtrPln</t>
  </si>
  <si>
    <t>WkCtrAct</t>
  </si>
  <si>
    <t>Act. work</t>
  </si>
  <si>
    <t>Un. WkAct</t>
  </si>
  <si>
    <t>OrdCat</t>
  </si>
  <si>
    <t>Act. start</t>
  </si>
  <si>
    <t>Act.finish</t>
  </si>
  <si>
    <t>Act.start</t>
  </si>
  <si>
    <t>Order</t>
  </si>
  <si>
    <t>Equipment</t>
  </si>
  <si>
    <t>Functional Location</t>
  </si>
  <si>
    <t>Confirmation text</t>
  </si>
  <si>
    <t>13.01.2020</t>
  </si>
  <si>
    <t>PAC002</t>
  </si>
  <si>
    <t>MIN</t>
  </si>
  <si>
    <t>ZB02</t>
  </si>
  <si>
    <t>PI-TH-7151-FA-PK-02</t>
  </si>
  <si>
    <t>16.01.2020</t>
  </si>
  <si>
    <t>PAC006</t>
  </si>
  <si>
    <t>11.01.2020</t>
  </si>
  <si>
    <t>15.01.2020</t>
  </si>
  <si>
    <t>PI-TH-7151-FA-PK-05</t>
  </si>
  <si>
    <t>ตรวจเช็คทำความสะอาดเรียบร้อย</t>
  </si>
  <si>
    <t>20.01.2020</t>
  </si>
  <si>
    <t>PRO001</t>
  </si>
  <si>
    <t>08.01.2020</t>
  </si>
  <si>
    <t>PI-TH-7151-FA-F1-BC</t>
  </si>
  <si>
    <t>ทำความสะอาด</t>
  </si>
  <si>
    <t>12.01.2020</t>
  </si>
  <si>
    <t>PRO002</t>
  </si>
  <si>
    <t>02.01.2020</t>
  </si>
  <si>
    <t>PI-TH-7151-FA-F1-P1</t>
  </si>
  <si>
    <t>ทำความสะอาดแล้ว</t>
  </si>
  <si>
    <t>PI-TH-7151-FA-F1-SC</t>
  </si>
  <si>
    <t>ตรวจเช็คค่ากระแสไฟทั้ง 3 เฟส</t>
  </si>
  <si>
    <t>06.01.2020</t>
  </si>
  <si>
    <t>ถอดเปลี่ยน Motor Exhaust Fan</t>
  </si>
  <si>
    <t>07.01.2020</t>
  </si>
  <si>
    <t>ตรวจเช็คค่ากระแสไฟฟ้าทั้ง3เฟส</t>
  </si>
  <si>
    <t>Vib con.ถ่ายรูป Thermal ที่ Terminal</t>
  </si>
  <si>
    <t>ทำการวัดค่า</t>
  </si>
  <si>
    <t>ท่อร้อยสาย Pipe mixer หลุดแก้ไขแล้ว</t>
  </si>
  <si>
    <t>ตรวจเช็คสภาพท่อร้อยสายไฟ</t>
  </si>
  <si>
    <t>ตรวจพบว่าไม่มีท่อร้อยหลุด</t>
  </si>
  <si>
    <t>ตรวจเช็คสภาพ</t>
  </si>
  <si>
    <t>ตรวจเช็คท่อร้อยสายไฟ</t>
  </si>
  <si>
    <t>09.01.2020</t>
  </si>
  <si>
    <t>ทำการถอดเปลี่ยน</t>
  </si>
  <si>
    <t>PI-TH-7151-FA-F2-PL</t>
  </si>
  <si>
    <t>PI-TH-7151-FA-F2-RB</t>
  </si>
  <si>
    <t>14.01.2020</t>
  </si>
  <si>
    <t>10.01.2020</t>
  </si>
  <si>
    <t>PI-TH-7151-FA-F1-FP</t>
  </si>
  <si>
    <t>PI-TH-7151-FA-F1-ST</t>
  </si>
  <si>
    <t>เปลี่ยน Falme sensor duel fuel burner.</t>
  </si>
  <si>
    <t>เปลี่ยน Bindicator 2 Pcs.</t>
  </si>
  <si>
    <t>Vibrating และทำความสะอาด</t>
  </si>
  <si>
    <t>ทำความสะอาดและตรวจเช็คสภาพปกติทั่วไป</t>
  </si>
  <si>
    <t>ทำความสะอาดและตรวจเช็คสภาพปกติทั่วไ</t>
  </si>
  <si>
    <t>เปลี่ยน Load cell ของ SSN hopper 3 Pcs.</t>
  </si>
  <si>
    <t>ตรวจสอบสภาพทั่วไป</t>
  </si>
  <si>
    <t>ตรวจเช็คค่าความต้านทานสาย Earth bonding</t>
  </si>
  <si>
    <t>18.01.2020</t>
  </si>
  <si>
    <t>Calibrate sensor Thermal oil heater.</t>
  </si>
  <si>
    <t>ทำความสะอาดช่องระหว่าง Electro</t>
  </si>
  <si>
    <t>Calibrate weight unit</t>
  </si>
  <si>
    <t>ตรวจเช็ค Parametor.</t>
  </si>
  <si>
    <t>ตรวจสอบท่อร้อยสายไฟ</t>
  </si>
  <si>
    <t>04.01.2020</t>
  </si>
  <si>
    <t>PAC009</t>
  </si>
  <si>
    <t>PI-TH-7151-FA-PK-03</t>
  </si>
  <si>
    <t>Fyber spring damage 3-12.Gate ร้าว5.</t>
  </si>
  <si>
    <t>ตรวจสอบสภาพ PAN</t>
  </si>
  <si>
    <t>ตรวจสอบสภาพ End seal</t>
  </si>
  <si>
    <t>Divider gate OK</t>
  </si>
  <si>
    <t>ตรวจสอบสภาพ Input belt.</t>
  </si>
  <si>
    <t>Divider gate RF#3 ไม่สามารถปรับค่า A ให้</t>
  </si>
  <si>
    <t>ตรวจสอบสภาพทั่วไป+Bearing ใช้งานได้อยู่</t>
  </si>
  <si>
    <t>PI-TH-7151-FA-PK-ST</t>
  </si>
  <si>
    <t>ตรวจสอบสภาพทั่วไปของ Stax shrink</t>
  </si>
  <si>
    <t>Bearing ไม่มีของ</t>
  </si>
  <si>
    <t>อัดจารบีเรียบร้อย</t>
  </si>
  <si>
    <t>ตรวจเช็คการรั่วของปั๊ม</t>
  </si>
  <si>
    <t>ตรวจเช็คความตึง-หย่อนของโซ่สายพาน</t>
  </si>
  <si>
    <t>ตรวจเช็ค Stroke ของรางสั่น</t>
  </si>
  <si>
    <t>ตรวจวัดค่า Vibration main Oil pump</t>
  </si>
  <si>
    <t>ตรวจเช็คปรับตั้งความตึง/สายพาน</t>
  </si>
  <si>
    <t>ตรวจเช็คการรั่วของแป้ง</t>
  </si>
  <si>
    <t>ตรวจเช็คค่า Vibration Wet mixer</t>
  </si>
  <si>
    <t>ตรวจเช็คการรั่วซึมของนำ Cooling</t>
  </si>
  <si>
    <t>ตรวจเช็คค่า Vibration</t>
  </si>
  <si>
    <t>อัดจารบี</t>
  </si>
  <si>
    <t>ตรวจเช็คระดับนำมันเกียร์</t>
  </si>
  <si>
    <t>ตรสจเช็คนํ้ามันหล่อลื่น</t>
  </si>
  <si>
    <t>ตรวจสอบเช็๕สายพานขับทั้งสองเส้น</t>
  </si>
  <si>
    <t>ไม่ได้ใช้งานแล้ว</t>
  </si>
  <si>
    <t>เปลี่ยนประเก็นเชือก</t>
  </si>
  <si>
    <t>ถอดล้างทำความสะอาด</t>
  </si>
  <si>
    <t>PAC010</t>
  </si>
  <si>
    <t>PI-TH-7151-FA-PK-CZ</t>
  </si>
  <si>
    <t>Replace print head/Check cable</t>
  </si>
  <si>
    <t>PRO000</t>
  </si>
  <si>
    <t>อัดจารบีพร้อมทำความสะอาด</t>
  </si>
  <si>
    <t>สภาพปกติทั่วไป</t>
  </si>
  <si>
    <t>05.01.2020</t>
  </si>
  <si>
    <t>เปลี่ยนประเก็นเชือก SSN</t>
  </si>
  <si>
    <t>ตรวจเช็คค่า ของนำมันเกียร์</t>
  </si>
  <si>
    <t>ทำการ Back Flush แล้ว</t>
  </si>
  <si>
    <t>ตรวจเช็คค่า Conductivity</t>
  </si>
  <si>
    <t>ตรวจเช็คสภาพความสึกหรอ</t>
  </si>
  <si>
    <t>ตรวจเช็คสายพาน</t>
  </si>
  <si>
    <t>ตรวจสอบการรั่วของแป้ง</t>
  </si>
  <si>
    <t>ทำความสะอาด/เป่า</t>
  </si>
  <si>
    <t>17.01.2020</t>
  </si>
  <si>
    <t>ตรวจสอบการรั่วซึมของข้อต่อ</t>
  </si>
  <si>
    <t>ทำความสะอาด Water filter ขนาด 5 mc.</t>
  </si>
  <si>
    <t>ทำความสะอาดถังกรองคาร์บอน</t>
  </si>
  <si>
    <t>PAC011</t>
  </si>
  <si>
    <t>ตรวจเช็คสภาพปกติทั่วไป</t>
  </si>
  <si>
    <t>ทำการตรวจสอบ End seal bar</t>
  </si>
  <si>
    <t>ทำการตรวจสอบ End seal bar/ปกติ</t>
  </si>
  <si>
    <t>ตรวจสอบ Input belt</t>
  </si>
  <si>
    <t>ตรวจสอบ Input belt/ไม่ได้ใช้งาน</t>
  </si>
  <si>
    <t>ทำการตรวจสอบการจับทั้งสองชนิด</t>
  </si>
  <si>
    <t>H</t>
  </si>
  <si>
    <t>PI-TH-7151-FA-PK-01</t>
  </si>
  <si>
    <t>Replace Eye mark sensor optex.</t>
  </si>
  <si>
    <t>ทำความสะอาด Inlet air Filter</t>
  </si>
  <si>
    <t>ฉีดสเปรย์/อัดจารบีแล้ว</t>
  </si>
  <si>
    <t>ตรวจสอบแล้วสายพานใช้งานได้อยู่</t>
  </si>
  <si>
    <t>เปลี่ยนนำมันเกียร์</t>
  </si>
  <si>
    <t>อัดจารบีและตรวจเช็คสภาพ</t>
  </si>
  <si>
    <t>PAC012</t>
  </si>
  <si>
    <t>PI-TH-7151-FA-PK-06</t>
  </si>
  <si>
    <t>ทำความสะอาด/เช็ค Filter</t>
  </si>
  <si>
    <t>PI-TH-7151-FA-PK-04</t>
  </si>
  <si>
    <t>Replace block b</t>
  </si>
  <si>
    <t>ทำการตรวจสอบสายพาน/โซ่</t>
  </si>
  <si>
    <t>ทำการตรวจสอบสายพาน</t>
  </si>
  <si>
    <t>ทา Silicone heat</t>
  </si>
  <si>
    <t>Black Flush เรียบร้อย</t>
  </si>
  <si>
    <t>ตรวจวัดและบันทึกค่า</t>
  </si>
  <si>
    <t>อัดจารบี+ฉัดสเปรย์</t>
  </si>
  <si>
    <t>ตรวจเช็คแรงดันปกติ</t>
  </si>
  <si>
    <t>เปลี่ยน Filter เรียบร้อย</t>
  </si>
  <si>
    <t>Drian นำในถังพักนำ RO ออก</t>
  </si>
  <si>
    <t>Drian ออก พร้อม Test run.</t>
  </si>
  <si>
    <t>ตรวจเช็คสภาพการคลบายตัวยึดน๊อต</t>
  </si>
  <si>
    <t>ทำความสะอาด Filter ของ BoboxVC1,2</t>
  </si>
  <si>
    <t>เปลี่ยนน็อตยึด</t>
  </si>
  <si>
    <t>ทาจารบี</t>
  </si>
  <si>
    <t>PAC013</t>
  </si>
  <si>
    <t>เช็คสภาพเบื้องต้นทำงานได้/ทำความสะอาด</t>
  </si>
  <si>
    <t>Strip guide สกปรก</t>
  </si>
  <si>
    <t>ทำความสะอาด Strip+Guide</t>
  </si>
  <si>
    <t>ถอดเครื่องอื่นมาใส่แทน/ของไม่มี</t>
  </si>
  <si>
    <t>ทำการ Reset M/C โดยการกด off-on power</t>
  </si>
  <si>
    <t>PAC014</t>
  </si>
  <si>
    <t>ตรวจสอบสภาพทั่วไปของ Roller</t>
  </si>
  <si>
    <t>ตรวจเช็คสภาพ Roller</t>
  </si>
  <si>
    <t>03.01.2020</t>
  </si>
  <si>
    <t>ทำการเปลียนนำมันหล่อลื่น</t>
  </si>
  <si>
    <t>Drain นำออกจาก Boiler</t>
  </si>
  <si>
    <t>ไม่ได้เปลี่ยนแต่ทำความสะอาด</t>
  </si>
  <si>
    <t>อัดจารบี+ทความสะอาด</t>
  </si>
  <si>
    <t>Drain นำออกเพื่อทำความสะอาด</t>
  </si>
  <si>
    <t>ล้างทำความสะอาด Hopper micro</t>
  </si>
  <si>
    <t>สายพานสภาพปกติ</t>
  </si>
  <si>
    <t>สภาพปกติ</t>
  </si>
  <si>
    <t>ถอดออกมาทำความสะอาด</t>
  </si>
  <si>
    <t>ตรวจเช็คสภาพความสึกหรอและฉีกขาด</t>
  </si>
  <si>
    <t>อัดจารบี Bearing</t>
  </si>
  <si>
    <t>ทำความสะอาดชุดท่อนำมัน</t>
  </si>
  <si>
    <t>PAC015</t>
  </si>
  <si>
    <t>Fyber spring damage 3-12.Gate ร้าว5.Tray</t>
  </si>
  <si>
    <t>Inspection</t>
  </si>
  <si>
    <t>ตรวจสอบสภาพ Cutter</t>
  </si>
  <si>
    <t>สภาพปกติทั่วไปดี/ทำความสะอาด</t>
  </si>
  <si>
    <t>ตรวจสอบสภาพ End seal Bar.</t>
  </si>
  <si>
    <t>ตรวจสอบสภาพ Belt in feed.</t>
  </si>
  <si>
    <t>อัดจารบี+ทำความสะอาด</t>
  </si>
  <si>
    <t>PRO006</t>
  </si>
  <si>
    <t>อัดจารบีแล้สเปลี่ยน Bearing ปกติดี</t>
  </si>
  <si>
    <t>PRO007</t>
  </si>
  <si>
    <t>PRO009</t>
  </si>
  <si>
    <t>ตรวจเช็คสภาพ Filter</t>
  </si>
  <si>
    <t>13us/cm</t>
  </si>
  <si>
    <t>อัดจารบี Bearing ปกติดี</t>
  </si>
  <si>
    <t>Back flush</t>
  </si>
  <si>
    <t>สภาพปกติทั่วไปดี</t>
  </si>
  <si>
    <t>สภาพปกติทั่วไป/ไม่รั่วเพราะไม่ได้ใช้งาน</t>
  </si>
  <si>
    <t>ระดับปกติดี</t>
  </si>
  <si>
    <t>Stroke ปกติดี</t>
  </si>
  <si>
    <t>เปลี่ยนสายพาน Kromasort</t>
  </si>
  <si>
    <t>ไม่มีรอยรั่ว</t>
  </si>
  <si>
    <t>ตรวจเช็คสายพานพร้อมปรับตั้ง</t>
  </si>
  <si>
    <t>ตรวจวัดค่า Vibration main oil pump.</t>
  </si>
  <si>
    <t>เปลี่ยนชุดเกียร์ใหม่</t>
  </si>
  <si>
    <t>PRO010</t>
  </si>
  <si>
    <t>PRO011</t>
  </si>
  <si>
    <t>PRO013</t>
  </si>
  <si>
    <t>ตรวจเช็คค่าค่าปกติ</t>
  </si>
  <si>
    <t>PRO014</t>
  </si>
  <si>
    <t>ตรวจสอบสภาพท่อร้อย+ทำความสะอาด</t>
  </si>
  <si>
    <t>สลับใช้ VFD</t>
  </si>
  <si>
    <t>Calibrate sensor Temp Oven</t>
  </si>
  <si>
    <t>Vibrating con.Drum#1 ตรวจสอบค่า ทำความสะ</t>
  </si>
  <si>
    <t>ตรวจเช็คค่าความต้านทานของขดลวด</t>
  </si>
  <si>
    <t>Vibrating con.Drum#1 ตรวจสอบค่า</t>
  </si>
  <si>
    <t>Vibrating con.Drum#1 ตรวจสอบค่า ความเป็น</t>
  </si>
  <si>
    <t>Calibrate โดยทำ Catch test.</t>
  </si>
  <si>
    <t>Calibrate waste weight unit</t>
  </si>
  <si>
    <t>ตรวจเช็คกระแสไฟฟ้าทั้ง 3 เฟส</t>
  </si>
  <si>
    <t>ตรวจเช็คกระแสไฟฟ้าทั้ง3เฟส</t>
  </si>
  <si>
    <t>PRO015</t>
  </si>
  <si>
    <t>ไม่ได้เปลี่ยนแต่ทำความสะอาด ตรวจเช็คความ</t>
  </si>
  <si>
    <t>PRO016</t>
  </si>
  <si>
    <t>เป่าทำความสะอาด</t>
  </si>
  <si>
    <t>PRO019</t>
  </si>
  <si>
    <t>UTI007</t>
  </si>
  <si>
    <t>H.</t>
  </si>
  <si>
    <t>ZB05</t>
  </si>
  <si>
    <t>Row Labels</t>
  </si>
  <si>
    <t>Grand Total</t>
  </si>
  <si>
    <t>Count of H.</t>
  </si>
  <si>
    <t>PM</t>
  </si>
  <si>
    <t>CM</t>
  </si>
  <si>
    <t>%PM</t>
  </si>
  <si>
    <t>%CM</t>
  </si>
  <si>
    <t>HR hour</t>
  </si>
  <si>
    <t>(blank)</t>
  </si>
  <si>
    <t>(All)</t>
  </si>
  <si>
    <t>รหัส</t>
  </si>
  <si>
    <t>ชื่อ - สกุล (ไทย)</t>
  </si>
  <si>
    <t>ชื่อ - สกุล (อังกฤษ)</t>
  </si>
  <si>
    <t>ตำแหน่ง</t>
  </si>
  <si>
    <t>WH</t>
  </si>
  <si>
    <t>OT1</t>
  </si>
  <si>
    <t>OT1.5</t>
  </si>
  <si>
    <t>OT1HOL</t>
  </si>
  <si>
    <t>OT2</t>
  </si>
  <si>
    <t>OT3</t>
  </si>
  <si>
    <t>Summary</t>
  </si>
  <si>
    <t>นายธวัชชัย แก้วจันทร์</t>
  </si>
  <si>
    <t>Mr. Tavatchai Gaewchan</t>
  </si>
  <si>
    <t>Technician-Engineering</t>
  </si>
  <si>
    <t>นายบรรลุ จุใจ</t>
  </si>
  <si>
    <t>Mr. Banlu Jujai</t>
  </si>
  <si>
    <t>Senior Foreman</t>
  </si>
  <si>
    <t>นายนพดล จิตมั่น</t>
  </si>
  <si>
    <t>Mr. Noppadon Jitman</t>
  </si>
  <si>
    <t>นายจักรพงษ์ กาบศรี</t>
  </si>
  <si>
    <t>Mr. Jakkapong Kapsee</t>
  </si>
  <si>
    <t>นายยุทธการ กาวิชา</t>
  </si>
  <si>
    <t>Mr. Yuttakan Karvichar</t>
  </si>
  <si>
    <t>Senior Technician</t>
  </si>
  <si>
    <t>นายภาณุวัช ไชยชุมภู</t>
  </si>
  <si>
    <t>Mr. Panuwat Chaichompoo</t>
  </si>
  <si>
    <t>Foreman</t>
  </si>
  <si>
    <t>นายเจษฎาพงค์ ดวงแก้ว</t>
  </si>
  <si>
    <t>Mr. Jassdapong Daoungkeaw</t>
  </si>
  <si>
    <t>นายสาคร อินสองใจ</t>
  </si>
  <si>
    <t>Mr. Sakorn Insongjai</t>
  </si>
  <si>
    <t>นายรัชชานนท์ นนทะธรรม</t>
  </si>
  <si>
    <t>Mr. Ratchanon Nontathum</t>
  </si>
  <si>
    <t>นายณฤทธิ์ อนนท์</t>
  </si>
  <si>
    <t>Mr. Narit Anon</t>
  </si>
  <si>
    <t>นายเจษฎา ปากองวัน</t>
  </si>
  <si>
    <t>Mr. Chetsada Parkongwan</t>
  </si>
  <si>
    <t>นายสมนึก มงคลแก้ว</t>
  </si>
  <si>
    <t>Mr. Somnuk Mongkholkaew</t>
  </si>
  <si>
    <t>นายโกมล สมบูรณ์เหลือ</t>
  </si>
  <si>
    <t>Mr. Komol Somboonluer</t>
  </si>
  <si>
    <t>นายเอกนรินทร์ ไชยวงค์</t>
  </si>
  <si>
    <t>Mr. Aeknarin Chaiwong</t>
  </si>
  <si>
    <t>นายออมทรัพย์ สกุลประกายพร</t>
  </si>
  <si>
    <t>Mr. Oomsap Sakunprakaiphon</t>
  </si>
  <si>
    <t>นายกฤษดา รังสิตวัฒนะ</t>
  </si>
  <si>
    <t>Mr. Kitsada Rangsitwatthana</t>
  </si>
  <si>
    <t>นายอนุวัฒน์ จันทร์ดี</t>
  </si>
  <si>
    <t>Mr. Anuwat Chandee</t>
  </si>
  <si>
    <t>นายวรวิทธ์ จักรใจวงค์</t>
  </si>
  <si>
    <t>Mr. Worawit Jakjaiwong</t>
  </si>
  <si>
    <t>ช่วงวันที่ 06/01/2563 - 12/01/2563</t>
  </si>
  <si>
    <t>ช่วงวันที่ 13/01/2563 - 19/01/2563</t>
  </si>
  <si>
    <t>Summary/W</t>
  </si>
  <si>
    <t>ช่วงวันที่ 30/12/2562 - 05/01/2563</t>
  </si>
  <si>
    <r>
      <t xml:space="preserve">Mr. Tavatchai Gaewchan </t>
    </r>
    <r>
      <rPr>
        <sz val="11"/>
        <color rgb="FFFF0000"/>
        <rFont val="Calibri"/>
        <family val="2"/>
        <scheme val="minor"/>
      </rPr>
      <t>PRO011</t>
    </r>
  </si>
  <si>
    <r>
      <t xml:space="preserve">Mr. Banlu Jujai </t>
    </r>
    <r>
      <rPr>
        <sz val="11"/>
        <color rgb="FFFF0000"/>
        <rFont val="Calibri"/>
        <family val="2"/>
        <scheme val="minor"/>
      </rPr>
      <t>PAC006</t>
    </r>
  </si>
  <si>
    <r>
      <t xml:space="preserve">Mr. Noppadon Jitman </t>
    </r>
    <r>
      <rPr>
        <sz val="11"/>
        <color rgb="FFFF0000"/>
        <rFont val="Calibri"/>
        <family val="2"/>
        <scheme val="minor"/>
      </rPr>
      <t>PAC012</t>
    </r>
  </si>
  <si>
    <r>
      <t xml:space="preserve">Mr. Jakkapong Kapsee </t>
    </r>
    <r>
      <rPr>
        <sz val="11"/>
        <color rgb="FFFF0000"/>
        <rFont val="Calibri"/>
        <family val="2"/>
        <scheme val="minor"/>
      </rPr>
      <t>PAC015</t>
    </r>
  </si>
  <si>
    <r>
      <t xml:space="preserve">Mr. Yuttakan Karvichar </t>
    </r>
    <r>
      <rPr>
        <sz val="11"/>
        <color rgb="FFFF0000"/>
        <rFont val="Calibri"/>
        <family val="2"/>
        <scheme val="minor"/>
      </rPr>
      <t>PRO016</t>
    </r>
  </si>
  <si>
    <r>
      <t xml:space="preserve">Mr. Panuwat Chaichompoo </t>
    </r>
    <r>
      <rPr>
        <sz val="11"/>
        <color rgb="FFFF0000"/>
        <rFont val="Calibri"/>
        <family val="2"/>
        <scheme val="minor"/>
      </rPr>
      <t>UTI007</t>
    </r>
  </si>
  <si>
    <r>
      <t xml:space="preserve">Mr. Jassdapong Daoungkeaw </t>
    </r>
    <r>
      <rPr>
        <sz val="11"/>
        <color rgb="FFFF0000"/>
        <rFont val="Calibri"/>
        <family val="2"/>
        <scheme val="minor"/>
      </rPr>
      <t>PRO015</t>
    </r>
  </si>
  <si>
    <r>
      <t xml:space="preserve">Mr. Sakorn Insongjai </t>
    </r>
    <r>
      <rPr>
        <sz val="11"/>
        <color rgb="FFFF0000"/>
        <rFont val="Calibri"/>
        <family val="2"/>
        <scheme val="minor"/>
      </rPr>
      <t>PRO007</t>
    </r>
  </si>
  <si>
    <r>
      <t xml:space="preserve">Mr. Ratchanon Nontathum </t>
    </r>
    <r>
      <rPr>
        <sz val="11"/>
        <color rgb="FFFF0000"/>
        <rFont val="Calibri"/>
        <family val="2"/>
        <scheme val="minor"/>
      </rPr>
      <t>PRO013</t>
    </r>
  </si>
  <si>
    <r>
      <t xml:space="preserve">Mr. Narit Anon </t>
    </r>
    <r>
      <rPr>
        <sz val="11"/>
        <color rgb="FFFF0000"/>
        <rFont val="Calibri"/>
        <family val="2"/>
        <scheme val="minor"/>
      </rPr>
      <t>PAC010</t>
    </r>
  </si>
  <si>
    <r>
      <t xml:space="preserve">Mr. Chetsada Parkongwan </t>
    </r>
    <r>
      <rPr>
        <sz val="11"/>
        <color rgb="FFFF0000"/>
        <rFont val="Calibri"/>
        <family val="2"/>
        <scheme val="minor"/>
      </rPr>
      <t>PAC011</t>
    </r>
  </si>
  <si>
    <r>
      <t xml:space="preserve">Mr. Somnuk Mongkholkaew </t>
    </r>
    <r>
      <rPr>
        <sz val="11"/>
        <color rgb="FFFF0000"/>
        <rFont val="Calibri"/>
        <family val="2"/>
        <scheme val="minor"/>
      </rPr>
      <t>PRO014</t>
    </r>
  </si>
  <si>
    <r>
      <t xml:space="preserve">Mr. Komol Somboonluer </t>
    </r>
    <r>
      <rPr>
        <sz val="11"/>
        <color rgb="FFFF0000"/>
        <rFont val="Calibri"/>
        <family val="2"/>
        <scheme val="minor"/>
      </rPr>
      <t>PRO006</t>
    </r>
  </si>
  <si>
    <r>
      <t>Mr. Aeknarin Chaiwong</t>
    </r>
    <r>
      <rPr>
        <sz val="11"/>
        <color rgb="FFFF0000"/>
        <rFont val="Calibri"/>
        <family val="2"/>
        <scheme val="minor"/>
      </rPr>
      <t xml:space="preserve"> PRO009</t>
    </r>
  </si>
  <si>
    <r>
      <t xml:space="preserve">Mr. Oomsap Sakunprakaiphon </t>
    </r>
    <r>
      <rPr>
        <sz val="11"/>
        <color rgb="FFFF0000"/>
        <rFont val="Calibri"/>
        <family val="2"/>
        <scheme val="minor"/>
      </rPr>
      <t>PAC013</t>
    </r>
  </si>
  <si>
    <r>
      <t xml:space="preserve">Mr. Kitsada Rangsitwatthana </t>
    </r>
    <r>
      <rPr>
        <sz val="11"/>
        <color rgb="FFFF0000"/>
        <rFont val="Calibri"/>
        <family val="2"/>
        <scheme val="minor"/>
      </rPr>
      <t>PRO019</t>
    </r>
  </si>
  <si>
    <r>
      <t xml:space="preserve">Mr. Anuwat Chandee </t>
    </r>
    <r>
      <rPr>
        <sz val="11"/>
        <color rgb="FFFF0000"/>
        <rFont val="Calibri"/>
        <family val="2"/>
        <scheme val="minor"/>
      </rPr>
      <t>PAC009</t>
    </r>
  </si>
  <si>
    <r>
      <t xml:space="preserve">Mr. Worawit Jakjaiwong </t>
    </r>
    <r>
      <rPr>
        <sz val="11"/>
        <color rgb="FFFF0000"/>
        <rFont val="Calibri"/>
        <family val="2"/>
        <scheme val="minor"/>
      </rPr>
      <t>PAC014</t>
    </r>
  </si>
  <si>
    <t>Sum of Summary/W</t>
  </si>
  <si>
    <t>Total</t>
  </si>
  <si>
    <t>ช่วงวันที่ 20/01/2563 - 26/01/2563</t>
  </si>
  <si>
    <t>27.01.2020</t>
  </si>
  <si>
    <t>RCA</t>
  </si>
  <si>
    <t>%RCA</t>
  </si>
  <si>
    <t>1.02.2020</t>
  </si>
  <si>
    <t>ช่วงวันที่ 27/01/2563 - 02/02/2563</t>
  </si>
  <si>
    <t>Monthly</t>
  </si>
  <si>
    <t>ช่วงวันที่ 10/02/2563 - 16/02/2563</t>
  </si>
  <si>
    <t>JR</t>
  </si>
  <si>
    <t>ช่วงวันที่ 17/02/2563 - 23/02/2563</t>
  </si>
  <si>
    <t>นายสรรเสริญ จายนวล</t>
  </si>
  <si>
    <t>Mr. Sansurn Jaynoln</t>
  </si>
  <si>
    <t>Reactive</t>
  </si>
  <si>
    <t>%Reactive</t>
  </si>
  <si>
    <t>ช่วงวันที่ 24/02/2563 - 01/03/2563</t>
  </si>
  <si>
    <t>Code</t>
  </si>
  <si>
    <t>OT net</t>
  </si>
  <si>
    <t>Sum of OT net</t>
  </si>
  <si>
    <t>WeeK2</t>
  </si>
  <si>
    <t>WeeK1</t>
  </si>
  <si>
    <t>WeeK3</t>
  </si>
  <si>
    <t>WeeK4</t>
  </si>
  <si>
    <t>WeeK5</t>
  </si>
  <si>
    <t>WeeK6</t>
  </si>
  <si>
    <t>WeeK7</t>
  </si>
  <si>
    <t>WeeK8</t>
  </si>
  <si>
    <t>A</t>
  </si>
  <si>
    <t>Average</t>
  </si>
  <si>
    <t>Team average</t>
  </si>
  <si>
    <t>ช่วงวันที่ 02/03/2563 - 08/03/2563</t>
  </si>
  <si>
    <t>Wo</t>
  </si>
  <si>
    <t>ZB01/ZB05</t>
  </si>
  <si>
    <t>เทียบ%จาก HR hour</t>
  </si>
  <si>
    <t>กราฟแท่งโชว์ข้อมูลเฉพาะ %PM , % Reactive % RCA , จำนวน Workorder</t>
  </si>
  <si>
    <t>Technician Utilizations</t>
  </si>
  <si>
    <t>OT Hour</t>
  </si>
  <si>
    <t xml:space="preserve">Work Center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</si>
</sst>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family val="2"/>
    </font>
    <font>
      <sz val="11"/>
      <color theme="5"/>
      <name val="Calibri"/>
      <family val="2"/>
      <scheme val="minor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21" fontId="0" fillId="0" borderId="0" xfId="0" applyNumberFormat="1"/>
    <xf numFmtId="46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42" applyNumberFormat="1" applyFont="1"/>
    <xf numFmtId="0" fontId="0" fillId="0" borderId="0" xfId="0" applyAlignment="1">
      <alignment horizontal="center" vertical="center"/>
    </xf>
    <xf numFmtId="0" fontId="0" fillId="33" borderId="0" xfId="0" applyFill="1" applyAlignment="1"/>
    <xf numFmtId="0" fontId="0" fillId="33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33" borderId="0" xfId="0" applyFill="1"/>
    <xf numFmtId="0" fontId="0" fillId="0" borderId="0" xfId="0" applyFill="1" applyAlignment="1">
      <alignment horizontal="center" vertic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164" fontId="14" fillId="0" borderId="0" xfId="0" applyNumberFormat="1" applyFont="1"/>
    <xf numFmtId="0" fontId="0" fillId="0" borderId="0" xfId="0" applyFill="1"/>
    <xf numFmtId="164" fontId="18" fillId="0" borderId="0" xfId="0" applyNumberFormat="1" applyFont="1"/>
    <xf numFmtId="164" fontId="0" fillId="0" borderId="0" xfId="42" applyNumberFormat="1" applyFont="1" applyAlignment="1">
      <alignment horizontal="center"/>
    </xf>
    <xf numFmtId="0" fontId="0" fillId="34" borderId="0" xfId="0" applyFill="1" applyAlignment="1">
      <alignment horizontal="center" vertical="center"/>
    </xf>
    <xf numFmtId="0" fontId="0" fillId="34" borderId="0" xfId="0" applyFill="1"/>
    <xf numFmtId="0" fontId="0" fillId="34" borderId="0" xfId="0" applyNumberFormat="1" applyFill="1" applyAlignment="1">
      <alignment horizontal="center"/>
    </xf>
    <xf numFmtId="0" fontId="0" fillId="35" borderId="0" xfId="0" applyFill="1" applyAlignment="1">
      <alignment horizontal="center" vertical="center"/>
    </xf>
    <xf numFmtId="0" fontId="0" fillId="35" borderId="0" xfId="0" applyFill="1"/>
    <xf numFmtId="165" fontId="0" fillId="35" borderId="0" xfId="0" applyNumberFormat="1" applyFill="1" applyAlignment="1">
      <alignment horizontal="center"/>
    </xf>
    <xf numFmtId="0" fontId="0" fillId="35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6" borderId="10" xfId="0" applyFill="1" applyBorder="1"/>
    <xf numFmtId="0" fontId="0" fillId="36" borderId="10" xfId="0" applyFill="1" applyBorder="1" applyAlignment="1">
      <alignment horizontal="center" vertical="center"/>
    </xf>
    <xf numFmtId="165" fontId="0" fillId="36" borderId="10" xfId="0" applyNumberFormat="1" applyFill="1" applyBorder="1" applyAlignment="1">
      <alignment horizontal="center"/>
    </xf>
    <xf numFmtId="164" fontId="0" fillId="36" borderId="10" xfId="42" applyNumberFormat="1" applyFont="1" applyFill="1" applyBorder="1" applyAlignment="1">
      <alignment horizontal="center"/>
    </xf>
    <xf numFmtId="9" fontId="0" fillId="36" borderId="10" xfId="42" applyFont="1" applyFill="1" applyBorder="1" applyAlignment="1">
      <alignment horizontal="center"/>
    </xf>
    <xf numFmtId="10" fontId="0" fillId="36" borderId="10" xfId="0" applyNumberFormat="1" applyFill="1" applyBorder="1" applyAlignment="1">
      <alignment horizontal="center"/>
    </xf>
    <xf numFmtId="10" fontId="0" fillId="36" borderId="10" xfId="42" applyNumberFormat="1" applyFont="1" applyFill="1" applyBorder="1" applyAlignment="1">
      <alignment horizontal="center"/>
    </xf>
    <xf numFmtId="0" fontId="0" fillId="37" borderId="0" xfId="0" applyFill="1" applyAlignment="1">
      <alignment horizontal="center" vertical="center"/>
    </xf>
    <xf numFmtId="0" fontId="0" fillId="37" borderId="0" xfId="0" applyFill="1"/>
    <xf numFmtId="0" fontId="0" fillId="37" borderId="0" xfId="0" applyNumberFormat="1" applyFill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64" fontId="19" fillId="0" borderId="0" xfId="0" applyNumberFormat="1" applyFont="1"/>
    <xf numFmtId="0" fontId="0" fillId="35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65" fontId="0" fillId="0" borderId="0" xfId="0" applyNumberFormat="1"/>
    <xf numFmtId="0" fontId="0" fillId="38" borderId="0" xfId="0" applyFill="1" applyAlignment="1">
      <alignment horizontal="center"/>
    </xf>
    <xf numFmtId="165" fontId="0" fillId="38" borderId="0" xfId="0" applyNumberFormat="1" applyFill="1" applyAlignment="1">
      <alignment horizontal="center"/>
    </xf>
    <xf numFmtId="0" fontId="0" fillId="38" borderId="0" xfId="0" applyNumberFormat="1" applyFill="1" applyAlignment="1">
      <alignment horizontal="center"/>
    </xf>
    <xf numFmtId="164" fontId="0" fillId="38" borderId="0" xfId="42" applyNumberFormat="1" applyFont="1" applyFill="1"/>
    <xf numFmtId="164" fontId="0" fillId="38" borderId="0" xfId="0" applyNumberFormat="1" applyFill="1"/>
    <xf numFmtId="2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40" borderId="0" xfId="0" applyFill="1" applyAlignment="1">
      <alignment horizontal="center"/>
    </xf>
    <xf numFmtId="0" fontId="25" fillId="0" borderId="0" xfId="0" applyFont="1"/>
    <xf numFmtId="0" fontId="0" fillId="0" borderId="10" xfId="0" applyBorder="1"/>
    <xf numFmtId="0" fontId="0" fillId="41" borderId="10" xfId="0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9" fillId="40" borderId="10" xfId="0" applyFont="1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23" fillId="0" borderId="10" xfId="0" applyNumberFormat="1" applyFont="1" applyBorder="1" applyAlignment="1">
      <alignment horizontal="center"/>
    </xf>
    <xf numFmtId="164" fontId="23" fillId="0" borderId="10" xfId="42" applyNumberFormat="1" applyFont="1" applyBorder="1"/>
    <xf numFmtId="164" fontId="23" fillId="0" borderId="10" xfId="42" applyNumberFormat="1" applyFont="1" applyBorder="1" applyAlignment="1">
      <alignment horizontal="center"/>
    </xf>
    <xf numFmtId="164" fontId="18" fillId="0" borderId="10" xfId="0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OT'!$B$2</c:f>
              <c:strCache>
                <c:ptCount val="1"/>
                <c:pt idx="0">
                  <c:v>WeeK1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>
              <a:noFill/>
            </a:ln>
            <a:effectLst/>
          </c:spPr>
          <c:invertIfNegative val="0"/>
          <c:cat>
            <c:strRef>
              <c:f>'Sum OT'!$A$3:$A$20</c:f>
              <c:strCache>
                <c:ptCount val="18"/>
                <c:pt idx="0">
                  <c:v>PRO011</c:v>
                </c:pt>
                <c:pt idx="1">
                  <c:v>PAC006</c:v>
                </c:pt>
                <c:pt idx="2">
                  <c:v>PAC012</c:v>
                </c:pt>
                <c:pt idx="3">
                  <c:v>PAC015</c:v>
                </c:pt>
                <c:pt idx="4">
                  <c:v>PRO016</c:v>
                </c:pt>
                <c:pt idx="5">
                  <c:v>UTI007</c:v>
                </c:pt>
                <c:pt idx="6">
                  <c:v>PRO015</c:v>
                </c:pt>
                <c:pt idx="7">
                  <c:v>PRO007</c:v>
                </c:pt>
                <c:pt idx="8">
                  <c:v>PRO013</c:v>
                </c:pt>
                <c:pt idx="9">
                  <c:v>PAC010</c:v>
                </c:pt>
                <c:pt idx="10">
                  <c:v>PAC011</c:v>
                </c:pt>
                <c:pt idx="11">
                  <c:v>PRO014</c:v>
                </c:pt>
                <c:pt idx="12">
                  <c:v>PRO006</c:v>
                </c:pt>
                <c:pt idx="13">
                  <c:v>PRO009</c:v>
                </c:pt>
                <c:pt idx="14">
                  <c:v>PAC013</c:v>
                </c:pt>
                <c:pt idx="15">
                  <c:v>PRO019</c:v>
                </c:pt>
                <c:pt idx="16">
                  <c:v>PAC009</c:v>
                </c:pt>
                <c:pt idx="17">
                  <c:v>PAC014</c:v>
                </c:pt>
              </c:strCache>
            </c:strRef>
          </c:cat>
          <c:val>
            <c:numRef>
              <c:f>'Sum OT'!$B$3:$B$20</c:f>
              <c:numCache>
                <c:formatCode>General</c:formatCode>
                <c:ptCount val="18"/>
                <c:pt idx="0">
                  <c:v>13.5</c:v>
                </c:pt>
                <c:pt idx="1">
                  <c:v>0</c:v>
                </c:pt>
                <c:pt idx="2">
                  <c:v>26</c:v>
                </c:pt>
                <c:pt idx="3">
                  <c:v>16</c:v>
                </c:pt>
                <c:pt idx="4">
                  <c:v>25.5</c:v>
                </c:pt>
                <c:pt idx="5">
                  <c:v>0</c:v>
                </c:pt>
                <c:pt idx="6">
                  <c:v>25.5</c:v>
                </c:pt>
                <c:pt idx="7">
                  <c:v>25</c:v>
                </c:pt>
                <c:pt idx="8">
                  <c:v>24</c:v>
                </c:pt>
                <c:pt idx="9">
                  <c:v>25.5</c:v>
                </c:pt>
                <c:pt idx="10">
                  <c:v>25.5</c:v>
                </c:pt>
                <c:pt idx="11">
                  <c:v>25</c:v>
                </c:pt>
                <c:pt idx="12">
                  <c:v>15</c:v>
                </c:pt>
                <c:pt idx="13">
                  <c:v>25.5</c:v>
                </c:pt>
                <c:pt idx="14">
                  <c:v>25.5</c:v>
                </c:pt>
                <c:pt idx="15">
                  <c:v>0</c:v>
                </c:pt>
                <c:pt idx="16">
                  <c:v>15</c:v>
                </c:pt>
                <c:pt idx="1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9-4FB0-AD2D-1010E1CFA155}"/>
            </c:ext>
          </c:extLst>
        </c:ser>
        <c:ser>
          <c:idx val="1"/>
          <c:order val="1"/>
          <c:tx>
            <c:strRef>
              <c:f>'Sum OT'!$C$2</c:f>
              <c:strCache>
                <c:ptCount val="1"/>
                <c:pt idx="0">
                  <c:v>WeeK2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strRef>
              <c:f>'Sum OT'!$A$3:$A$20</c:f>
              <c:strCache>
                <c:ptCount val="18"/>
                <c:pt idx="0">
                  <c:v>PRO011</c:v>
                </c:pt>
                <c:pt idx="1">
                  <c:v>PAC006</c:v>
                </c:pt>
                <c:pt idx="2">
                  <c:v>PAC012</c:v>
                </c:pt>
                <c:pt idx="3">
                  <c:v>PAC015</c:v>
                </c:pt>
                <c:pt idx="4">
                  <c:v>PRO016</c:v>
                </c:pt>
                <c:pt idx="5">
                  <c:v>UTI007</c:v>
                </c:pt>
                <c:pt idx="6">
                  <c:v>PRO015</c:v>
                </c:pt>
                <c:pt idx="7">
                  <c:v>PRO007</c:v>
                </c:pt>
                <c:pt idx="8">
                  <c:v>PRO013</c:v>
                </c:pt>
                <c:pt idx="9">
                  <c:v>PAC010</c:v>
                </c:pt>
                <c:pt idx="10">
                  <c:v>PAC011</c:v>
                </c:pt>
                <c:pt idx="11">
                  <c:v>PRO014</c:v>
                </c:pt>
                <c:pt idx="12">
                  <c:v>PRO006</c:v>
                </c:pt>
                <c:pt idx="13">
                  <c:v>PRO009</c:v>
                </c:pt>
                <c:pt idx="14">
                  <c:v>PAC013</c:v>
                </c:pt>
                <c:pt idx="15">
                  <c:v>PRO019</c:v>
                </c:pt>
                <c:pt idx="16">
                  <c:v>PAC009</c:v>
                </c:pt>
                <c:pt idx="17">
                  <c:v>PAC014</c:v>
                </c:pt>
              </c:strCache>
            </c:strRef>
          </c:cat>
          <c:val>
            <c:numRef>
              <c:f>'Sum OT'!$C$3:$C$20</c:f>
              <c:numCache>
                <c:formatCode>General</c:formatCode>
                <c:ptCount val="18"/>
                <c:pt idx="0">
                  <c:v>15</c:v>
                </c:pt>
                <c:pt idx="1">
                  <c:v>24</c:v>
                </c:pt>
                <c:pt idx="2">
                  <c:v>23</c:v>
                </c:pt>
                <c:pt idx="3">
                  <c:v>35.5</c:v>
                </c:pt>
                <c:pt idx="4">
                  <c:v>24.5</c:v>
                </c:pt>
                <c:pt idx="5">
                  <c:v>14</c:v>
                </c:pt>
                <c:pt idx="6">
                  <c:v>34.5</c:v>
                </c:pt>
                <c:pt idx="7">
                  <c:v>21</c:v>
                </c:pt>
                <c:pt idx="8">
                  <c:v>20.5</c:v>
                </c:pt>
                <c:pt idx="9">
                  <c:v>23</c:v>
                </c:pt>
                <c:pt idx="10">
                  <c:v>21</c:v>
                </c:pt>
                <c:pt idx="11">
                  <c:v>32</c:v>
                </c:pt>
                <c:pt idx="12">
                  <c:v>19.5</c:v>
                </c:pt>
                <c:pt idx="13">
                  <c:v>23</c:v>
                </c:pt>
                <c:pt idx="14">
                  <c:v>25.5</c:v>
                </c:pt>
                <c:pt idx="15">
                  <c:v>34</c:v>
                </c:pt>
                <c:pt idx="16">
                  <c:v>11</c:v>
                </c:pt>
                <c:pt idx="17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E9-4FB0-AD2D-1010E1CFA155}"/>
            </c:ext>
          </c:extLst>
        </c:ser>
        <c:ser>
          <c:idx val="2"/>
          <c:order val="2"/>
          <c:tx>
            <c:strRef>
              <c:f>'Sum OT'!$D$2</c:f>
              <c:strCache>
                <c:ptCount val="1"/>
                <c:pt idx="0">
                  <c:v>WeeK3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>
              <a:noFill/>
            </a:ln>
            <a:effectLst/>
          </c:spPr>
          <c:invertIfNegative val="0"/>
          <c:cat>
            <c:strRef>
              <c:f>'Sum OT'!$A$3:$A$20</c:f>
              <c:strCache>
                <c:ptCount val="18"/>
                <c:pt idx="0">
                  <c:v>PRO011</c:v>
                </c:pt>
                <c:pt idx="1">
                  <c:v>PAC006</c:v>
                </c:pt>
                <c:pt idx="2">
                  <c:v>PAC012</c:v>
                </c:pt>
                <c:pt idx="3">
                  <c:v>PAC015</c:v>
                </c:pt>
                <c:pt idx="4">
                  <c:v>PRO016</c:v>
                </c:pt>
                <c:pt idx="5">
                  <c:v>UTI007</c:v>
                </c:pt>
                <c:pt idx="6">
                  <c:v>PRO015</c:v>
                </c:pt>
                <c:pt idx="7">
                  <c:v>PRO007</c:v>
                </c:pt>
                <c:pt idx="8">
                  <c:v>PRO013</c:v>
                </c:pt>
                <c:pt idx="9">
                  <c:v>PAC010</c:v>
                </c:pt>
                <c:pt idx="10">
                  <c:v>PAC011</c:v>
                </c:pt>
                <c:pt idx="11">
                  <c:v>PRO014</c:v>
                </c:pt>
                <c:pt idx="12">
                  <c:v>PRO006</c:v>
                </c:pt>
                <c:pt idx="13">
                  <c:v>PRO009</c:v>
                </c:pt>
                <c:pt idx="14">
                  <c:v>PAC013</c:v>
                </c:pt>
                <c:pt idx="15">
                  <c:v>PRO019</c:v>
                </c:pt>
                <c:pt idx="16">
                  <c:v>PAC009</c:v>
                </c:pt>
                <c:pt idx="17">
                  <c:v>PAC014</c:v>
                </c:pt>
              </c:strCache>
            </c:strRef>
          </c:cat>
          <c:val>
            <c:numRef>
              <c:f>'Sum OT'!$D$3:$D$20</c:f>
              <c:numCache>
                <c:formatCode>General</c:formatCode>
                <c:ptCount val="18"/>
                <c:pt idx="0">
                  <c:v>9</c:v>
                </c:pt>
                <c:pt idx="1">
                  <c:v>23</c:v>
                </c:pt>
                <c:pt idx="2">
                  <c:v>35</c:v>
                </c:pt>
                <c:pt idx="3">
                  <c:v>34</c:v>
                </c:pt>
                <c:pt idx="4">
                  <c:v>27.5</c:v>
                </c:pt>
                <c:pt idx="5">
                  <c:v>31.5</c:v>
                </c:pt>
                <c:pt idx="6">
                  <c:v>28.5</c:v>
                </c:pt>
                <c:pt idx="7">
                  <c:v>34.5</c:v>
                </c:pt>
                <c:pt idx="8">
                  <c:v>25.5</c:v>
                </c:pt>
                <c:pt idx="9">
                  <c:v>32</c:v>
                </c:pt>
                <c:pt idx="10">
                  <c:v>34</c:v>
                </c:pt>
                <c:pt idx="11">
                  <c:v>33</c:v>
                </c:pt>
                <c:pt idx="12">
                  <c:v>34.5</c:v>
                </c:pt>
                <c:pt idx="13">
                  <c:v>31</c:v>
                </c:pt>
                <c:pt idx="14">
                  <c:v>32</c:v>
                </c:pt>
                <c:pt idx="15">
                  <c:v>34.5</c:v>
                </c:pt>
                <c:pt idx="16">
                  <c:v>11.5</c:v>
                </c:pt>
                <c:pt idx="1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9-4FB0-AD2D-1010E1CFA155}"/>
            </c:ext>
          </c:extLst>
        </c:ser>
        <c:ser>
          <c:idx val="3"/>
          <c:order val="3"/>
          <c:tx>
            <c:strRef>
              <c:f>'Sum OT'!$E$2</c:f>
              <c:strCache>
                <c:ptCount val="1"/>
                <c:pt idx="0">
                  <c:v>WeeK4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strRef>
              <c:f>'Sum OT'!$A$3:$A$20</c:f>
              <c:strCache>
                <c:ptCount val="18"/>
                <c:pt idx="0">
                  <c:v>PRO011</c:v>
                </c:pt>
                <c:pt idx="1">
                  <c:v>PAC006</c:v>
                </c:pt>
                <c:pt idx="2">
                  <c:v>PAC012</c:v>
                </c:pt>
                <c:pt idx="3">
                  <c:v>PAC015</c:v>
                </c:pt>
                <c:pt idx="4">
                  <c:v>PRO016</c:v>
                </c:pt>
                <c:pt idx="5">
                  <c:v>UTI007</c:v>
                </c:pt>
                <c:pt idx="6">
                  <c:v>PRO015</c:v>
                </c:pt>
                <c:pt idx="7">
                  <c:v>PRO007</c:v>
                </c:pt>
                <c:pt idx="8">
                  <c:v>PRO013</c:v>
                </c:pt>
                <c:pt idx="9">
                  <c:v>PAC010</c:v>
                </c:pt>
                <c:pt idx="10">
                  <c:v>PAC011</c:v>
                </c:pt>
                <c:pt idx="11">
                  <c:v>PRO014</c:v>
                </c:pt>
                <c:pt idx="12">
                  <c:v>PRO006</c:v>
                </c:pt>
                <c:pt idx="13">
                  <c:v>PRO009</c:v>
                </c:pt>
                <c:pt idx="14">
                  <c:v>PAC013</c:v>
                </c:pt>
                <c:pt idx="15">
                  <c:v>PRO019</c:v>
                </c:pt>
                <c:pt idx="16">
                  <c:v>PAC009</c:v>
                </c:pt>
                <c:pt idx="17">
                  <c:v>PAC014</c:v>
                </c:pt>
              </c:strCache>
            </c:strRef>
          </c:cat>
          <c:val>
            <c:numRef>
              <c:f>'Sum OT'!$E$3:$E$20</c:f>
              <c:numCache>
                <c:formatCode>General</c:formatCode>
                <c:ptCount val="18"/>
                <c:pt idx="0">
                  <c:v>22.5</c:v>
                </c:pt>
                <c:pt idx="1">
                  <c:v>34.5</c:v>
                </c:pt>
                <c:pt idx="2">
                  <c:v>9</c:v>
                </c:pt>
                <c:pt idx="3">
                  <c:v>33</c:v>
                </c:pt>
                <c:pt idx="4">
                  <c:v>14.5</c:v>
                </c:pt>
                <c:pt idx="5">
                  <c:v>25.5</c:v>
                </c:pt>
                <c:pt idx="6">
                  <c:v>25.5</c:v>
                </c:pt>
                <c:pt idx="7">
                  <c:v>32</c:v>
                </c:pt>
                <c:pt idx="8">
                  <c:v>25.5</c:v>
                </c:pt>
                <c:pt idx="9">
                  <c:v>15</c:v>
                </c:pt>
                <c:pt idx="10">
                  <c:v>24.5</c:v>
                </c:pt>
                <c:pt idx="11">
                  <c:v>32.5</c:v>
                </c:pt>
                <c:pt idx="12">
                  <c:v>34.5</c:v>
                </c:pt>
                <c:pt idx="13">
                  <c:v>36</c:v>
                </c:pt>
                <c:pt idx="14">
                  <c:v>27.5</c:v>
                </c:pt>
                <c:pt idx="15">
                  <c:v>34</c:v>
                </c:pt>
                <c:pt idx="16">
                  <c:v>34</c:v>
                </c:pt>
                <c:pt idx="1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E9-4FB0-AD2D-1010E1CFA155}"/>
            </c:ext>
          </c:extLst>
        </c:ser>
        <c:ser>
          <c:idx val="4"/>
          <c:order val="4"/>
          <c:tx>
            <c:strRef>
              <c:f>'Sum OT'!$F$2</c:f>
              <c:strCache>
                <c:ptCount val="1"/>
                <c:pt idx="0">
                  <c:v>WeeK5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f>'Sum OT'!$A$3:$A$20</c:f>
              <c:strCache>
                <c:ptCount val="18"/>
                <c:pt idx="0">
                  <c:v>PRO011</c:v>
                </c:pt>
                <c:pt idx="1">
                  <c:v>PAC006</c:v>
                </c:pt>
                <c:pt idx="2">
                  <c:v>PAC012</c:v>
                </c:pt>
                <c:pt idx="3">
                  <c:v>PAC015</c:v>
                </c:pt>
                <c:pt idx="4">
                  <c:v>PRO016</c:v>
                </c:pt>
                <c:pt idx="5">
                  <c:v>UTI007</c:v>
                </c:pt>
                <c:pt idx="6">
                  <c:v>PRO015</c:v>
                </c:pt>
                <c:pt idx="7">
                  <c:v>PRO007</c:v>
                </c:pt>
                <c:pt idx="8">
                  <c:v>PRO013</c:v>
                </c:pt>
                <c:pt idx="9">
                  <c:v>PAC010</c:v>
                </c:pt>
                <c:pt idx="10">
                  <c:v>PAC011</c:v>
                </c:pt>
                <c:pt idx="11">
                  <c:v>PRO014</c:v>
                </c:pt>
                <c:pt idx="12">
                  <c:v>PRO006</c:v>
                </c:pt>
                <c:pt idx="13">
                  <c:v>PRO009</c:v>
                </c:pt>
                <c:pt idx="14">
                  <c:v>PAC013</c:v>
                </c:pt>
                <c:pt idx="15">
                  <c:v>PRO019</c:v>
                </c:pt>
                <c:pt idx="16">
                  <c:v>PAC009</c:v>
                </c:pt>
                <c:pt idx="17">
                  <c:v>PAC014</c:v>
                </c:pt>
              </c:strCache>
            </c:strRef>
          </c:cat>
          <c:val>
            <c:numRef>
              <c:f>'Sum OT'!$F$3:$F$20</c:f>
              <c:numCache>
                <c:formatCode>General</c:formatCode>
                <c:ptCount val="18"/>
                <c:pt idx="0">
                  <c:v>19</c:v>
                </c:pt>
                <c:pt idx="1">
                  <c:v>34.47</c:v>
                </c:pt>
                <c:pt idx="2">
                  <c:v>36</c:v>
                </c:pt>
                <c:pt idx="3">
                  <c:v>25.5</c:v>
                </c:pt>
                <c:pt idx="4">
                  <c:v>32</c:v>
                </c:pt>
                <c:pt idx="5">
                  <c:v>7.5</c:v>
                </c:pt>
                <c:pt idx="6">
                  <c:v>33.5</c:v>
                </c:pt>
                <c:pt idx="7">
                  <c:v>27.5</c:v>
                </c:pt>
                <c:pt idx="8">
                  <c:v>18</c:v>
                </c:pt>
                <c:pt idx="9">
                  <c:v>34.5</c:v>
                </c:pt>
                <c:pt idx="10">
                  <c:v>33</c:v>
                </c:pt>
                <c:pt idx="11">
                  <c:v>24.5</c:v>
                </c:pt>
                <c:pt idx="12">
                  <c:v>34.5</c:v>
                </c:pt>
                <c:pt idx="13">
                  <c:v>24</c:v>
                </c:pt>
                <c:pt idx="14">
                  <c:v>31.5</c:v>
                </c:pt>
                <c:pt idx="15">
                  <c:v>36</c:v>
                </c:pt>
                <c:pt idx="16">
                  <c:v>12</c:v>
                </c:pt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E9-4FB0-AD2D-1010E1CFA155}"/>
            </c:ext>
          </c:extLst>
        </c:ser>
        <c:ser>
          <c:idx val="5"/>
          <c:order val="5"/>
          <c:tx>
            <c:strRef>
              <c:f>'Sum OT'!$G$2</c:f>
              <c:strCache>
                <c:ptCount val="1"/>
                <c:pt idx="0">
                  <c:v>WeeK6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'Sum OT'!$A$3:$A$20</c:f>
              <c:strCache>
                <c:ptCount val="18"/>
                <c:pt idx="0">
                  <c:v>PRO011</c:v>
                </c:pt>
                <c:pt idx="1">
                  <c:v>PAC006</c:v>
                </c:pt>
                <c:pt idx="2">
                  <c:v>PAC012</c:v>
                </c:pt>
                <c:pt idx="3">
                  <c:v>PAC015</c:v>
                </c:pt>
                <c:pt idx="4">
                  <c:v>PRO016</c:v>
                </c:pt>
                <c:pt idx="5">
                  <c:v>UTI007</c:v>
                </c:pt>
                <c:pt idx="6">
                  <c:v>PRO015</c:v>
                </c:pt>
                <c:pt idx="7">
                  <c:v>PRO007</c:v>
                </c:pt>
                <c:pt idx="8">
                  <c:v>PRO013</c:v>
                </c:pt>
                <c:pt idx="9">
                  <c:v>PAC010</c:v>
                </c:pt>
                <c:pt idx="10">
                  <c:v>PAC011</c:v>
                </c:pt>
                <c:pt idx="11">
                  <c:v>PRO014</c:v>
                </c:pt>
                <c:pt idx="12">
                  <c:v>PRO006</c:v>
                </c:pt>
                <c:pt idx="13">
                  <c:v>PRO009</c:v>
                </c:pt>
                <c:pt idx="14">
                  <c:v>PAC013</c:v>
                </c:pt>
                <c:pt idx="15">
                  <c:v>PRO019</c:v>
                </c:pt>
                <c:pt idx="16">
                  <c:v>PAC009</c:v>
                </c:pt>
                <c:pt idx="17">
                  <c:v>PAC014</c:v>
                </c:pt>
              </c:strCache>
            </c:strRef>
          </c:cat>
          <c:val>
            <c:numRef>
              <c:f>'Sum OT'!$G$3:$G$20</c:f>
              <c:numCache>
                <c:formatCode>General</c:formatCode>
                <c:ptCount val="18"/>
                <c:pt idx="0">
                  <c:v>32.5</c:v>
                </c:pt>
                <c:pt idx="1">
                  <c:v>31.5</c:v>
                </c:pt>
                <c:pt idx="2">
                  <c:v>32</c:v>
                </c:pt>
                <c:pt idx="3">
                  <c:v>17.5</c:v>
                </c:pt>
                <c:pt idx="4">
                  <c:v>18</c:v>
                </c:pt>
                <c:pt idx="5">
                  <c:v>21</c:v>
                </c:pt>
                <c:pt idx="6">
                  <c:v>30</c:v>
                </c:pt>
                <c:pt idx="7">
                  <c:v>33</c:v>
                </c:pt>
                <c:pt idx="8">
                  <c:v>6.5</c:v>
                </c:pt>
                <c:pt idx="9">
                  <c:v>28.5</c:v>
                </c:pt>
                <c:pt idx="10">
                  <c:v>29.5</c:v>
                </c:pt>
                <c:pt idx="11">
                  <c:v>33.5</c:v>
                </c:pt>
                <c:pt idx="12">
                  <c:v>26.5</c:v>
                </c:pt>
                <c:pt idx="13">
                  <c:v>30</c:v>
                </c:pt>
                <c:pt idx="14">
                  <c:v>30</c:v>
                </c:pt>
                <c:pt idx="15">
                  <c:v>30.5</c:v>
                </c:pt>
                <c:pt idx="16">
                  <c:v>12</c:v>
                </c:pt>
                <c:pt idx="17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E9-4FB0-AD2D-1010E1CFA155}"/>
            </c:ext>
          </c:extLst>
        </c:ser>
        <c:ser>
          <c:idx val="6"/>
          <c:order val="6"/>
          <c:tx>
            <c:strRef>
              <c:f>'Sum OT'!$H$2</c:f>
              <c:strCache>
                <c:ptCount val="1"/>
                <c:pt idx="0">
                  <c:v>WeeK7</c:v>
                </c:pt>
              </c:strCache>
            </c:strRef>
          </c:tx>
          <c:spPr>
            <a:solidFill>
              <a:schemeClr val="accent5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 OT'!$A$3:$A$20</c:f>
              <c:strCache>
                <c:ptCount val="18"/>
                <c:pt idx="0">
                  <c:v>PRO011</c:v>
                </c:pt>
                <c:pt idx="1">
                  <c:v>PAC006</c:v>
                </c:pt>
                <c:pt idx="2">
                  <c:v>PAC012</c:v>
                </c:pt>
                <c:pt idx="3">
                  <c:v>PAC015</c:v>
                </c:pt>
                <c:pt idx="4">
                  <c:v>PRO016</c:v>
                </c:pt>
                <c:pt idx="5">
                  <c:v>UTI007</c:v>
                </c:pt>
                <c:pt idx="6">
                  <c:v>PRO015</c:v>
                </c:pt>
                <c:pt idx="7">
                  <c:v>PRO007</c:v>
                </c:pt>
                <c:pt idx="8">
                  <c:v>PRO013</c:v>
                </c:pt>
                <c:pt idx="9">
                  <c:v>PAC010</c:v>
                </c:pt>
                <c:pt idx="10">
                  <c:v>PAC011</c:v>
                </c:pt>
                <c:pt idx="11">
                  <c:v>PRO014</c:v>
                </c:pt>
                <c:pt idx="12">
                  <c:v>PRO006</c:v>
                </c:pt>
                <c:pt idx="13">
                  <c:v>PRO009</c:v>
                </c:pt>
                <c:pt idx="14">
                  <c:v>PAC013</c:v>
                </c:pt>
                <c:pt idx="15">
                  <c:v>PRO019</c:v>
                </c:pt>
                <c:pt idx="16">
                  <c:v>PAC009</c:v>
                </c:pt>
                <c:pt idx="17">
                  <c:v>PAC014</c:v>
                </c:pt>
              </c:strCache>
            </c:strRef>
          </c:cat>
          <c:val>
            <c:numRef>
              <c:f>'Sum OT'!$H$3:$H$20</c:f>
              <c:numCache>
                <c:formatCode>General</c:formatCode>
                <c:ptCount val="18"/>
                <c:pt idx="0">
                  <c:v>27.5</c:v>
                </c:pt>
                <c:pt idx="1">
                  <c:v>10.5</c:v>
                </c:pt>
                <c:pt idx="2">
                  <c:v>20</c:v>
                </c:pt>
                <c:pt idx="3">
                  <c:v>26</c:v>
                </c:pt>
                <c:pt idx="4">
                  <c:v>24</c:v>
                </c:pt>
                <c:pt idx="5">
                  <c:v>25.5</c:v>
                </c:pt>
                <c:pt idx="6">
                  <c:v>15</c:v>
                </c:pt>
                <c:pt idx="7">
                  <c:v>24.5</c:v>
                </c:pt>
                <c:pt idx="8">
                  <c:v>24.5</c:v>
                </c:pt>
                <c:pt idx="9">
                  <c:v>22.5</c:v>
                </c:pt>
                <c:pt idx="10">
                  <c:v>23</c:v>
                </c:pt>
                <c:pt idx="11">
                  <c:v>25.5</c:v>
                </c:pt>
                <c:pt idx="12">
                  <c:v>15</c:v>
                </c:pt>
                <c:pt idx="13">
                  <c:v>33</c:v>
                </c:pt>
                <c:pt idx="14">
                  <c:v>25.5</c:v>
                </c:pt>
                <c:pt idx="15">
                  <c:v>20</c:v>
                </c:pt>
                <c:pt idx="16">
                  <c:v>17</c:v>
                </c:pt>
                <c:pt idx="17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E9-4FB0-AD2D-1010E1CFA155}"/>
            </c:ext>
          </c:extLst>
        </c:ser>
        <c:ser>
          <c:idx val="7"/>
          <c:order val="7"/>
          <c:tx>
            <c:strRef>
              <c:f>'Sum OT'!$I$2</c:f>
              <c:strCache>
                <c:ptCount val="1"/>
                <c:pt idx="0">
                  <c:v>WeeK8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>
              <a:noFill/>
            </a:ln>
            <a:effectLst/>
          </c:spPr>
          <c:invertIfNegative val="0"/>
          <c:cat>
            <c:strRef>
              <c:f>'Sum OT'!$A$3:$A$20</c:f>
              <c:strCache>
                <c:ptCount val="18"/>
                <c:pt idx="0">
                  <c:v>PRO011</c:v>
                </c:pt>
                <c:pt idx="1">
                  <c:v>PAC006</c:v>
                </c:pt>
                <c:pt idx="2">
                  <c:v>PAC012</c:v>
                </c:pt>
                <c:pt idx="3">
                  <c:v>PAC015</c:v>
                </c:pt>
                <c:pt idx="4">
                  <c:v>PRO016</c:v>
                </c:pt>
                <c:pt idx="5">
                  <c:v>UTI007</c:v>
                </c:pt>
                <c:pt idx="6">
                  <c:v>PRO015</c:v>
                </c:pt>
                <c:pt idx="7">
                  <c:v>PRO007</c:v>
                </c:pt>
                <c:pt idx="8">
                  <c:v>PRO013</c:v>
                </c:pt>
                <c:pt idx="9">
                  <c:v>PAC010</c:v>
                </c:pt>
                <c:pt idx="10">
                  <c:v>PAC011</c:v>
                </c:pt>
                <c:pt idx="11">
                  <c:v>PRO014</c:v>
                </c:pt>
                <c:pt idx="12">
                  <c:v>PRO006</c:v>
                </c:pt>
                <c:pt idx="13">
                  <c:v>PRO009</c:v>
                </c:pt>
                <c:pt idx="14">
                  <c:v>PAC013</c:v>
                </c:pt>
                <c:pt idx="15">
                  <c:v>PRO019</c:v>
                </c:pt>
                <c:pt idx="16">
                  <c:v>PAC009</c:v>
                </c:pt>
                <c:pt idx="17">
                  <c:v>PAC014</c:v>
                </c:pt>
              </c:strCache>
            </c:strRef>
          </c:cat>
          <c:val>
            <c:numRef>
              <c:f>'Sum OT'!$I$3:$I$20</c:f>
              <c:numCache>
                <c:formatCode>General</c:formatCode>
                <c:ptCount val="18"/>
                <c:pt idx="0">
                  <c:v>24.5</c:v>
                </c:pt>
                <c:pt idx="1">
                  <c:v>23.98</c:v>
                </c:pt>
                <c:pt idx="2">
                  <c:v>22.5</c:v>
                </c:pt>
                <c:pt idx="3">
                  <c:v>14.5</c:v>
                </c:pt>
                <c:pt idx="4">
                  <c:v>21.5</c:v>
                </c:pt>
                <c:pt idx="5">
                  <c:v>19.5</c:v>
                </c:pt>
                <c:pt idx="6">
                  <c:v>24</c:v>
                </c:pt>
                <c:pt idx="7">
                  <c:v>28</c:v>
                </c:pt>
                <c:pt idx="8">
                  <c:v>19.5</c:v>
                </c:pt>
                <c:pt idx="9">
                  <c:v>12.5</c:v>
                </c:pt>
                <c:pt idx="10">
                  <c:v>22.5</c:v>
                </c:pt>
                <c:pt idx="11">
                  <c:v>23.5</c:v>
                </c:pt>
                <c:pt idx="12">
                  <c:v>21</c:v>
                </c:pt>
                <c:pt idx="13">
                  <c:v>22.5</c:v>
                </c:pt>
                <c:pt idx="14">
                  <c:v>21</c:v>
                </c:pt>
                <c:pt idx="15">
                  <c:v>24</c:v>
                </c:pt>
                <c:pt idx="16">
                  <c:v>9.5</c:v>
                </c:pt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E9-4FB0-AD2D-1010E1CFA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756817912"/>
        <c:axId val="756818240"/>
      </c:barChart>
      <c:lineChart>
        <c:grouping val="standard"/>
        <c:varyColors val="0"/>
        <c:ser>
          <c:idx val="8"/>
          <c:order val="8"/>
          <c:tx>
            <c:strRef>
              <c:f>'Sum OT'!$J$2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8"/>
            <c:spPr>
              <a:solidFill>
                <a:srgbClr val="C00000"/>
              </a:solidFill>
              <a:ln w="0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915149235092153E-2"/>
                  <c:y val="4.847421567212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6E9-4FB0-AD2D-1010E1CFA155}"/>
                </c:ext>
              </c:extLst>
            </c:dLbl>
            <c:dLbl>
              <c:idx val="1"/>
              <c:layout>
                <c:manualLayout>
                  <c:x val="-2.8506606609026118E-2"/>
                  <c:y val="4.31444745577882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6E9-4FB0-AD2D-1010E1CFA155}"/>
                </c:ext>
              </c:extLst>
            </c:dLbl>
            <c:dLbl>
              <c:idx val="2"/>
              <c:layout>
                <c:manualLayout>
                  <c:x val="-2.5374265441332072E-2"/>
                  <c:y val="-2.7409058592726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6E9-4FB0-AD2D-1010E1CFA155}"/>
                </c:ext>
              </c:extLst>
            </c:dLbl>
            <c:dLbl>
              <c:idx val="3"/>
              <c:layout>
                <c:manualLayout>
                  <c:x val="-2.0694580622268758E-2"/>
                  <c:y val="-4.3043122664656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6E9-4FB0-AD2D-1010E1CFA155}"/>
                </c:ext>
              </c:extLst>
            </c:dLbl>
            <c:dLbl>
              <c:idx val="4"/>
              <c:layout>
                <c:manualLayout>
                  <c:x val="-2.6380889726299154E-2"/>
                  <c:y val="-6.5477385591566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6E9-4FB0-AD2D-1010E1CFA155}"/>
                </c:ext>
              </c:extLst>
            </c:dLbl>
            <c:dLbl>
              <c:idx val="5"/>
              <c:layout>
                <c:manualLayout>
                  <c:x val="-2.5085119932492742E-2"/>
                  <c:y val="-4.9184106569163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6E9-4FB0-AD2D-1010E1CFA155}"/>
                </c:ext>
              </c:extLst>
            </c:dLbl>
            <c:dLbl>
              <c:idx val="6"/>
              <c:layout>
                <c:manualLayout>
                  <c:x val="-2.3500204629846887E-2"/>
                  <c:y val="-3.8727541949313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6E9-4FB0-AD2D-1010E1CFA155}"/>
                </c:ext>
              </c:extLst>
            </c:dLbl>
            <c:dLbl>
              <c:idx val="7"/>
              <c:layout>
                <c:manualLayout>
                  <c:x val="-2.9009918751509649E-2"/>
                  <c:y val="4.3905041401393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6E9-4FB0-AD2D-1010E1CFA155}"/>
                </c:ext>
              </c:extLst>
            </c:dLbl>
            <c:dLbl>
              <c:idx val="8"/>
              <c:layout>
                <c:manualLayout>
                  <c:x val="-2.2279495924914652E-2"/>
                  <c:y val="3.756135371062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6E9-4FB0-AD2D-1010E1CFA155}"/>
                </c:ext>
              </c:extLst>
            </c:dLbl>
            <c:dLbl>
              <c:idx val="9"/>
              <c:layout>
                <c:manualLayout>
                  <c:x val="-1.986455131966931E-2"/>
                  <c:y val="4.3144474557788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6E9-4FB0-AD2D-1010E1CFA155}"/>
                </c:ext>
              </c:extLst>
            </c:dLbl>
            <c:dLbl>
              <c:idx val="10"/>
              <c:layout>
                <c:manualLayout>
                  <c:x val="-2.6921691306380367E-2"/>
                  <c:y val="-4.29924467180909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6E9-4FB0-AD2D-1010E1CFA155}"/>
                </c:ext>
              </c:extLst>
            </c:dLbl>
            <c:dLbl>
              <c:idx val="11"/>
              <c:layout>
                <c:manualLayout>
                  <c:x val="-2.9261574822751494E-2"/>
                  <c:y val="-2.4135649031651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6E9-4FB0-AD2D-1010E1CFA155}"/>
                </c:ext>
              </c:extLst>
            </c:dLbl>
            <c:dLbl>
              <c:idx val="12"/>
              <c:layout>
                <c:manualLayout>
                  <c:x val="-2.6632545797540923E-2"/>
                  <c:y val="-4.4107959010215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6E9-4FB0-AD2D-1010E1CFA155}"/>
                </c:ext>
              </c:extLst>
            </c:dLbl>
            <c:dLbl>
              <c:idx val="13"/>
              <c:layout>
                <c:manualLayout>
                  <c:x val="-2.2782808067398116E-2"/>
                  <c:y val="-3.21302607031555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6E9-4FB0-AD2D-1010E1CFA155}"/>
                </c:ext>
              </c:extLst>
            </c:dLbl>
            <c:dLbl>
              <c:idx val="14"/>
              <c:layout>
                <c:manualLayout>
                  <c:x val="-2.9802376402832557E-2"/>
                  <c:y val="-4.314447455778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6E9-4FB0-AD2D-1010E1CFA155}"/>
                </c:ext>
              </c:extLst>
            </c:dLbl>
            <c:dLbl>
              <c:idx val="15"/>
              <c:layout>
                <c:manualLayout>
                  <c:x val="-2.692169130638029E-2"/>
                  <c:y val="-3.87782178958791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6E9-4FB0-AD2D-1010E1CFA155}"/>
                </c:ext>
              </c:extLst>
            </c:dLbl>
            <c:dLbl>
              <c:idx val="16"/>
              <c:layout>
                <c:manualLayout>
                  <c:x val="-2.4078577861204719E-2"/>
                  <c:y val="-5.8981456238540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6E9-4FB0-AD2D-1010E1CFA155}"/>
                </c:ext>
              </c:extLst>
            </c:dLbl>
            <c:dLbl>
              <c:idx val="17"/>
              <c:layout>
                <c:manualLayout>
                  <c:x val="-1.9436382479738851E-2"/>
                  <c:y val="-4.10374670579619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6E9-4FB0-AD2D-1010E1CFA1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OT'!$A$3:$A$20</c:f>
              <c:strCache>
                <c:ptCount val="18"/>
                <c:pt idx="0">
                  <c:v>PRO011</c:v>
                </c:pt>
                <c:pt idx="1">
                  <c:v>PAC006</c:v>
                </c:pt>
                <c:pt idx="2">
                  <c:v>PAC012</c:v>
                </c:pt>
                <c:pt idx="3">
                  <c:v>PAC015</c:v>
                </c:pt>
                <c:pt idx="4">
                  <c:v>PRO016</c:v>
                </c:pt>
                <c:pt idx="5">
                  <c:v>UTI007</c:v>
                </c:pt>
                <c:pt idx="6">
                  <c:v>PRO015</c:v>
                </c:pt>
                <c:pt idx="7">
                  <c:v>PRO007</c:v>
                </c:pt>
                <c:pt idx="8">
                  <c:v>PRO013</c:v>
                </c:pt>
                <c:pt idx="9">
                  <c:v>PAC010</c:v>
                </c:pt>
                <c:pt idx="10">
                  <c:v>PAC011</c:v>
                </c:pt>
                <c:pt idx="11">
                  <c:v>PRO014</c:v>
                </c:pt>
                <c:pt idx="12">
                  <c:v>PRO006</c:v>
                </c:pt>
                <c:pt idx="13">
                  <c:v>PRO009</c:v>
                </c:pt>
                <c:pt idx="14">
                  <c:v>PAC013</c:v>
                </c:pt>
                <c:pt idx="15">
                  <c:v>PRO019</c:v>
                </c:pt>
                <c:pt idx="16">
                  <c:v>PAC009</c:v>
                </c:pt>
                <c:pt idx="17">
                  <c:v>PAC014</c:v>
                </c:pt>
              </c:strCache>
            </c:strRef>
          </c:cat>
          <c:val>
            <c:numRef>
              <c:f>'Sum OT'!$J$3:$J$20</c:f>
              <c:numCache>
                <c:formatCode>General</c:formatCode>
                <c:ptCount val="18"/>
                <c:pt idx="0">
                  <c:v>20.4375</c:v>
                </c:pt>
                <c:pt idx="1">
                  <c:v>22.743749999999999</c:v>
                </c:pt>
                <c:pt idx="2">
                  <c:v>25.4375</c:v>
                </c:pt>
                <c:pt idx="3">
                  <c:v>25.25</c:v>
                </c:pt>
                <c:pt idx="4">
                  <c:v>23.4375</c:v>
                </c:pt>
                <c:pt idx="5">
                  <c:v>18.0625</c:v>
                </c:pt>
                <c:pt idx="6">
                  <c:v>27.0625</c:v>
                </c:pt>
                <c:pt idx="7">
                  <c:v>28.1875</c:v>
                </c:pt>
                <c:pt idx="8">
                  <c:v>20.5</c:v>
                </c:pt>
                <c:pt idx="9">
                  <c:v>24.1875</c:v>
                </c:pt>
                <c:pt idx="10">
                  <c:v>26.625</c:v>
                </c:pt>
                <c:pt idx="11">
                  <c:v>28.6875</c:v>
                </c:pt>
                <c:pt idx="12">
                  <c:v>25.0625</c:v>
                </c:pt>
                <c:pt idx="13">
                  <c:v>28.125</c:v>
                </c:pt>
                <c:pt idx="14">
                  <c:v>27.3125</c:v>
                </c:pt>
                <c:pt idx="15">
                  <c:v>26.625</c:v>
                </c:pt>
                <c:pt idx="16">
                  <c:v>15.25</c:v>
                </c:pt>
                <c:pt idx="17">
                  <c:v>24.4375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E9-4FB0-AD2D-1010E1CFA155}"/>
            </c:ext>
          </c:extLst>
        </c:ser>
        <c:ser>
          <c:idx val="9"/>
          <c:order val="9"/>
          <c:tx>
            <c:strRef>
              <c:f>'Sum OT'!$K$2</c:f>
              <c:strCache>
                <c:ptCount val="1"/>
                <c:pt idx="0">
                  <c:v>Team average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noFill/>
              <a:ln w="9525">
                <a:noFill/>
              </a:ln>
              <a:effectLst/>
            </c:spPr>
          </c:marker>
          <c:cat>
            <c:strRef>
              <c:f>'Sum OT'!$A$3:$A$20</c:f>
              <c:strCache>
                <c:ptCount val="18"/>
                <c:pt idx="0">
                  <c:v>PRO011</c:v>
                </c:pt>
                <c:pt idx="1">
                  <c:v>PAC006</c:v>
                </c:pt>
                <c:pt idx="2">
                  <c:v>PAC012</c:v>
                </c:pt>
                <c:pt idx="3">
                  <c:v>PAC015</c:v>
                </c:pt>
                <c:pt idx="4">
                  <c:v>PRO016</c:v>
                </c:pt>
                <c:pt idx="5">
                  <c:v>UTI007</c:v>
                </c:pt>
                <c:pt idx="6">
                  <c:v>PRO015</c:v>
                </c:pt>
                <c:pt idx="7">
                  <c:v>PRO007</c:v>
                </c:pt>
                <c:pt idx="8">
                  <c:v>PRO013</c:v>
                </c:pt>
                <c:pt idx="9">
                  <c:v>PAC010</c:v>
                </c:pt>
                <c:pt idx="10">
                  <c:v>PAC011</c:v>
                </c:pt>
                <c:pt idx="11">
                  <c:v>PRO014</c:v>
                </c:pt>
                <c:pt idx="12">
                  <c:v>PRO006</c:v>
                </c:pt>
                <c:pt idx="13">
                  <c:v>PRO009</c:v>
                </c:pt>
                <c:pt idx="14">
                  <c:v>PAC013</c:v>
                </c:pt>
                <c:pt idx="15">
                  <c:v>PRO019</c:v>
                </c:pt>
                <c:pt idx="16">
                  <c:v>PAC009</c:v>
                </c:pt>
                <c:pt idx="17">
                  <c:v>PAC014</c:v>
                </c:pt>
              </c:strCache>
            </c:strRef>
          </c:cat>
          <c:val>
            <c:numRef>
              <c:f>'Sum OT'!$K$3:$K$20</c:f>
              <c:numCache>
                <c:formatCode>General</c:formatCode>
                <c:ptCount val="18"/>
                <c:pt idx="0">
                  <c:v>24.301736111111111</c:v>
                </c:pt>
                <c:pt idx="1">
                  <c:v>24.301736111111111</c:v>
                </c:pt>
                <c:pt idx="2">
                  <c:v>24.301736111111111</c:v>
                </c:pt>
                <c:pt idx="3">
                  <c:v>24.301736111111111</c:v>
                </c:pt>
                <c:pt idx="4">
                  <c:v>24.301736111111111</c:v>
                </c:pt>
                <c:pt idx="5">
                  <c:v>24.301736111111111</c:v>
                </c:pt>
                <c:pt idx="6">
                  <c:v>24.301736111111111</c:v>
                </c:pt>
                <c:pt idx="7">
                  <c:v>24.301736111111111</c:v>
                </c:pt>
                <c:pt idx="8">
                  <c:v>24.301736111111111</c:v>
                </c:pt>
                <c:pt idx="9">
                  <c:v>24.301736111111111</c:v>
                </c:pt>
                <c:pt idx="10">
                  <c:v>24.301736111111111</c:v>
                </c:pt>
                <c:pt idx="11">
                  <c:v>24.301736111111111</c:v>
                </c:pt>
                <c:pt idx="12">
                  <c:v>24.301736111111111</c:v>
                </c:pt>
                <c:pt idx="13">
                  <c:v>24.301736111111111</c:v>
                </c:pt>
                <c:pt idx="14">
                  <c:v>24.301736111111111</c:v>
                </c:pt>
                <c:pt idx="15">
                  <c:v>24.301736111111111</c:v>
                </c:pt>
                <c:pt idx="16">
                  <c:v>24.301736111111111</c:v>
                </c:pt>
                <c:pt idx="17">
                  <c:v>24.301736111111111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4E-4B71-95E0-C69715D1A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6817912"/>
        <c:axId val="756818240"/>
      </c:lineChart>
      <c:catAx>
        <c:axId val="756817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18240"/>
        <c:crosses val="autoZero"/>
        <c:auto val="1"/>
        <c:lblAlgn val="ctr"/>
        <c:lblOffset val="100"/>
        <c:noMultiLvlLbl val="0"/>
      </c:catAx>
      <c:valAx>
        <c:axId val="756818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681791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1.2319026706914945E-2"/>
          <c:y val="0.93149123874288287"/>
          <c:w val="0.76642830728776579"/>
          <c:h val="4.5825167984348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Weekly'!$G$3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3536379018612645E-3"/>
                  <c:y val="3.1809145129224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3C-46EB-BBF0-9C9C755C7C08}"/>
                </c:ext>
              </c:extLst>
            </c:dLbl>
            <c:dLbl>
              <c:idx val="1"/>
              <c:layout>
                <c:manualLayout>
                  <c:x val="-2.441974232107731E-17"/>
                  <c:y val="1.32538104705103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DC-45FB-8067-3D03B82E84A5}"/>
                </c:ext>
              </c:extLst>
            </c:dLbl>
            <c:dLbl>
              <c:idx val="4"/>
              <c:layout>
                <c:manualLayout>
                  <c:x val="-4.963281637238251E-17"/>
                  <c:y val="4.771371769383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33C-46EB-BBF0-9C9C755C7C08}"/>
                </c:ext>
              </c:extLst>
            </c:dLbl>
            <c:dLbl>
              <c:idx val="6"/>
              <c:layout>
                <c:manualLayout>
                  <c:x val="0"/>
                  <c:y val="2.385685884691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33C-46EB-BBF0-9C9C755C7C08}"/>
                </c:ext>
              </c:extLst>
            </c:dLbl>
            <c:dLbl>
              <c:idx val="8"/>
              <c:layout>
                <c:manualLayout>
                  <c:x val="0"/>
                  <c:y val="3.1809145129224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DC-45FB-8067-3D03B82E84A5}"/>
                </c:ext>
              </c:extLst>
            </c:dLbl>
            <c:dLbl>
              <c:idx val="10"/>
              <c:layout>
                <c:manualLayout>
                  <c:x val="0"/>
                  <c:y val="1.5904572564612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3C-46EB-BBF0-9C9C755C7C08}"/>
                </c:ext>
              </c:extLst>
            </c:dLbl>
            <c:dLbl>
              <c:idx val="12"/>
              <c:layout>
                <c:manualLayout>
                  <c:x val="-2.7072758037226035E-3"/>
                  <c:y val="2.65076209410203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33C-46EB-BBF0-9C9C755C7C08}"/>
                </c:ext>
              </c:extLst>
            </c:dLbl>
            <c:dLbl>
              <c:idx val="13"/>
              <c:layout>
                <c:manualLayout>
                  <c:x val="-1.332001332001332E-3"/>
                  <c:y val="2.91583830351224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DC-45FB-8067-3D03B82E84A5}"/>
                </c:ext>
              </c:extLst>
            </c:dLbl>
            <c:dLbl>
              <c:idx val="14"/>
              <c:layout>
                <c:manualLayout>
                  <c:x val="-9.9265632744765019E-17"/>
                  <c:y val="1.3253810470510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33C-46EB-BBF0-9C9C755C7C08}"/>
                </c:ext>
              </c:extLst>
            </c:dLbl>
            <c:dLbl>
              <c:idx val="15"/>
              <c:layout>
                <c:manualLayout>
                  <c:x val="-4.0609137055837565E-3"/>
                  <c:y val="3.9761431411530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33C-46EB-BBF0-9C9C755C7C08}"/>
                </c:ext>
              </c:extLst>
            </c:dLbl>
            <c:dLbl>
              <c:idx val="16"/>
              <c:layout>
                <c:manualLayout>
                  <c:x val="0"/>
                  <c:y val="1.3253810470510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33C-46EB-BBF0-9C9C755C7C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Weekly'!$A$5:$A$22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Weekly'!$G$5:$G$22</c:f>
              <c:numCache>
                <c:formatCode>0.0%</c:formatCode>
                <c:ptCount val="18"/>
                <c:pt idx="0">
                  <c:v>0.29428571428571426</c:v>
                </c:pt>
                <c:pt idx="1">
                  <c:v>0.17460317460317459</c:v>
                </c:pt>
                <c:pt idx="2">
                  <c:v>8.7603305785123958E-2</c:v>
                </c:pt>
                <c:pt idx="3">
                  <c:v>0.11951612903225807</c:v>
                </c:pt>
                <c:pt idx="4">
                  <c:v>0.24</c:v>
                </c:pt>
                <c:pt idx="5">
                  <c:v>0.23471666666666666</c:v>
                </c:pt>
                <c:pt idx="6">
                  <c:v>0.21333333333333332</c:v>
                </c:pt>
                <c:pt idx="7">
                  <c:v>7.455263157894737E-2</c:v>
                </c:pt>
                <c:pt idx="8">
                  <c:v>0.2314606741573034</c:v>
                </c:pt>
                <c:pt idx="9">
                  <c:v>8.0597014925373134E-2</c:v>
                </c:pt>
                <c:pt idx="10">
                  <c:v>0.15833333333333333</c:v>
                </c:pt>
                <c:pt idx="11">
                  <c:v>0.19008264462809918</c:v>
                </c:pt>
                <c:pt idx="12">
                  <c:v>0.17447619047619048</c:v>
                </c:pt>
                <c:pt idx="13">
                  <c:v>0.13378787878787879</c:v>
                </c:pt>
                <c:pt idx="14">
                  <c:v>0.14092307692307693</c:v>
                </c:pt>
                <c:pt idx="15">
                  <c:v>0.3253012048192771</c:v>
                </c:pt>
                <c:pt idx="16">
                  <c:v>0.13111111111111112</c:v>
                </c:pt>
                <c:pt idx="17">
                  <c:v>0.19833333333333333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DC-45FB-8067-3D03B82E84A5}"/>
            </c:ext>
          </c:extLst>
        </c:ser>
        <c:ser>
          <c:idx val="1"/>
          <c:order val="1"/>
          <c:tx>
            <c:strRef>
              <c:f>'Summary Weekly'!$H$3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332001332001332E-3"/>
                  <c:y val="2.65076209410204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DC-45FB-8067-3D03B82E84A5}"/>
                </c:ext>
              </c:extLst>
            </c:dLbl>
            <c:dLbl>
              <c:idx val="1"/>
              <c:layout>
                <c:manualLayout>
                  <c:x val="-1.3320010125637848E-3"/>
                  <c:y val="2.12060967528163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DC-45FB-8067-3D03B82E84A5}"/>
                </c:ext>
              </c:extLst>
            </c:dLbl>
            <c:dLbl>
              <c:idx val="2"/>
              <c:layout>
                <c:manualLayout>
                  <c:x val="-2.441974232107731E-17"/>
                  <c:y val="2.9158383035122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DC-45FB-8067-3D03B82E84A5}"/>
                </c:ext>
              </c:extLst>
            </c:dLbl>
            <c:dLbl>
              <c:idx val="3"/>
              <c:layout>
                <c:manualLayout>
                  <c:x val="0"/>
                  <c:y val="1.060304837640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DC-45FB-8067-3D03B82E84A5}"/>
                </c:ext>
              </c:extLst>
            </c:dLbl>
            <c:dLbl>
              <c:idx val="4"/>
              <c:layout>
                <c:manualLayout>
                  <c:x val="-1.332001332001332E-3"/>
                  <c:y val="5.036447978793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FDC-45FB-8067-3D03B82E84A5}"/>
                </c:ext>
              </c:extLst>
            </c:dLbl>
            <c:dLbl>
              <c:idx val="5"/>
              <c:layout>
                <c:manualLayout>
                  <c:x val="-2.664002664002664E-3"/>
                  <c:y val="6.36182902584492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FDC-45FB-8067-3D03B82E84A5}"/>
                </c:ext>
              </c:extLst>
            </c:dLbl>
            <c:dLbl>
              <c:idx val="6"/>
              <c:layout>
                <c:manualLayout>
                  <c:x val="-4.883948464215462E-17"/>
                  <c:y val="2.9158383035122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FDC-45FB-8067-3D03B82E84A5}"/>
                </c:ext>
              </c:extLst>
            </c:dLbl>
            <c:dLbl>
              <c:idx val="7"/>
              <c:layout>
                <c:manualLayout>
                  <c:x val="0"/>
                  <c:y val="7.95228628230616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FDC-45FB-8067-3D03B82E84A5}"/>
                </c:ext>
              </c:extLst>
            </c:dLbl>
            <c:dLbl>
              <c:idx val="8"/>
              <c:layout>
                <c:manualLayout>
                  <c:x val="-9.7678969284309239E-17"/>
                  <c:y val="7.95228628230616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FDC-45FB-8067-3D03B82E84A5}"/>
                </c:ext>
              </c:extLst>
            </c:dLbl>
            <c:dLbl>
              <c:idx val="9"/>
              <c:layout>
                <c:manualLayout>
                  <c:x val="-2.6423651358301026E-3"/>
                  <c:y val="4.771371769383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FDC-45FB-8067-3D03B82E84A5}"/>
                </c:ext>
              </c:extLst>
            </c:dLbl>
            <c:dLbl>
              <c:idx val="10"/>
              <c:layout>
                <c:manualLayout>
                  <c:x val="0"/>
                  <c:y val="4.7713717693836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FDC-45FB-8067-3D03B82E84A5}"/>
                </c:ext>
              </c:extLst>
            </c:dLbl>
            <c:dLbl>
              <c:idx val="11"/>
              <c:layout>
                <c:manualLayout>
                  <c:x val="-9.9265632744765019E-17"/>
                  <c:y val="1.32538104705102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FDC-45FB-8067-3D03B82E84A5}"/>
                </c:ext>
              </c:extLst>
            </c:dLbl>
            <c:dLbl>
              <c:idx val="12"/>
              <c:layout>
                <c:manualLayout>
                  <c:x val="6.4910667892401772E-5"/>
                  <c:y val="4.241219350563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FDC-45FB-8067-3D03B82E84A5}"/>
                </c:ext>
              </c:extLst>
            </c:dLbl>
            <c:dLbl>
              <c:idx val="13"/>
              <c:layout>
                <c:manualLayout>
                  <c:x val="-5.3280040502552391E-3"/>
                  <c:y val="8.74751491053677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FDC-45FB-8067-3D03B82E84A5}"/>
                </c:ext>
              </c:extLst>
            </c:dLbl>
            <c:dLbl>
              <c:idx val="14"/>
              <c:layout>
                <c:manualLayout>
                  <c:x val="-2.7072758037226035E-3"/>
                  <c:y val="6.8919814446653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FDC-45FB-8067-3D03B82E84A5}"/>
                </c:ext>
              </c:extLst>
            </c:dLbl>
            <c:dLbl>
              <c:idx val="17"/>
              <c:layout>
                <c:manualLayout>
                  <c:x val="1.332001332001332E-3"/>
                  <c:y val="7.6872100728959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FDC-45FB-8067-3D03B82E84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Weekly'!$A$5:$A$22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Weekly'!$H$5:$H$22</c:f>
              <c:numCache>
                <c:formatCode>0.0%</c:formatCode>
                <c:ptCount val="18"/>
                <c:pt idx="0">
                  <c:v>0.54545454545454541</c:v>
                </c:pt>
                <c:pt idx="1">
                  <c:v>0.22222222222222221</c:v>
                </c:pt>
                <c:pt idx="2">
                  <c:v>0.34429752066115699</c:v>
                </c:pt>
                <c:pt idx="3">
                  <c:v>0.23387096774193547</c:v>
                </c:pt>
                <c:pt idx="4">
                  <c:v>0.27142857142857141</c:v>
                </c:pt>
                <c:pt idx="5">
                  <c:v>0.78049999999999997</c:v>
                </c:pt>
                <c:pt idx="6">
                  <c:v>0.82062857142857137</c:v>
                </c:pt>
                <c:pt idx="7">
                  <c:v>0.47368421052631576</c:v>
                </c:pt>
                <c:pt idx="8">
                  <c:v>0.5393258426966292</c:v>
                </c:pt>
                <c:pt idx="9">
                  <c:v>0.23134328358208955</c:v>
                </c:pt>
                <c:pt idx="10">
                  <c:v>0.7583333333333333</c:v>
                </c:pt>
                <c:pt idx="11">
                  <c:v>0.22991735537190083</c:v>
                </c:pt>
                <c:pt idx="12">
                  <c:v>0.18666666666666668</c:v>
                </c:pt>
                <c:pt idx="13">
                  <c:v>0.35060606060606059</c:v>
                </c:pt>
                <c:pt idx="14">
                  <c:v>0.21661538461538463</c:v>
                </c:pt>
                <c:pt idx="15">
                  <c:v>0.45228915662650604</c:v>
                </c:pt>
                <c:pt idx="16">
                  <c:v>0.24444444444444444</c:v>
                </c:pt>
                <c:pt idx="17">
                  <c:v>0.45809523809523817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FDC-45FB-8067-3D03B82E84A5}"/>
            </c:ext>
          </c:extLst>
        </c:ser>
        <c:ser>
          <c:idx val="2"/>
          <c:order val="2"/>
          <c:tx>
            <c:strRef>
              <c:f>'Summary Weekly'!$I$3</c:f>
              <c:strCache>
                <c:ptCount val="1"/>
                <c:pt idx="0">
                  <c:v>%RCA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3536379018612521E-3"/>
                  <c:y val="-2.6507620941020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3C-46EB-BBF0-9C9C755C7C08}"/>
                </c:ext>
              </c:extLst>
            </c:dLbl>
            <c:dLbl>
              <c:idx val="1"/>
              <c:layout>
                <c:manualLayout>
                  <c:x val="0"/>
                  <c:y val="-2.3856858846918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3C-46EB-BBF0-9C9C755C7C08}"/>
                </c:ext>
              </c:extLst>
            </c:dLbl>
            <c:dLbl>
              <c:idx val="2"/>
              <c:layout>
                <c:manualLayout>
                  <c:x val="-2.4816408186191255E-17"/>
                  <c:y val="-2.3856858846918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3C-46EB-BBF0-9C9C755C7C08}"/>
                </c:ext>
              </c:extLst>
            </c:dLbl>
            <c:dLbl>
              <c:idx val="3"/>
              <c:layout>
                <c:manualLayout>
                  <c:x val="2.664002664002664E-3"/>
                  <c:y val="-2.3856858846918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3C-46EB-BBF0-9C9C755C7C08}"/>
                </c:ext>
              </c:extLst>
            </c:dLbl>
            <c:dLbl>
              <c:idx val="4"/>
              <c:layout>
                <c:manualLayout>
                  <c:x val="-4.963281637238251E-17"/>
                  <c:y val="-2.9158383035122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3C-46EB-BBF0-9C9C755C7C08}"/>
                </c:ext>
              </c:extLst>
            </c:dLbl>
            <c:dLbl>
              <c:idx val="5"/>
              <c:layout>
                <c:manualLayout>
                  <c:x val="-1.3536379018612521E-3"/>
                  <c:y val="-2.91583830351226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3C-46EB-BBF0-9C9C755C7C08}"/>
                </c:ext>
              </c:extLst>
            </c:dLbl>
            <c:dLbl>
              <c:idx val="6"/>
              <c:layout>
                <c:manualLayout>
                  <c:x val="-4.963281637238251E-17"/>
                  <c:y val="-2.1206096752816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33C-46EB-BBF0-9C9C755C7C08}"/>
                </c:ext>
              </c:extLst>
            </c:dLbl>
            <c:dLbl>
              <c:idx val="7"/>
              <c:layout>
                <c:manualLayout>
                  <c:x val="1.3536379018612521E-3"/>
                  <c:y val="-2.6507620941020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3C-46EB-BBF0-9C9C755C7C08}"/>
                </c:ext>
              </c:extLst>
            </c:dLbl>
            <c:dLbl>
              <c:idx val="8"/>
              <c:layout>
                <c:manualLayout>
                  <c:x val="2.7072758037225042E-3"/>
                  <c:y val="-1.5904572564612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33C-46EB-BBF0-9C9C755C7C08}"/>
                </c:ext>
              </c:extLst>
            </c:dLbl>
            <c:dLbl>
              <c:idx val="9"/>
              <c:layout>
                <c:manualLayout>
                  <c:x val="1.3536379018612521E-3"/>
                  <c:y val="-2.1206096752816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33C-46EB-BBF0-9C9C755C7C08}"/>
                </c:ext>
              </c:extLst>
            </c:dLbl>
            <c:dLbl>
              <c:idx val="10"/>
              <c:layout>
                <c:manualLayout>
                  <c:x val="2.7072758037225042E-3"/>
                  <c:y val="-2.6507620941020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3C-46EB-BBF0-9C9C755C7C08}"/>
                </c:ext>
              </c:extLst>
            </c:dLbl>
            <c:dLbl>
              <c:idx val="11"/>
              <c:layout>
                <c:manualLayout>
                  <c:x val="0"/>
                  <c:y val="-2.3856858846918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33C-46EB-BBF0-9C9C755C7C08}"/>
                </c:ext>
              </c:extLst>
            </c:dLbl>
            <c:dLbl>
              <c:idx val="12"/>
              <c:layout>
                <c:manualLayout>
                  <c:x val="-1.3536379018612521E-3"/>
                  <c:y val="-1.85553346587144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33C-46EB-BBF0-9C9C755C7C08}"/>
                </c:ext>
              </c:extLst>
            </c:dLbl>
            <c:dLbl>
              <c:idx val="13"/>
              <c:layout>
                <c:manualLayout>
                  <c:x val="-9.9265632744765019E-17"/>
                  <c:y val="-1.85553346587143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33C-46EB-BBF0-9C9C755C7C08}"/>
                </c:ext>
              </c:extLst>
            </c:dLbl>
            <c:dLbl>
              <c:idx val="14"/>
              <c:layout>
                <c:manualLayout>
                  <c:x val="0"/>
                  <c:y val="-2.1206096752816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3C-46EB-BBF0-9C9C755C7C08}"/>
                </c:ext>
              </c:extLst>
            </c:dLbl>
            <c:dLbl>
              <c:idx val="15"/>
              <c:layout>
                <c:manualLayout>
                  <c:x val="2.7072758037224049E-3"/>
                  <c:y val="-2.6507620941020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3C-46EB-BBF0-9C9C755C7C08}"/>
                </c:ext>
              </c:extLst>
            </c:dLbl>
            <c:dLbl>
              <c:idx val="16"/>
              <c:layout>
                <c:manualLayout>
                  <c:x val="0"/>
                  <c:y val="-1.85553346587143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33C-46EB-BBF0-9C9C755C7C08}"/>
                </c:ext>
              </c:extLst>
            </c:dLbl>
            <c:dLbl>
              <c:idx val="17"/>
              <c:layout>
                <c:manualLayout>
                  <c:x val="0"/>
                  <c:y val="-2.12060967528164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3C-46EB-BBF0-9C9C755C7C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Weekly'!$A$5:$A$22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Weekly'!$I$5:$I$22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FDC-45FB-8067-3D03B82E8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64143168"/>
        <c:axId val="764141200"/>
      </c:barChart>
      <c:lineChart>
        <c:grouping val="stacked"/>
        <c:varyColors val="0"/>
        <c:ser>
          <c:idx val="3"/>
          <c:order val="3"/>
          <c:tx>
            <c:strRef>
              <c:f>'Summary Weekly'!$E$3</c:f>
              <c:strCache>
                <c:ptCount val="1"/>
                <c:pt idx="0">
                  <c:v>Wo</c:v>
                </c:pt>
              </c:strCache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6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5308019238711912E-2"/>
                  <c:y val="-2.3856858846918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FDC-45FB-8067-3D03B82E84A5}"/>
                </c:ext>
              </c:extLst>
            </c:dLbl>
            <c:dLbl>
              <c:idx val="1"/>
              <c:layout>
                <c:manualLayout>
                  <c:x val="-2.6640026640026664E-2"/>
                  <c:y val="-1.5904572564612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FDC-45FB-8067-3D03B82E84A5}"/>
                </c:ext>
              </c:extLst>
            </c:dLbl>
            <c:dLbl>
              <c:idx val="2"/>
              <c:layout>
                <c:manualLayout>
                  <c:x val="-2.7972027972027996E-2"/>
                  <c:y val="2.9158383035122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FDC-45FB-8067-3D03B82E84A5}"/>
                </c:ext>
              </c:extLst>
            </c:dLbl>
            <c:dLbl>
              <c:idx val="3"/>
              <c:layout>
                <c:manualLayout>
                  <c:x val="-2.3976023976024E-2"/>
                  <c:y val="-3.1809145129224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FDC-45FB-8067-3D03B82E84A5}"/>
                </c:ext>
              </c:extLst>
            </c:dLbl>
            <c:dLbl>
              <c:idx val="4"/>
              <c:layout>
                <c:manualLayout>
                  <c:x val="-2.3954381336850711E-2"/>
                  <c:y val="-5.036447978793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FDC-45FB-8067-3D03B82E84A5}"/>
                </c:ext>
              </c:extLst>
            </c:dLbl>
            <c:dLbl>
              <c:idx val="5"/>
              <c:layout>
                <c:manualLayout>
                  <c:x val="-2.5308025308025357E-2"/>
                  <c:y val="-3.1809145129224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FDC-45FB-8067-3D03B82E84A5}"/>
                </c:ext>
              </c:extLst>
            </c:dLbl>
            <c:dLbl>
              <c:idx val="6"/>
              <c:layout>
                <c:manualLayout>
                  <c:x val="-2.9304029304029353E-2"/>
                  <c:y val="2.9158383035122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FDC-45FB-8067-3D03B82E84A5}"/>
                </c:ext>
              </c:extLst>
            </c:dLbl>
            <c:dLbl>
              <c:idx val="7"/>
              <c:layout>
                <c:manualLayout>
                  <c:x val="-2.5308019238711961E-2"/>
                  <c:y val="-2.6507620941020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FDC-45FB-8067-3D03B82E84A5}"/>
                </c:ext>
              </c:extLst>
            </c:dLbl>
            <c:dLbl>
              <c:idx val="8"/>
              <c:layout>
                <c:manualLayout>
                  <c:x val="-2.2665654102881811E-2"/>
                  <c:y val="-2.9158383035122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FDC-45FB-8067-3D03B82E84A5}"/>
                </c:ext>
              </c:extLst>
            </c:dLbl>
            <c:dLbl>
              <c:idx val="9"/>
              <c:layout>
                <c:manualLayout>
                  <c:x val="-2.2492558988502071E-2"/>
                  <c:y val="-2.1206096752816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FDC-45FB-8067-3D03B82E84A5}"/>
                </c:ext>
              </c:extLst>
            </c:dLbl>
            <c:dLbl>
              <c:idx val="10"/>
              <c:layout>
                <c:manualLayout>
                  <c:x val="-2.664002664002664E-2"/>
                  <c:y val="-2.6507620941020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FDC-45FB-8067-3D03B82E84A5}"/>
                </c:ext>
              </c:extLst>
            </c:dLbl>
            <c:dLbl>
              <c:idx val="11"/>
              <c:layout>
                <c:manualLayout>
                  <c:x val="-3.0852392181941822E-2"/>
                  <c:y val="-2.6507620941020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FDC-45FB-8067-3D03B82E84A5}"/>
                </c:ext>
              </c:extLst>
            </c:dLbl>
            <c:dLbl>
              <c:idx val="12"/>
              <c:layout>
                <c:manualLayout>
                  <c:x val="-2.3997655115445694E-2"/>
                  <c:y val="-5.30152418820410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FDC-45FB-8067-3D03B82E84A5}"/>
                </c:ext>
              </c:extLst>
            </c:dLbl>
            <c:dLbl>
              <c:idx val="13"/>
              <c:layout>
                <c:manualLayout>
                  <c:x val="-2.5308019238712013E-2"/>
                  <c:y val="-2.3856858846918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FDC-45FB-8067-3D03B82E84A5}"/>
                </c:ext>
              </c:extLst>
            </c:dLbl>
            <c:dLbl>
              <c:idx val="14"/>
              <c:layout>
                <c:manualLayout>
                  <c:x val="-2.6661657140573166E-2"/>
                  <c:y val="-3.44599072233267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FDC-45FB-8067-3D03B82E84A5}"/>
                </c:ext>
              </c:extLst>
            </c:dLbl>
            <c:dLbl>
              <c:idx val="15"/>
              <c:layout>
                <c:manualLayout>
                  <c:x val="-2.3867833779660692E-2"/>
                  <c:y val="-2.6507620941020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FDC-45FB-8067-3D03B82E84A5}"/>
                </c:ext>
              </c:extLst>
            </c:dLbl>
            <c:dLbl>
              <c:idx val="16"/>
              <c:layout>
                <c:manualLayout>
                  <c:x val="-2.5308025308025308E-2"/>
                  <c:y val="-3.9761431411530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FDC-45FB-8067-3D03B82E84A5}"/>
                </c:ext>
              </c:extLst>
            </c:dLbl>
            <c:dLbl>
              <c:idx val="17"/>
              <c:layout>
                <c:manualLayout>
                  <c:x val="-2.1312021312021312E-2"/>
                  <c:y val="-3.1809145129224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FDC-45FB-8067-3D03B82E84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Weekly'!$A$5:$A$22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Weekly'!$E$5:$E$22</c:f>
              <c:numCache>
                <c:formatCode>0.0</c:formatCode>
                <c:ptCount val="18"/>
                <c:pt idx="0">
                  <c:v>20</c:v>
                </c:pt>
                <c:pt idx="1">
                  <c:v>17</c:v>
                </c:pt>
                <c:pt idx="2">
                  <c:v>23</c:v>
                </c:pt>
                <c:pt idx="3">
                  <c:v>19</c:v>
                </c:pt>
                <c:pt idx="4">
                  <c:v>12</c:v>
                </c:pt>
                <c:pt idx="5">
                  <c:v>39</c:v>
                </c:pt>
                <c:pt idx="6">
                  <c:v>26</c:v>
                </c:pt>
                <c:pt idx="7">
                  <c:v>22</c:v>
                </c:pt>
                <c:pt idx="8">
                  <c:v>21</c:v>
                </c:pt>
                <c:pt idx="9">
                  <c:v>25</c:v>
                </c:pt>
                <c:pt idx="10">
                  <c:v>14</c:v>
                </c:pt>
                <c:pt idx="11">
                  <c:v>23</c:v>
                </c:pt>
                <c:pt idx="12">
                  <c:v>14</c:v>
                </c:pt>
                <c:pt idx="13">
                  <c:v>34</c:v>
                </c:pt>
                <c:pt idx="14">
                  <c:v>25</c:v>
                </c:pt>
                <c:pt idx="15">
                  <c:v>30</c:v>
                </c:pt>
                <c:pt idx="16">
                  <c:v>11</c:v>
                </c:pt>
                <c:pt idx="1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FDC-45FB-8067-3D03B82E8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836152"/>
        <c:axId val="745837464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'Summary Weekly'!$J$3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349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dLbl>
                    <c:idx val="0"/>
                    <c:layout>
                      <c:manualLayout>
                        <c:x val="0"/>
                        <c:y val="-0.22531477799867461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9-BFDC-45FB-8067-3D03B82E84A5}"/>
                      </c:ext>
                    </c:extLst>
                  </c:dLbl>
                  <c:dLbl>
                    <c:idx val="1"/>
                    <c:layout>
                      <c:manualLayout>
                        <c:x val="1.3320013320013075E-3"/>
                        <c:y val="-0.1033797216699801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A-BFDC-45FB-8067-3D03B82E84A5}"/>
                      </c:ext>
                    </c:extLst>
                  </c:dLbl>
                  <c:dLbl>
                    <c:idx val="2"/>
                    <c:layout>
                      <c:manualLayout>
                        <c:x val="-2.441974232107731E-17"/>
                        <c:y val="-0.1457919151756129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B-BFDC-45FB-8067-3D03B82E84A5}"/>
                      </c:ext>
                    </c:extLst>
                  </c:dLbl>
                  <c:dLbl>
                    <c:idx val="3"/>
                    <c:layout>
                      <c:manualLayout>
                        <c:x val="-1.332001332001332E-3"/>
                        <c:y val="-0.1669980119284294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C-BFDC-45FB-8067-3D03B82E84A5}"/>
                      </c:ext>
                    </c:extLst>
                  </c:dLbl>
                  <c:dLbl>
                    <c:idx val="4"/>
                    <c:layout>
                      <c:manualLayout>
                        <c:x val="0"/>
                        <c:y val="-0.1325381047051027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D-BFDC-45FB-8067-3D03B82E84A5}"/>
                      </c:ext>
                    </c:extLst>
                  </c:dLbl>
                  <c:dLbl>
                    <c:idx val="5"/>
                    <c:layout>
                      <c:manualLayout>
                        <c:x val="3.996003996003996E-3"/>
                        <c:y val="-0.1113320079522862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E-BFDC-45FB-8067-3D03B82E84A5}"/>
                      </c:ext>
                    </c:extLst>
                  </c:dLbl>
                  <c:dLbl>
                    <c:idx val="6"/>
                    <c:layout>
                      <c:manualLayout>
                        <c:x val="1.3320013320012832E-3"/>
                        <c:y val="-0.16434724983432736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F-BFDC-45FB-8067-3D03B82E84A5}"/>
                      </c:ext>
                    </c:extLst>
                  </c:dLbl>
                  <c:dLbl>
                    <c:idx val="7"/>
                    <c:layout>
                      <c:manualLayout>
                        <c:x val="0"/>
                        <c:y val="-6.09675281643472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0-BFDC-45FB-8067-3D03B82E84A5}"/>
                      </c:ext>
                    </c:extLst>
                  </c:dLbl>
                  <c:dLbl>
                    <c:idx val="8"/>
                    <c:layout>
                      <c:manualLayout>
                        <c:x val="-9.7678969284309239E-17"/>
                        <c:y val="-0.18290258449304178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1-BFDC-45FB-8067-3D03B82E84A5}"/>
                      </c:ext>
                    </c:extLst>
                  </c:dLbl>
                  <c:dLbl>
                    <c:idx val="9"/>
                    <c:layout>
                      <c:manualLayout>
                        <c:x val="2.6640026640025664E-3"/>
                        <c:y val="-0.19085487077534791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2-BFDC-45FB-8067-3D03B82E84A5}"/>
                      </c:ext>
                    </c:extLst>
                  </c:dLbl>
                  <c:dLbl>
                    <c:idx val="10"/>
                    <c:layout>
                      <c:manualLayout>
                        <c:x val="-1.332001332001332E-3"/>
                        <c:y val="-0.1325381047051027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3-BFDC-45FB-8067-3D03B82E84A5}"/>
                      </c:ext>
                    </c:extLst>
                  </c:dLbl>
                  <c:dLbl>
                    <c:idx val="11"/>
                    <c:layout>
                      <c:manualLayout>
                        <c:x val="-9.7678969284309239E-17"/>
                        <c:y val="-0.18820410868124585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4-BFDC-45FB-8067-3D03B82E84A5}"/>
                      </c:ext>
                    </c:extLst>
                  </c:dLbl>
                  <c:dLbl>
                    <c:idx val="12"/>
                    <c:layout>
                      <c:manualLayout>
                        <c:x val="-9.7678969284309239E-17"/>
                        <c:y val="-0.18290258449304178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5-BFDC-45FB-8067-3D03B82E84A5}"/>
                      </c:ext>
                    </c:extLst>
                  </c:dLbl>
                  <c:dLbl>
                    <c:idx val="13"/>
                    <c:layout>
                      <c:manualLayout>
                        <c:x val="-9.7678969284309239E-17"/>
                        <c:y val="-6.626905235255135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6-BFDC-45FB-8067-3D03B82E84A5}"/>
                      </c:ext>
                    </c:extLst>
                  </c:dLbl>
                  <c:dLbl>
                    <c:idx val="14"/>
                    <c:layout>
                      <c:manualLayout>
                        <c:x val="-9.7678969284309239E-17"/>
                        <c:y val="-5.566600397614314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7-BFDC-45FB-8067-3D03B82E84A5}"/>
                      </c:ext>
                    </c:extLst>
                  </c:dLbl>
                  <c:dLbl>
                    <c:idx val="15"/>
                    <c:layout>
                      <c:manualLayout>
                        <c:x val="-9.7678969284309239E-17"/>
                        <c:y val="-0.1802518223989396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8-BFDC-45FB-8067-3D03B82E84A5}"/>
                      </c:ext>
                    </c:extLst>
                  </c:dLbl>
                  <c:dLbl>
                    <c:idx val="16"/>
                    <c:layout>
                      <c:manualLayout>
                        <c:x val="0"/>
                        <c:y val="-0.18555334658714381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9-BFDC-45FB-8067-3D03B82E84A5}"/>
                      </c:ext>
                    </c:extLst>
                  </c:dLbl>
                  <c:dLbl>
                    <c:idx val="17"/>
                    <c:layout>
                      <c:manualLayout>
                        <c:x val="0"/>
                        <c:y val="-8.7475149105367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A-BFDC-45FB-8067-3D03B82E84A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'Summary Weekly'!$A$5:$A$22</c15:sqref>
                        </c15:formulaRef>
                      </c:ext>
                    </c:extLst>
                    <c:strCache>
                      <c:ptCount val="18"/>
                      <c:pt idx="0">
                        <c:v>PAC006</c:v>
                      </c:pt>
                      <c:pt idx="1">
                        <c:v>PAC009</c:v>
                      </c:pt>
                      <c:pt idx="2">
                        <c:v>PAC010</c:v>
                      </c:pt>
                      <c:pt idx="3">
                        <c:v>PAC011</c:v>
                      </c:pt>
                      <c:pt idx="4">
                        <c:v>PAC012</c:v>
                      </c:pt>
                      <c:pt idx="5">
                        <c:v>PAC013</c:v>
                      </c:pt>
                      <c:pt idx="6">
                        <c:v>PAC014</c:v>
                      </c:pt>
                      <c:pt idx="7">
                        <c:v>PAC015</c:v>
                      </c:pt>
                      <c:pt idx="8">
                        <c:v>PRO006</c:v>
                      </c:pt>
                      <c:pt idx="9">
                        <c:v>PRO007</c:v>
                      </c:pt>
                      <c:pt idx="10">
                        <c:v>PRO009</c:v>
                      </c:pt>
                      <c:pt idx="11">
                        <c:v>PRO011</c:v>
                      </c:pt>
                      <c:pt idx="12">
                        <c:v>PRO013</c:v>
                      </c:pt>
                      <c:pt idx="13">
                        <c:v>PRO014</c:v>
                      </c:pt>
                      <c:pt idx="14">
                        <c:v>PRO015</c:v>
                      </c:pt>
                      <c:pt idx="15">
                        <c:v>PRO016</c:v>
                      </c:pt>
                      <c:pt idx="16">
                        <c:v>PRO019</c:v>
                      </c:pt>
                      <c:pt idx="17">
                        <c:v>UTI007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'Summary Weekly'!$J$5:$J$22</c15:sqref>
                        </c15:formulaRef>
                      </c:ext>
                    </c:extLst>
                    <c:numCache>
                      <c:formatCode>0.0%</c:formatCode>
                      <c:ptCount val="18"/>
                      <c:pt idx="0">
                        <c:v>0.83974025974025968</c:v>
                      </c:pt>
                      <c:pt idx="1">
                        <c:v>0.3968253968253968</c:v>
                      </c:pt>
                      <c:pt idx="2">
                        <c:v>0.43190082644628092</c:v>
                      </c:pt>
                      <c:pt idx="3">
                        <c:v>0.35338709677419355</c:v>
                      </c:pt>
                      <c:pt idx="4">
                        <c:v>0.51142857142857134</c:v>
                      </c:pt>
                      <c:pt idx="5">
                        <c:v>1.0152166666666667</c:v>
                      </c:pt>
                      <c:pt idx="6">
                        <c:v>1.0339619047619046</c:v>
                      </c:pt>
                      <c:pt idx="7">
                        <c:v>0.54823684210526313</c:v>
                      </c:pt>
                      <c:pt idx="8">
                        <c:v>0.77078651685393262</c:v>
                      </c:pt>
                      <c:pt idx="9">
                        <c:v>0.31194029850746269</c:v>
                      </c:pt>
                      <c:pt idx="10">
                        <c:v>0.91666666666666663</c:v>
                      </c:pt>
                      <c:pt idx="11">
                        <c:v>0.42000000000000004</c:v>
                      </c:pt>
                      <c:pt idx="12">
                        <c:v>0.36114285714285715</c:v>
                      </c:pt>
                      <c:pt idx="13">
                        <c:v>0.48439393939393938</c:v>
                      </c:pt>
                      <c:pt idx="14">
                        <c:v>0.35753846153846158</c:v>
                      </c:pt>
                      <c:pt idx="15">
                        <c:v>0.77759036144578308</c:v>
                      </c:pt>
                      <c:pt idx="16">
                        <c:v>0.37555555555555553</c:v>
                      </c:pt>
                      <c:pt idx="17">
                        <c:v>0.65642857142857147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B-BFDC-45FB-8067-3D03B82E84A5}"/>
                  </c:ext>
                </c:extLst>
              </c15:ser>
            </c15:filteredLineSeries>
          </c:ext>
        </c:extLst>
      </c:lineChart>
      <c:valAx>
        <c:axId val="764141200"/>
        <c:scaling>
          <c:orientation val="minMax"/>
          <c:max val="1.4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2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745837464"/>
        <c:scaling>
          <c:orientation val="minMax"/>
          <c:max val="20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36152"/>
        <c:crosses val="max"/>
        <c:crossBetween val="between"/>
        <c:majorUnit val="50"/>
      </c:valAx>
      <c:catAx>
        <c:axId val="74583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5837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428130924193911"/>
          <c:y val="0.93936350401527846"/>
          <c:w val="0.49406142414016441"/>
          <c:h val="4.4731923420109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644514435695537E-2"/>
          <c:y val="7.000662690523525E-2"/>
          <c:w val="0.88225102362204721"/>
          <c:h val="0.800017323878252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Weekly (2)'!$H$3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3536379018612645E-3"/>
                  <c:y val="3.1809145129224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E4-480E-98B1-624C2BA41DFD}"/>
                </c:ext>
              </c:extLst>
            </c:dLbl>
            <c:dLbl>
              <c:idx val="1"/>
              <c:layout>
                <c:manualLayout>
                  <c:x val="-2.4444162063398386E-17"/>
                  <c:y val="3.1809145129224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E4-480E-98B1-624C2BA41DFD}"/>
                </c:ext>
              </c:extLst>
            </c:dLbl>
            <c:dLbl>
              <c:idx val="2"/>
              <c:layout>
                <c:manualLayout>
                  <c:x val="1.3333333333333088E-3"/>
                  <c:y val="1.5904572564612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9AE4-480E-98B1-624C2BA41DFD}"/>
                </c:ext>
              </c:extLst>
            </c:dLbl>
            <c:dLbl>
              <c:idx val="3"/>
              <c:layout>
                <c:manualLayout>
                  <c:x val="-2.4444162063398386E-17"/>
                  <c:y val="3.9761431411530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9AE4-480E-98B1-624C2BA41DFD}"/>
                </c:ext>
              </c:extLst>
            </c:dLbl>
            <c:dLbl>
              <c:idx val="4"/>
              <c:layout>
                <c:manualLayout>
                  <c:x val="-4.963281637238251E-17"/>
                  <c:y val="4.771371769383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E4-480E-98B1-624C2BA41DFD}"/>
                </c:ext>
              </c:extLst>
            </c:dLbl>
            <c:dLbl>
              <c:idx val="5"/>
              <c:layout>
                <c:manualLayout>
                  <c:x val="0"/>
                  <c:y val="1.5904572564612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9AE4-480E-98B1-624C2BA41DFD}"/>
                </c:ext>
              </c:extLst>
            </c:dLbl>
            <c:dLbl>
              <c:idx val="6"/>
              <c:layout>
                <c:manualLayout>
                  <c:x val="0"/>
                  <c:y val="2.385685884691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E4-480E-98B1-624C2BA41DFD}"/>
                </c:ext>
              </c:extLst>
            </c:dLbl>
            <c:dLbl>
              <c:idx val="8"/>
              <c:layout>
                <c:manualLayout>
                  <c:x val="1.3333333333332355E-3"/>
                  <c:y val="5.30152418820410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E4-480E-98B1-624C2BA41DFD}"/>
                </c:ext>
              </c:extLst>
            </c:dLbl>
            <c:dLbl>
              <c:idx val="10"/>
              <c:layout>
                <c:manualLayout>
                  <c:x val="0"/>
                  <c:y val="1.5904572564612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E4-480E-98B1-624C2BA41DFD}"/>
                </c:ext>
              </c:extLst>
            </c:dLbl>
            <c:dLbl>
              <c:idx val="12"/>
              <c:layout>
                <c:manualLayout>
                  <c:x val="-2.7072758037226035E-3"/>
                  <c:y val="2.65076209410203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E4-480E-98B1-624C2BA41DFD}"/>
                </c:ext>
              </c:extLst>
            </c:dLbl>
            <c:dLbl>
              <c:idx val="13"/>
              <c:layout>
                <c:manualLayout>
                  <c:x val="-1.332001332001332E-3"/>
                  <c:y val="2.91583830351224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E4-480E-98B1-624C2BA41DFD}"/>
                </c:ext>
              </c:extLst>
            </c:dLbl>
            <c:dLbl>
              <c:idx val="14"/>
              <c:layout>
                <c:manualLayout>
                  <c:x val="1.3333333333332355E-3"/>
                  <c:y val="2.9158383035122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E4-480E-98B1-624C2BA41DFD}"/>
                </c:ext>
              </c:extLst>
            </c:dLbl>
            <c:dLbl>
              <c:idx val="15"/>
              <c:layout>
                <c:manualLayout>
                  <c:x val="-2.7275590551182078E-3"/>
                  <c:y val="1.5904572564612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E4-480E-98B1-624C2BA41DFD}"/>
                </c:ext>
              </c:extLst>
            </c:dLbl>
            <c:dLbl>
              <c:idx val="16"/>
              <c:layout>
                <c:manualLayout>
                  <c:x val="0"/>
                  <c:y val="2.12060967528163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E4-480E-98B1-624C2BA41DFD}"/>
                </c:ext>
              </c:extLst>
            </c:dLbl>
            <c:dLbl>
              <c:idx val="17"/>
              <c:layout>
                <c:manualLayout>
                  <c:x val="0"/>
                  <c:y val="1.5904572564612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9AE4-480E-98B1-624C2BA41D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Weekly (2)'!$A$4:$A$21</c:f>
              <c:strCache>
                <c:ptCount val="18"/>
                <c:pt idx="0">
                  <c:v>PAC014</c:v>
                </c:pt>
                <c:pt idx="1">
                  <c:v>PAC013</c:v>
                </c:pt>
                <c:pt idx="2">
                  <c:v>PRO009</c:v>
                </c:pt>
                <c:pt idx="3">
                  <c:v>PAC006</c:v>
                </c:pt>
                <c:pt idx="4">
                  <c:v>PRO016</c:v>
                </c:pt>
                <c:pt idx="5">
                  <c:v>PRO006</c:v>
                </c:pt>
                <c:pt idx="6">
                  <c:v>UTI007</c:v>
                </c:pt>
                <c:pt idx="7">
                  <c:v>PAC015</c:v>
                </c:pt>
                <c:pt idx="8">
                  <c:v>PRO014</c:v>
                </c:pt>
                <c:pt idx="9">
                  <c:v>PAC012</c:v>
                </c:pt>
                <c:pt idx="10">
                  <c:v>PAC010</c:v>
                </c:pt>
                <c:pt idx="11">
                  <c:v>PRO011</c:v>
                </c:pt>
                <c:pt idx="12">
                  <c:v>PAC009</c:v>
                </c:pt>
                <c:pt idx="13">
                  <c:v>PRO019</c:v>
                </c:pt>
                <c:pt idx="14">
                  <c:v>PRO013</c:v>
                </c:pt>
                <c:pt idx="15">
                  <c:v>PRO015</c:v>
                </c:pt>
                <c:pt idx="16">
                  <c:v>PAC011</c:v>
                </c:pt>
                <c:pt idx="17">
                  <c:v>PRO007</c:v>
                </c:pt>
              </c:strCache>
            </c:strRef>
          </c:cat>
          <c:val>
            <c:numRef>
              <c:f>'Summary Weekly (2)'!$H$4:$H$21</c:f>
              <c:numCache>
                <c:formatCode>0.0%</c:formatCode>
                <c:ptCount val="18"/>
                <c:pt idx="0">
                  <c:v>0.21333333333333332</c:v>
                </c:pt>
                <c:pt idx="1">
                  <c:v>0.23471666666666666</c:v>
                </c:pt>
                <c:pt idx="2">
                  <c:v>0.15833333333333333</c:v>
                </c:pt>
                <c:pt idx="3">
                  <c:v>0.29428571428571426</c:v>
                </c:pt>
                <c:pt idx="4">
                  <c:v>0.3253012048192771</c:v>
                </c:pt>
                <c:pt idx="5">
                  <c:v>0.2314606741573034</c:v>
                </c:pt>
                <c:pt idx="6">
                  <c:v>0.19833333333333333</c:v>
                </c:pt>
                <c:pt idx="7">
                  <c:v>7.455263157894737E-2</c:v>
                </c:pt>
                <c:pt idx="8">
                  <c:v>0.13378787878787879</c:v>
                </c:pt>
                <c:pt idx="9">
                  <c:v>0.24</c:v>
                </c:pt>
                <c:pt idx="10">
                  <c:v>8.7603305785123958E-2</c:v>
                </c:pt>
                <c:pt idx="11">
                  <c:v>0.19008264462809918</c:v>
                </c:pt>
                <c:pt idx="12">
                  <c:v>0.17460317460317459</c:v>
                </c:pt>
                <c:pt idx="13">
                  <c:v>0.13111111111111112</c:v>
                </c:pt>
                <c:pt idx="14">
                  <c:v>0.17447619047619048</c:v>
                </c:pt>
                <c:pt idx="15">
                  <c:v>0.14092307692307693</c:v>
                </c:pt>
                <c:pt idx="16">
                  <c:v>0.11951612903225807</c:v>
                </c:pt>
                <c:pt idx="17">
                  <c:v>8.0597014925373134E-2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E4-480E-98B1-624C2BA41DFD}"/>
            </c:ext>
          </c:extLst>
        </c:ser>
        <c:ser>
          <c:idx val="1"/>
          <c:order val="1"/>
          <c:tx>
            <c:strRef>
              <c:f>'Summary Weekly (2)'!$I$3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332001332001332E-3"/>
                  <c:y val="2.65076209410204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E4-480E-98B1-624C2BA41DFD}"/>
                </c:ext>
              </c:extLst>
            </c:dLbl>
            <c:dLbl>
              <c:idx val="1"/>
              <c:layout>
                <c:manualLayout>
                  <c:x val="-1.3320010125637848E-3"/>
                  <c:y val="2.12060967528163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E4-480E-98B1-624C2BA41DFD}"/>
                </c:ext>
              </c:extLst>
            </c:dLbl>
            <c:dLbl>
              <c:idx val="2"/>
              <c:layout>
                <c:manualLayout>
                  <c:x val="-2.441974232107731E-17"/>
                  <c:y val="2.9158383035122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E4-480E-98B1-624C2BA41DFD}"/>
                </c:ext>
              </c:extLst>
            </c:dLbl>
            <c:dLbl>
              <c:idx val="3"/>
              <c:layout>
                <c:manualLayout>
                  <c:x val="0"/>
                  <c:y val="1.060304837640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AE4-480E-98B1-624C2BA41DFD}"/>
                </c:ext>
              </c:extLst>
            </c:dLbl>
            <c:dLbl>
              <c:idx val="4"/>
              <c:layout>
                <c:manualLayout>
                  <c:x val="-1.332001332001332E-3"/>
                  <c:y val="5.036447978793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AE4-480E-98B1-624C2BA41DFD}"/>
                </c:ext>
              </c:extLst>
            </c:dLbl>
            <c:dLbl>
              <c:idx val="5"/>
              <c:layout>
                <c:manualLayout>
                  <c:x val="-2.664002664002664E-3"/>
                  <c:y val="6.36182902584492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AE4-480E-98B1-624C2BA41DFD}"/>
                </c:ext>
              </c:extLst>
            </c:dLbl>
            <c:dLbl>
              <c:idx val="6"/>
              <c:layout>
                <c:manualLayout>
                  <c:x val="-4.883948464215462E-17"/>
                  <c:y val="2.9158383035122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AE4-480E-98B1-624C2BA41DFD}"/>
                </c:ext>
              </c:extLst>
            </c:dLbl>
            <c:dLbl>
              <c:idx val="7"/>
              <c:layout>
                <c:manualLayout>
                  <c:x val="0"/>
                  <c:y val="7.95228628230616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AE4-480E-98B1-624C2BA41DFD}"/>
                </c:ext>
              </c:extLst>
            </c:dLbl>
            <c:dLbl>
              <c:idx val="8"/>
              <c:layout>
                <c:manualLayout>
                  <c:x val="-9.7678969284309239E-17"/>
                  <c:y val="7.95228628230616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AE4-480E-98B1-624C2BA41DFD}"/>
                </c:ext>
              </c:extLst>
            </c:dLbl>
            <c:dLbl>
              <c:idx val="9"/>
              <c:layout>
                <c:manualLayout>
                  <c:x val="-2.6423651358301026E-3"/>
                  <c:y val="4.771371769383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AE4-480E-98B1-624C2BA41DFD}"/>
                </c:ext>
              </c:extLst>
            </c:dLbl>
            <c:dLbl>
              <c:idx val="10"/>
              <c:layout>
                <c:manualLayout>
                  <c:x val="0"/>
                  <c:y val="4.7713717693836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AE4-480E-98B1-624C2BA41DFD}"/>
                </c:ext>
              </c:extLst>
            </c:dLbl>
            <c:dLbl>
              <c:idx val="11"/>
              <c:layout>
                <c:manualLayout>
                  <c:x val="-9.9265632744765019E-17"/>
                  <c:y val="1.32538104705102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AE4-480E-98B1-624C2BA41DFD}"/>
                </c:ext>
              </c:extLst>
            </c:dLbl>
            <c:dLbl>
              <c:idx val="12"/>
              <c:layout>
                <c:manualLayout>
                  <c:x val="6.4910667892401772E-5"/>
                  <c:y val="4.241219350563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AE4-480E-98B1-624C2BA41DFD}"/>
                </c:ext>
              </c:extLst>
            </c:dLbl>
            <c:dLbl>
              <c:idx val="13"/>
              <c:layout>
                <c:manualLayout>
                  <c:x val="-5.3280040502552391E-3"/>
                  <c:y val="8.74751491053677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AE4-480E-98B1-624C2BA41DFD}"/>
                </c:ext>
              </c:extLst>
            </c:dLbl>
            <c:dLbl>
              <c:idx val="14"/>
              <c:layout>
                <c:manualLayout>
                  <c:x val="1.2927034120733931E-3"/>
                  <c:y val="7.6872100728959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AE4-480E-98B1-624C2BA41DFD}"/>
                </c:ext>
              </c:extLst>
            </c:dLbl>
            <c:dLbl>
              <c:idx val="17"/>
              <c:layout>
                <c:manualLayout>
                  <c:x val="2.6653018372703413E-3"/>
                  <c:y val="6.626905235255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AE4-480E-98B1-624C2BA41D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Weekly (2)'!$A$4:$A$21</c:f>
              <c:strCache>
                <c:ptCount val="18"/>
                <c:pt idx="0">
                  <c:v>PAC014</c:v>
                </c:pt>
                <c:pt idx="1">
                  <c:v>PAC013</c:v>
                </c:pt>
                <c:pt idx="2">
                  <c:v>PRO009</c:v>
                </c:pt>
                <c:pt idx="3">
                  <c:v>PAC006</c:v>
                </c:pt>
                <c:pt idx="4">
                  <c:v>PRO016</c:v>
                </c:pt>
                <c:pt idx="5">
                  <c:v>PRO006</c:v>
                </c:pt>
                <c:pt idx="6">
                  <c:v>UTI007</c:v>
                </c:pt>
                <c:pt idx="7">
                  <c:v>PAC015</c:v>
                </c:pt>
                <c:pt idx="8">
                  <c:v>PRO014</c:v>
                </c:pt>
                <c:pt idx="9">
                  <c:v>PAC012</c:v>
                </c:pt>
                <c:pt idx="10">
                  <c:v>PAC010</c:v>
                </c:pt>
                <c:pt idx="11">
                  <c:v>PRO011</c:v>
                </c:pt>
                <c:pt idx="12">
                  <c:v>PAC009</c:v>
                </c:pt>
                <c:pt idx="13">
                  <c:v>PRO019</c:v>
                </c:pt>
                <c:pt idx="14">
                  <c:v>PRO013</c:v>
                </c:pt>
                <c:pt idx="15">
                  <c:v>PRO015</c:v>
                </c:pt>
                <c:pt idx="16">
                  <c:v>PAC011</c:v>
                </c:pt>
                <c:pt idx="17">
                  <c:v>PRO007</c:v>
                </c:pt>
              </c:strCache>
            </c:strRef>
          </c:cat>
          <c:val>
            <c:numRef>
              <c:f>'Summary Weekly (2)'!$I$4:$I$21</c:f>
              <c:numCache>
                <c:formatCode>0.0%</c:formatCode>
                <c:ptCount val="18"/>
                <c:pt idx="0">
                  <c:v>0.82062857142857137</c:v>
                </c:pt>
                <c:pt idx="1">
                  <c:v>0.78049999999999997</c:v>
                </c:pt>
                <c:pt idx="2">
                  <c:v>0.7583333333333333</c:v>
                </c:pt>
                <c:pt idx="3">
                  <c:v>0.54545454545454541</c:v>
                </c:pt>
                <c:pt idx="4">
                  <c:v>0.45228915662650604</c:v>
                </c:pt>
                <c:pt idx="5">
                  <c:v>0.5393258426966292</c:v>
                </c:pt>
                <c:pt idx="6">
                  <c:v>0.45809523809523817</c:v>
                </c:pt>
                <c:pt idx="7">
                  <c:v>0.47368421052631576</c:v>
                </c:pt>
                <c:pt idx="8">
                  <c:v>0.40909090909090912</c:v>
                </c:pt>
                <c:pt idx="9">
                  <c:v>0.27142857142857141</c:v>
                </c:pt>
                <c:pt idx="10">
                  <c:v>0.34429752066115699</c:v>
                </c:pt>
                <c:pt idx="11">
                  <c:v>0.22991735537190083</c:v>
                </c:pt>
                <c:pt idx="12">
                  <c:v>0.22222222222222221</c:v>
                </c:pt>
                <c:pt idx="13">
                  <c:v>0.24444444444444444</c:v>
                </c:pt>
                <c:pt idx="14">
                  <c:v>0.18666666666666668</c:v>
                </c:pt>
                <c:pt idx="15">
                  <c:v>0.21661538461538463</c:v>
                </c:pt>
                <c:pt idx="16">
                  <c:v>0.23387096774193547</c:v>
                </c:pt>
                <c:pt idx="17">
                  <c:v>0.23134328358208955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AE4-480E-98B1-624C2BA41DFD}"/>
            </c:ext>
          </c:extLst>
        </c:ser>
        <c:ser>
          <c:idx val="2"/>
          <c:order val="2"/>
          <c:tx>
            <c:strRef>
              <c:f>'Summary Weekly (2)'!$J$3</c:f>
              <c:strCache>
                <c:ptCount val="1"/>
                <c:pt idx="0">
                  <c:v>%RCA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3536379018612521E-3"/>
                  <c:y val="-2.6507620941020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AE4-480E-98B1-624C2BA41DFD}"/>
                </c:ext>
              </c:extLst>
            </c:dLbl>
            <c:dLbl>
              <c:idx val="1"/>
              <c:layout>
                <c:manualLayout>
                  <c:x val="0"/>
                  <c:y val="-2.3856858846918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AE4-480E-98B1-624C2BA41DFD}"/>
                </c:ext>
              </c:extLst>
            </c:dLbl>
            <c:dLbl>
              <c:idx val="2"/>
              <c:layout>
                <c:manualLayout>
                  <c:x val="-2.4816408186191255E-17"/>
                  <c:y val="-2.3856858846918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AE4-480E-98B1-624C2BA41DFD}"/>
                </c:ext>
              </c:extLst>
            </c:dLbl>
            <c:dLbl>
              <c:idx val="3"/>
              <c:layout>
                <c:manualLayout>
                  <c:x val="2.664002664002664E-3"/>
                  <c:y val="-2.3856858846918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AE4-480E-98B1-624C2BA41DFD}"/>
                </c:ext>
              </c:extLst>
            </c:dLbl>
            <c:dLbl>
              <c:idx val="4"/>
              <c:layout>
                <c:manualLayout>
                  <c:x val="-4.963281637238251E-17"/>
                  <c:y val="-2.9158383035122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AE4-480E-98B1-624C2BA41DFD}"/>
                </c:ext>
              </c:extLst>
            </c:dLbl>
            <c:dLbl>
              <c:idx val="5"/>
              <c:layout>
                <c:manualLayout>
                  <c:x val="-1.3536379018612521E-3"/>
                  <c:y val="-2.91583830351226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AE4-480E-98B1-624C2BA41DFD}"/>
                </c:ext>
              </c:extLst>
            </c:dLbl>
            <c:dLbl>
              <c:idx val="6"/>
              <c:layout>
                <c:manualLayout>
                  <c:x val="-4.963281637238251E-17"/>
                  <c:y val="-2.1206096752816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AE4-480E-98B1-624C2BA41DFD}"/>
                </c:ext>
              </c:extLst>
            </c:dLbl>
            <c:dLbl>
              <c:idx val="7"/>
              <c:layout>
                <c:manualLayout>
                  <c:x val="1.3536379018612521E-3"/>
                  <c:y val="-2.6507620941020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AE4-480E-98B1-624C2BA41DFD}"/>
                </c:ext>
              </c:extLst>
            </c:dLbl>
            <c:dLbl>
              <c:idx val="8"/>
              <c:layout>
                <c:manualLayout>
                  <c:x val="2.7072758037225042E-3"/>
                  <c:y val="-1.5904572564612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AE4-480E-98B1-624C2BA41DFD}"/>
                </c:ext>
              </c:extLst>
            </c:dLbl>
            <c:dLbl>
              <c:idx val="9"/>
              <c:layout>
                <c:manualLayout>
                  <c:x val="1.3536379018612521E-3"/>
                  <c:y val="-2.1206096752816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AE4-480E-98B1-624C2BA41DFD}"/>
                </c:ext>
              </c:extLst>
            </c:dLbl>
            <c:dLbl>
              <c:idx val="10"/>
              <c:layout>
                <c:manualLayout>
                  <c:x val="2.7072758037225042E-3"/>
                  <c:y val="-2.6507620941020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AE4-480E-98B1-624C2BA41DFD}"/>
                </c:ext>
              </c:extLst>
            </c:dLbl>
            <c:dLbl>
              <c:idx val="11"/>
              <c:layout>
                <c:manualLayout>
                  <c:x val="0"/>
                  <c:y val="-2.3856858846918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AE4-480E-98B1-624C2BA41DFD}"/>
                </c:ext>
              </c:extLst>
            </c:dLbl>
            <c:dLbl>
              <c:idx val="12"/>
              <c:layout>
                <c:manualLayout>
                  <c:x val="-1.3536379018612521E-3"/>
                  <c:y val="-1.85553346587144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9AE4-480E-98B1-624C2BA41DFD}"/>
                </c:ext>
              </c:extLst>
            </c:dLbl>
            <c:dLbl>
              <c:idx val="13"/>
              <c:layout>
                <c:manualLayout>
                  <c:x val="-9.9265632744765019E-17"/>
                  <c:y val="-1.85553346587143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AE4-480E-98B1-624C2BA41DFD}"/>
                </c:ext>
              </c:extLst>
            </c:dLbl>
            <c:dLbl>
              <c:idx val="14"/>
              <c:layout>
                <c:manualLayout>
                  <c:x val="0"/>
                  <c:y val="-2.1206096752816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9AE4-480E-98B1-624C2BA41DFD}"/>
                </c:ext>
              </c:extLst>
            </c:dLbl>
            <c:dLbl>
              <c:idx val="15"/>
              <c:layout>
                <c:manualLayout>
                  <c:x val="2.7072758037224049E-3"/>
                  <c:y val="-2.6507620941020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9AE4-480E-98B1-624C2BA41DFD}"/>
                </c:ext>
              </c:extLst>
            </c:dLbl>
            <c:dLbl>
              <c:idx val="16"/>
              <c:layout>
                <c:manualLayout>
                  <c:x val="0"/>
                  <c:y val="-1.85553346587143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9AE4-480E-98B1-624C2BA41DFD}"/>
                </c:ext>
              </c:extLst>
            </c:dLbl>
            <c:dLbl>
              <c:idx val="17"/>
              <c:layout>
                <c:manualLayout>
                  <c:x val="0"/>
                  <c:y val="-2.12060967528164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AE4-480E-98B1-624C2BA41D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Weekly (2)'!$A$4:$A$21</c:f>
              <c:strCache>
                <c:ptCount val="18"/>
                <c:pt idx="0">
                  <c:v>PAC014</c:v>
                </c:pt>
                <c:pt idx="1">
                  <c:v>PAC013</c:v>
                </c:pt>
                <c:pt idx="2">
                  <c:v>PRO009</c:v>
                </c:pt>
                <c:pt idx="3">
                  <c:v>PAC006</c:v>
                </c:pt>
                <c:pt idx="4">
                  <c:v>PRO016</c:v>
                </c:pt>
                <c:pt idx="5">
                  <c:v>PRO006</c:v>
                </c:pt>
                <c:pt idx="6">
                  <c:v>UTI007</c:v>
                </c:pt>
                <c:pt idx="7">
                  <c:v>PAC015</c:v>
                </c:pt>
                <c:pt idx="8">
                  <c:v>PRO014</c:v>
                </c:pt>
                <c:pt idx="9">
                  <c:v>PAC012</c:v>
                </c:pt>
                <c:pt idx="10">
                  <c:v>PAC010</c:v>
                </c:pt>
                <c:pt idx="11">
                  <c:v>PRO011</c:v>
                </c:pt>
                <c:pt idx="12">
                  <c:v>PAC009</c:v>
                </c:pt>
                <c:pt idx="13">
                  <c:v>PRO019</c:v>
                </c:pt>
                <c:pt idx="14">
                  <c:v>PRO013</c:v>
                </c:pt>
                <c:pt idx="15">
                  <c:v>PRO015</c:v>
                </c:pt>
                <c:pt idx="16">
                  <c:v>PAC011</c:v>
                </c:pt>
                <c:pt idx="17">
                  <c:v>PRO007</c:v>
                </c:pt>
              </c:strCache>
            </c:strRef>
          </c:cat>
          <c:val>
            <c:numRef>
              <c:f>'Summary Weekly (2)'!$J$4:$J$21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AE4-480E-98B1-624C2BA41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64143168"/>
        <c:axId val="764141200"/>
      </c:barChart>
      <c:lineChart>
        <c:grouping val="stacked"/>
        <c:varyColors val="0"/>
        <c:ser>
          <c:idx val="3"/>
          <c:order val="3"/>
          <c:tx>
            <c:strRef>
              <c:f>'Summary Weekly (2)'!$E$3</c:f>
              <c:strCache>
                <c:ptCount val="1"/>
                <c:pt idx="0">
                  <c:v>Wo</c:v>
                </c:pt>
              </c:strCache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6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5308019238711912E-2"/>
                  <c:y val="-2.3856858846918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9AE4-480E-98B1-624C2BA41DFD}"/>
                </c:ext>
              </c:extLst>
            </c:dLbl>
            <c:dLbl>
              <c:idx val="1"/>
              <c:layout>
                <c:manualLayout>
                  <c:x val="-2.664E-2"/>
                  <c:y val="-3.71106693174287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9AE4-480E-98B1-624C2BA41DFD}"/>
                </c:ext>
              </c:extLst>
            </c:dLbl>
            <c:dLbl>
              <c:idx val="2"/>
              <c:layout>
                <c:manualLayout>
                  <c:x val="-2.6638740157480339E-2"/>
                  <c:y val="-2.6507620941020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9AE4-480E-98B1-624C2BA41DFD}"/>
                </c:ext>
              </c:extLst>
            </c:dLbl>
            <c:dLbl>
              <c:idx val="3"/>
              <c:layout>
                <c:manualLayout>
                  <c:x val="-2.3976023976024E-2"/>
                  <c:y val="-3.1809145129224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9AE4-480E-98B1-624C2BA41DFD}"/>
                </c:ext>
              </c:extLst>
            </c:dLbl>
            <c:dLbl>
              <c:idx val="4"/>
              <c:layout>
                <c:manualLayout>
                  <c:x val="-2.3954381336850711E-2"/>
                  <c:y val="-5.036447978793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9AE4-480E-98B1-624C2BA41DFD}"/>
                </c:ext>
              </c:extLst>
            </c:dLbl>
            <c:dLbl>
              <c:idx val="5"/>
              <c:layout>
                <c:manualLayout>
                  <c:x val="-2.5308025308025357E-2"/>
                  <c:y val="-3.1809145129224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9AE4-480E-98B1-624C2BA41DFD}"/>
                </c:ext>
              </c:extLst>
            </c:dLbl>
            <c:dLbl>
              <c:idx val="6"/>
              <c:layout>
                <c:manualLayout>
                  <c:x val="-2.2637375328084037E-2"/>
                  <c:y val="-3.44599072233267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9AE4-480E-98B1-624C2BA41DFD}"/>
                </c:ext>
              </c:extLst>
            </c:dLbl>
            <c:dLbl>
              <c:idx val="7"/>
              <c:layout>
                <c:manualLayout>
                  <c:x val="-2.5308019238711961E-2"/>
                  <c:y val="-2.6507620941020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9AE4-480E-98B1-624C2BA41DFD}"/>
                </c:ext>
              </c:extLst>
            </c:dLbl>
            <c:dLbl>
              <c:idx val="8"/>
              <c:layout>
                <c:manualLayout>
                  <c:x val="-2.266561679790036E-2"/>
                  <c:y val="-2.3856858846918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9AE4-480E-98B1-624C2BA41DFD}"/>
                </c:ext>
              </c:extLst>
            </c:dLbl>
            <c:dLbl>
              <c:idx val="9"/>
              <c:layout>
                <c:manualLayout>
                  <c:x val="-2.6492598425196849E-2"/>
                  <c:y val="-6.09675281643473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9AE4-480E-98B1-624C2BA41DFD}"/>
                </c:ext>
              </c:extLst>
            </c:dLbl>
            <c:dLbl>
              <c:idx val="10"/>
              <c:layout>
                <c:manualLayout>
                  <c:x val="-2.664E-2"/>
                  <c:y val="3.71106693174287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AE4-480E-98B1-624C2BA41DFD}"/>
                </c:ext>
              </c:extLst>
            </c:dLbl>
            <c:dLbl>
              <c:idx val="11"/>
              <c:layout>
                <c:manualLayout>
                  <c:x val="-2.2852388451443571E-2"/>
                  <c:y val="-2.6507620941020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9AE4-480E-98B1-624C2BA41DFD}"/>
                </c:ext>
              </c:extLst>
            </c:dLbl>
            <c:dLbl>
              <c:idx val="12"/>
              <c:layout>
                <c:manualLayout>
                  <c:x val="-2.3997690288713912E-2"/>
                  <c:y val="-2.3856858846918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9AE4-480E-98B1-624C2BA41DFD}"/>
                </c:ext>
              </c:extLst>
            </c:dLbl>
            <c:dLbl>
              <c:idx val="13"/>
              <c:layout>
                <c:manualLayout>
                  <c:x val="-2.5308031496062991E-2"/>
                  <c:y val="-5.036447978793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9AE4-480E-98B1-624C2BA41DFD}"/>
                </c:ext>
              </c:extLst>
            </c:dLbl>
            <c:dLbl>
              <c:idx val="14"/>
              <c:layout>
                <c:manualLayout>
                  <c:x val="-2.3994960629921357E-2"/>
                  <c:y val="-7.15705765407554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9AE4-480E-98B1-624C2BA41DFD}"/>
                </c:ext>
              </c:extLst>
            </c:dLbl>
            <c:dLbl>
              <c:idx val="15"/>
              <c:layout>
                <c:manualLayout>
                  <c:x val="-2.386782152230971E-2"/>
                  <c:y val="-1.85553346587144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9AE4-480E-98B1-624C2BA41DFD}"/>
                </c:ext>
              </c:extLst>
            </c:dLbl>
            <c:dLbl>
              <c:idx val="16"/>
              <c:layout>
                <c:manualLayout>
                  <c:x val="-2.5308031496063092E-2"/>
                  <c:y val="-2.91583830351226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9AE4-480E-98B1-624C2BA41DFD}"/>
                </c:ext>
              </c:extLst>
            </c:dLbl>
            <c:dLbl>
              <c:idx val="17"/>
              <c:layout>
                <c:manualLayout>
                  <c:x val="-2.1312021312021312E-2"/>
                  <c:y val="-3.1809145129224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9AE4-480E-98B1-624C2BA41D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Weekly (2)'!$A$5:$A$26</c:f>
              <c:strCache>
                <c:ptCount val="17"/>
                <c:pt idx="0">
                  <c:v>PAC013</c:v>
                </c:pt>
                <c:pt idx="1">
                  <c:v>PRO009</c:v>
                </c:pt>
                <c:pt idx="2">
                  <c:v>PAC006</c:v>
                </c:pt>
                <c:pt idx="3">
                  <c:v>PRO016</c:v>
                </c:pt>
                <c:pt idx="4">
                  <c:v>PRO006</c:v>
                </c:pt>
                <c:pt idx="5">
                  <c:v>UTI007</c:v>
                </c:pt>
                <c:pt idx="6">
                  <c:v>PAC015</c:v>
                </c:pt>
                <c:pt idx="7">
                  <c:v>PRO014</c:v>
                </c:pt>
                <c:pt idx="8">
                  <c:v>PAC012</c:v>
                </c:pt>
                <c:pt idx="9">
                  <c:v>PAC010</c:v>
                </c:pt>
                <c:pt idx="10">
                  <c:v>PRO011</c:v>
                </c:pt>
                <c:pt idx="11">
                  <c:v>PAC009</c:v>
                </c:pt>
                <c:pt idx="12">
                  <c:v>PRO019</c:v>
                </c:pt>
                <c:pt idx="13">
                  <c:v>PRO013</c:v>
                </c:pt>
                <c:pt idx="14">
                  <c:v>PRO015</c:v>
                </c:pt>
                <c:pt idx="15">
                  <c:v>PAC011</c:v>
                </c:pt>
                <c:pt idx="16">
                  <c:v>PRO007</c:v>
                </c:pt>
              </c:strCache>
            </c:strRef>
          </c:cat>
          <c:val>
            <c:numRef>
              <c:f>'Summary Weekly (2)'!$E$4:$E$21</c:f>
              <c:numCache>
                <c:formatCode>0.0</c:formatCode>
                <c:ptCount val="18"/>
                <c:pt idx="0">
                  <c:v>26</c:v>
                </c:pt>
                <c:pt idx="1">
                  <c:v>39</c:v>
                </c:pt>
                <c:pt idx="2">
                  <c:v>14</c:v>
                </c:pt>
                <c:pt idx="3">
                  <c:v>20</c:v>
                </c:pt>
                <c:pt idx="4">
                  <c:v>30</c:v>
                </c:pt>
                <c:pt idx="5">
                  <c:v>21</c:v>
                </c:pt>
                <c:pt idx="6">
                  <c:v>21</c:v>
                </c:pt>
                <c:pt idx="7">
                  <c:v>22</c:v>
                </c:pt>
                <c:pt idx="8">
                  <c:v>34</c:v>
                </c:pt>
                <c:pt idx="9">
                  <c:v>12</c:v>
                </c:pt>
                <c:pt idx="10">
                  <c:v>23</c:v>
                </c:pt>
                <c:pt idx="11">
                  <c:v>23</c:v>
                </c:pt>
                <c:pt idx="12">
                  <c:v>17</c:v>
                </c:pt>
                <c:pt idx="13">
                  <c:v>11</c:v>
                </c:pt>
                <c:pt idx="14">
                  <c:v>14</c:v>
                </c:pt>
                <c:pt idx="15">
                  <c:v>25</c:v>
                </c:pt>
                <c:pt idx="16">
                  <c:v>19</c:v>
                </c:pt>
                <c:pt idx="1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AE4-480E-98B1-624C2BA41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836152"/>
        <c:axId val="745837464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'Summary Weekly (2)'!$K$3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349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dLbl>
                    <c:idx val="0"/>
                    <c:layout>
                      <c:manualLayout>
                        <c:x val="0"/>
                        <c:y val="-0.22531477799867461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3-9AE4-480E-98B1-624C2BA41DFD}"/>
                      </c:ext>
                    </c:extLst>
                  </c:dLbl>
                  <c:dLbl>
                    <c:idx val="1"/>
                    <c:layout>
                      <c:manualLayout>
                        <c:x val="1.3320013320013075E-3"/>
                        <c:y val="-0.1033797216699801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4-9AE4-480E-98B1-624C2BA41DFD}"/>
                      </c:ext>
                    </c:extLst>
                  </c:dLbl>
                  <c:dLbl>
                    <c:idx val="2"/>
                    <c:layout>
                      <c:manualLayout>
                        <c:x val="-2.441974232107731E-17"/>
                        <c:y val="-0.1457919151756129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9AE4-480E-98B1-624C2BA41DFD}"/>
                      </c:ext>
                    </c:extLst>
                  </c:dLbl>
                  <c:dLbl>
                    <c:idx val="3"/>
                    <c:layout>
                      <c:manualLayout>
                        <c:x val="-1.332001332001332E-3"/>
                        <c:y val="-0.1669980119284294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6-9AE4-480E-98B1-624C2BA41DFD}"/>
                      </c:ext>
                    </c:extLst>
                  </c:dLbl>
                  <c:dLbl>
                    <c:idx val="4"/>
                    <c:layout>
                      <c:manualLayout>
                        <c:x val="0"/>
                        <c:y val="-0.1325381047051027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9AE4-480E-98B1-624C2BA41DFD}"/>
                      </c:ext>
                    </c:extLst>
                  </c:dLbl>
                  <c:dLbl>
                    <c:idx val="5"/>
                    <c:layout>
                      <c:manualLayout>
                        <c:x val="3.996003996003996E-3"/>
                        <c:y val="-0.1113320079522862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8-9AE4-480E-98B1-624C2BA41DFD}"/>
                      </c:ext>
                    </c:extLst>
                  </c:dLbl>
                  <c:dLbl>
                    <c:idx val="6"/>
                    <c:layout>
                      <c:manualLayout>
                        <c:x val="1.3320013320012832E-3"/>
                        <c:y val="-0.16434724983432736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9AE4-480E-98B1-624C2BA41DFD}"/>
                      </c:ext>
                    </c:extLst>
                  </c:dLbl>
                  <c:dLbl>
                    <c:idx val="7"/>
                    <c:layout>
                      <c:manualLayout>
                        <c:x val="0"/>
                        <c:y val="-6.09675281643472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A-9AE4-480E-98B1-624C2BA41DFD}"/>
                      </c:ext>
                    </c:extLst>
                  </c:dLbl>
                  <c:dLbl>
                    <c:idx val="8"/>
                    <c:layout>
                      <c:manualLayout>
                        <c:x val="-9.7678969284309239E-17"/>
                        <c:y val="-0.18290258449304178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9AE4-480E-98B1-624C2BA41DFD}"/>
                      </c:ext>
                    </c:extLst>
                  </c:dLbl>
                  <c:dLbl>
                    <c:idx val="9"/>
                    <c:layout>
                      <c:manualLayout>
                        <c:x val="2.6640026640025664E-3"/>
                        <c:y val="-0.19085487077534791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C-9AE4-480E-98B1-624C2BA41DFD}"/>
                      </c:ext>
                    </c:extLst>
                  </c:dLbl>
                  <c:dLbl>
                    <c:idx val="10"/>
                    <c:layout>
                      <c:manualLayout>
                        <c:x val="-1.332001332001332E-3"/>
                        <c:y val="-0.1325381047051027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9AE4-480E-98B1-624C2BA41DFD}"/>
                      </c:ext>
                    </c:extLst>
                  </c:dLbl>
                  <c:dLbl>
                    <c:idx val="11"/>
                    <c:layout>
                      <c:manualLayout>
                        <c:x val="-9.7678969284309239E-17"/>
                        <c:y val="-0.18820410868124585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E-9AE4-480E-98B1-624C2BA41DFD}"/>
                      </c:ext>
                    </c:extLst>
                  </c:dLbl>
                  <c:dLbl>
                    <c:idx val="12"/>
                    <c:layout>
                      <c:manualLayout>
                        <c:x val="-9.7678969284309239E-17"/>
                        <c:y val="-0.18290258449304178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9AE4-480E-98B1-624C2BA41DFD}"/>
                      </c:ext>
                    </c:extLst>
                  </c:dLbl>
                  <c:dLbl>
                    <c:idx val="13"/>
                    <c:layout>
                      <c:manualLayout>
                        <c:x val="-9.7678969284309239E-17"/>
                        <c:y val="-6.626905235255135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0-9AE4-480E-98B1-624C2BA41DFD}"/>
                      </c:ext>
                    </c:extLst>
                  </c:dLbl>
                  <c:dLbl>
                    <c:idx val="14"/>
                    <c:layout>
                      <c:manualLayout>
                        <c:x val="-9.7678969284309239E-17"/>
                        <c:y val="-5.566600397614314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9AE4-480E-98B1-624C2BA41DFD}"/>
                      </c:ext>
                    </c:extLst>
                  </c:dLbl>
                  <c:dLbl>
                    <c:idx val="15"/>
                    <c:layout>
                      <c:manualLayout>
                        <c:x val="-9.7678969284309239E-17"/>
                        <c:y val="-0.1802518223989396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2-9AE4-480E-98B1-624C2BA41DFD}"/>
                      </c:ext>
                    </c:extLst>
                  </c:dLbl>
                  <c:dLbl>
                    <c:idx val="16"/>
                    <c:layout>
                      <c:manualLayout>
                        <c:x val="0"/>
                        <c:y val="-0.18555334658714381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9AE4-480E-98B1-624C2BA41DFD}"/>
                      </c:ext>
                    </c:extLst>
                  </c:dLbl>
                  <c:dLbl>
                    <c:idx val="17"/>
                    <c:layout>
                      <c:manualLayout>
                        <c:x val="0"/>
                        <c:y val="-8.7475149105367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4-9AE4-480E-98B1-624C2BA41DF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'Summary Weekly (2)'!$A$5:$A$26</c15:sqref>
                        </c15:formulaRef>
                      </c:ext>
                    </c:extLst>
                    <c:strCache>
                      <c:ptCount val="17"/>
                      <c:pt idx="0">
                        <c:v>PAC013</c:v>
                      </c:pt>
                      <c:pt idx="1">
                        <c:v>PRO009</c:v>
                      </c:pt>
                      <c:pt idx="2">
                        <c:v>PAC006</c:v>
                      </c:pt>
                      <c:pt idx="3">
                        <c:v>PRO016</c:v>
                      </c:pt>
                      <c:pt idx="4">
                        <c:v>PRO006</c:v>
                      </c:pt>
                      <c:pt idx="5">
                        <c:v>UTI007</c:v>
                      </c:pt>
                      <c:pt idx="6">
                        <c:v>PAC015</c:v>
                      </c:pt>
                      <c:pt idx="7">
                        <c:v>PRO014</c:v>
                      </c:pt>
                      <c:pt idx="8">
                        <c:v>PAC012</c:v>
                      </c:pt>
                      <c:pt idx="9">
                        <c:v>PAC010</c:v>
                      </c:pt>
                      <c:pt idx="10">
                        <c:v>PRO011</c:v>
                      </c:pt>
                      <c:pt idx="11">
                        <c:v>PAC009</c:v>
                      </c:pt>
                      <c:pt idx="12">
                        <c:v>PRO019</c:v>
                      </c:pt>
                      <c:pt idx="13">
                        <c:v>PRO013</c:v>
                      </c:pt>
                      <c:pt idx="14">
                        <c:v>PRO015</c:v>
                      </c:pt>
                      <c:pt idx="15">
                        <c:v>PAC011</c:v>
                      </c:pt>
                      <c:pt idx="16">
                        <c:v>PRO007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'Summary Weekly (2)'!$K$5:$K$26</c15:sqref>
                        </c15:formulaRef>
                      </c:ext>
                    </c:extLst>
                    <c:numCache>
                      <c:formatCode>0.0%</c:formatCode>
                      <c:ptCount val="22"/>
                      <c:pt idx="0">
                        <c:v>1.0152166666666667</c:v>
                      </c:pt>
                      <c:pt idx="1">
                        <c:v>0.91666666666666663</c:v>
                      </c:pt>
                      <c:pt idx="2">
                        <c:v>0.83974025974025968</c:v>
                      </c:pt>
                      <c:pt idx="3">
                        <c:v>0.77759036144578308</c:v>
                      </c:pt>
                      <c:pt idx="4">
                        <c:v>0.77078651685393262</c:v>
                      </c:pt>
                      <c:pt idx="5">
                        <c:v>0.65642857142857147</c:v>
                      </c:pt>
                      <c:pt idx="6">
                        <c:v>0.54823684210526313</c:v>
                      </c:pt>
                      <c:pt idx="7">
                        <c:v>0.54287878787878796</c:v>
                      </c:pt>
                      <c:pt idx="8">
                        <c:v>0.51142857142857134</c:v>
                      </c:pt>
                      <c:pt idx="9">
                        <c:v>0.43190082644628092</c:v>
                      </c:pt>
                      <c:pt idx="10">
                        <c:v>0.42000000000000004</c:v>
                      </c:pt>
                      <c:pt idx="11">
                        <c:v>0.3968253968253968</c:v>
                      </c:pt>
                      <c:pt idx="12">
                        <c:v>0.37555555555555553</c:v>
                      </c:pt>
                      <c:pt idx="13">
                        <c:v>0.36114285714285715</c:v>
                      </c:pt>
                      <c:pt idx="14">
                        <c:v>0.35753846153846158</c:v>
                      </c:pt>
                      <c:pt idx="15">
                        <c:v>0.35338709677419355</c:v>
                      </c:pt>
                      <c:pt idx="16">
                        <c:v>0.31194029850746269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5-9AE4-480E-98B1-624C2BA41DFD}"/>
                  </c:ext>
                </c:extLst>
              </c15:ser>
            </c15:filteredLineSeries>
          </c:ext>
        </c:extLst>
      </c:lineChart>
      <c:valAx>
        <c:axId val="764141200"/>
        <c:scaling>
          <c:orientation val="minMax"/>
          <c:max val="1.4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2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745837464"/>
        <c:scaling>
          <c:orientation val="minMax"/>
          <c:max val="20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36152"/>
        <c:crosses val="max"/>
        <c:crossBetween val="between"/>
        <c:majorUnit val="50"/>
      </c:valAx>
      <c:catAx>
        <c:axId val="74583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5837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428130924193911"/>
          <c:y val="0.93936350401527846"/>
          <c:w val="0.49406142414016441"/>
          <c:h val="4.4731923420109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Monthly'!$G$3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0"/>
                  <c:y val="3.9761431411530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AD-4366-9692-B0D3E74FC0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Monthly'!$G$5:$G$22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AD-4366-9692-B0D3E74FC056}"/>
            </c:ext>
          </c:extLst>
        </c:ser>
        <c:ser>
          <c:idx val="1"/>
          <c:order val="1"/>
          <c:tx>
            <c:strRef>
              <c:f>'Summary Monthly'!$H$3</c:f>
              <c:strCache>
                <c:ptCount val="1"/>
                <c:pt idx="0">
                  <c:v>%CM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332001332001332E-3"/>
                  <c:y val="2.65076209410204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AD-4366-9692-B0D3E74FC056}"/>
                </c:ext>
              </c:extLst>
            </c:dLbl>
            <c:dLbl>
              <c:idx val="1"/>
              <c:layout>
                <c:manualLayout>
                  <c:x val="-1.332001332001332E-3"/>
                  <c:y val="5.3015241882041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AD-4366-9692-B0D3E74FC056}"/>
                </c:ext>
              </c:extLst>
            </c:dLbl>
            <c:dLbl>
              <c:idx val="2"/>
              <c:layout>
                <c:manualLayout>
                  <c:x val="-3.996003996003996E-3"/>
                  <c:y val="4.5062955599734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AD-4366-9692-B0D3E74FC056}"/>
                </c:ext>
              </c:extLst>
            </c:dLbl>
            <c:dLbl>
              <c:idx val="3"/>
              <c:layout>
                <c:manualLayout>
                  <c:x val="0"/>
                  <c:y val="1.060304837640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AD-4366-9692-B0D3E74FC056}"/>
                </c:ext>
              </c:extLst>
            </c:dLbl>
            <c:dLbl>
              <c:idx val="4"/>
              <c:layout>
                <c:manualLayout>
                  <c:x val="-1.332001332001332E-3"/>
                  <c:y val="5.036447978793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5AD-4366-9692-B0D3E74FC056}"/>
                </c:ext>
              </c:extLst>
            </c:dLbl>
            <c:dLbl>
              <c:idx val="5"/>
              <c:layout>
                <c:manualLayout>
                  <c:x val="-2.664002664002664E-3"/>
                  <c:y val="6.36182902584492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AD-4366-9692-B0D3E74FC056}"/>
                </c:ext>
              </c:extLst>
            </c:dLbl>
            <c:dLbl>
              <c:idx val="6"/>
              <c:layout>
                <c:manualLayout>
                  <c:x val="-4.883948464215462E-17"/>
                  <c:y val="2.9158383035122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5AD-4366-9692-B0D3E74FC056}"/>
                </c:ext>
              </c:extLst>
            </c:dLbl>
            <c:dLbl>
              <c:idx val="7"/>
              <c:layout>
                <c:manualLayout>
                  <c:x val="0"/>
                  <c:y val="7.95228628230616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5AD-4366-9692-B0D3E74FC056}"/>
                </c:ext>
              </c:extLst>
            </c:dLbl>
            <c:dLbl>
              <c:idx val="8"/>
              <c:layout>
                <c:manualLayout>
                  <c:x val="-9.7678969284309239E-17"/>
                  <c:y val="7.95228628230616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5AD-4366-9692-B0D3E74FC056}"/>
                </c:ext>
              </c:extLst>
            </c:dLbl>
            <c:dLbl>
              <c:idx val="9"/>
              <c:layout>
                <c:manualLayout>
                  <c:x val="-3.996003996004094E-3"/>
                  <c:y val="3.1809145129224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5AD-4366-9692-B0D3E74FC056}"/>
                </c:ext>
              </c:extLst>
            </c:dLbl>
            <c:dLbl>
              <c:idx val="10"/>
              <c:layout>
                <c:manualLayout>
                  <c:x val="0"/>
                  <c:y val="4.7713717693836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5AD-4366-9692-B0D3E74FC056}"/>
                </c:ext>
              </c:extLst>
            </c:dLbl>
            <c:dLbl>
              <c:idx val="11"/>
              <c:layout>
                <c:manualLayout>
                  <c:x val="-9.7678969284309239E-17"/>
                  <c:y val="3.1809145129224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5AD-4366-9692-B0D3E74FC056}"/>
                </c:ext>
              </c:extLst>
            </c:dLbl>
            <c:dLbl>
              <c:idx val="12"/>
              <c:layout>
                <c:manualLayout>
                  <c:x val="-3.996003996004094E-3"/>
                  <c:y val="6.626905235255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5AD-4366-9692-B0D3E74FC056}"/>
                </c:ext>
              </c:extLst>
            </c:dLbl>
            <c:dLbl>
              <c:idx val="13"/>
              <c:layout>
                <c:manualLayout>
                  <c:x val="-5.328005328005328E-3"/>
                  <c:y val="6.09675281643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5AD-4366-9692-B0D3E74FC056}"/>
                </c:ext>
              </c:extLst>
            </c:dLbl>
            <c:dLbl>
              <c:idx val="14"/>
              <c:layout>
                <c:manualLayout>
                  <c:x val="-9.7678969284309239E-17"/>
                  <c:y val="3.44599072233267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5AD-4366-9692-B0D3E74FC056}"/>
                </c:ext>
              </c:extLst>
            </c:dLbl>
            <c:dLbl>
              <c:idx val="17"/>
              <c:layout>
                <c:manualLayout>
                  <c:x val="1.332001332001332E-3"/>
                  <c:y val="7.6872100728959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5AD-4366-9692-B0D3E74FC0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Monthly'!$H$5:$H$22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5AD-4366-9692-B0D3E74FC056}"/>
            </c:ext>
          </c:extLst>
        </c:ser>
        <c:ser>
          <c:idx val="2"/>
          <c:order val="2"/>
          <c:tx>
            <c:strRef>
              <c:f>'Summary Monthly'!$F$3</c:f>
              <c:strCache>
                <c:ptCount val="1"/>
                <c:pt idx="0">
                  <c:v>%RCA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Monthly'!$F$5:$F$22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5AD-4366-9692-B0D3E74FC056}"/>
            </c:ext>
          </c:extLst>
        </c:ser>
        <c:ser>
          <c:idx val="4"/>
          <c:order val="4"/>
          <c:tx>
            <c:strRef>
              <c:f>'Summary Monthly'!$I$3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00B0F0">
                    <a:tint val="66000"/>
                    <a:satMod val="160000"/>
                  </a:srgbClr>
                </a:gs>
                <a:gs pos="50000">
                  <a:srgbClr val="00B0F0">
                    <a:tint val="44500"/>
                    <a:satMod val="160000"/>
                  </a:srgbClr>
                </a:gs>
                <a:gs pos="100000">
                  <a:srgbClr val="00B0F0">
                    <a:tint val="23500"/>
                    <a:satMod val="160000"/>
                  </a:srgb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201457919151756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5AD-4366-9692-B0D3E74FC056}"/>
                </c:ext>
              </c:extLst>
            </c:dLbl>
            <c:dLbl>
              <c:idx val="1"/>
              <c:layout>
                <c:manualLayout>
                  <c:x val="1.3320013320013075E-3"/>
                  <c:y val="-0.103379721669980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5AD-4366-9692-B0D3E74FC056}"/>
                </c:ext>
              </c:extLst>
            </c:dLbl>
            <c:dLbl>
              <c:idx val="2"/>
              <c:layout>
                <c:manualLayout>
                  <c:x val="-2.441974232107731E-17"/>
                  <c:y val="-0.145791915175612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5AD-4366-9692-B0D3E74FC056}"/>
                </c:ext>
              </c:extLst>
            </c:dLbl>
            <c:dLbl>
              <c:idx val="3"/>
              <c:layout>
                <c:manualLayout>
                  <c:x val="-1.332001332001332E-3"/>
                  <c:y val="-0.166998011928429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5AD-4366-9692-B0D3E74FC056}"/>
                </c:ext>
              </c:extLst>
            </c:dLbl>
            <c:dLbl>
              <c:idx val="4"/>
              <c:layout>
                <c:manualLayout>
                  <c:x val="0"/>
                  <c:y val="-0.132538104705102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5AD-4366-9692-B0D3E74FC056}"/>
                </c:ext>
              </c:extLst>
            </c:dLbl>
            <c:dLbl>
              <c:idx val="5"/>
              <c:layout>
                <c:manualLayout>
                  <c:x val="3.996003996003996E-3"/>
                  <c:y val="-0.111332007952286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5AD-4366-9692-B0D3E74FC056}"/>
                </c:ext>
              </c:extLst>
            </c:dLbl>
            <c:dLbl>
              <c:idx val="6"/>
              <c:layout>
                <c:manualLayout>
                  <c:x val="1.3320013320012832E-3"/>
                  <c:y val="-0.164347249834327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5AD-4366-9692-B0D3E74FC056}"/>
                </c:ext>
              </c:extLst>
            </c:dLbl>
            <c:dLbl>
              <c:idx val="7"/>
              <c:layout>
                <c:manualLayout>
                  <c:x val="0"/>
                  <c:y val="-6.09675281643472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5AD-4366-9692-B0D3E74FC056}"/>
                </c:ext>
              </c:extLst>
            </c:dLbl>
            <c:dLbl>
              <c:idx val="8"/>
              <c:layout>
                <c:manualLayout>
                  <c:x val="-9.7678969284309239E-17"/>
                  <c:y val="-0.182902584493041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5AD-4366-9692-B0D3E74FC056}"/>
                </c:ext>
              </c:extLst>
            </c:dLbl>
            <c:dLbl>
              <c:idx val="9"/>
              <c:layout>
                <c:manualLayout>
                  <c:x val="2.6640026640025664E-3"/>
                  <c:y val="-0.190854870775347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5AD-4366-9692-B0D3E74FC056}"/>
                </c:ext>
              </c:extLst>
            </c:dLbl>
            <c:dLbl>
              <c:idx val="10"/>
              <c:layout>
                <c:manualLayout>
                  <c:x val="-1.332001332001332E-3"/>
                  <c:y val="-0.132538104705102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5AD-4366-9692-B0D3E74FC056}"/>
                </c:ext>
              </c:extLst>
            </c:dLbl>
            <c:dLbl>
              <c:idx val="11"/>
              <c:layout>
                <c:manualLayout>
                  <c:x val="-9.7678969284309239E-17"/>
                  <c:y val="-0.188204108681245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5AD-4366-9692-B0D3E74FC056}"/>
                </c:ext>
              </c:extLst>
            </c:dLbl>
            <c:dLbl>
              <c:idx val="12"/>
              <c:layout>
                <c:manualLayout>
                  <c:x val="-9.7678969284309239E-17"/>
                  <c:y val="-0.182902584493041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5AD-4366-9692-B0D3E74FC056}"/>
                </c:ext>
              </c:extLst>
            </c:dLbl>
            <c:dLbl>
              <c:idx val="13"/>
              <c:layout>
                <c:manualLayout>
                  <c:x val="-9.7678969284309239E-17"/>
                  <c:y val="-6.626905235255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5AD-4366-9692-B0D3E74FC056}"/>
                </c:ext>
              </c:extLst>
            </c:dLbl>
            <c:dLbl>
              <c:idx val="14"/>
              <c:layout>
                <c:manualLayout>
                  <c:x val="-9.7678969284309239E-17"/>
                  <c:y val="-5.566600397614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5AD-4366-9692-B0D3E74FC056}"/>
                </c:ext>
              </c:extLst>
            </c:dLbl>
            <c:dLbl>
              <c:idx val="15"/>
              <c:layout>
                <c:manualLayout>
                  <c:x val="-9.7678969284309239E-17"/>
                  <c:y val="-0.180251822398939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5AD-4366-9692-B0D3E74FC056}"/>
                </c:ext>
              </c:extLst>
            </c:dLbl>
            <c:dLbl>
              <c:idx val="16"/>
              <c:layout>
                <c:manualLayout>
                  <c:x val="0"/>
                  <c:y val="-0.185553346587143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5AD-4366-9692-B0D3E74FC056}"/>
                </c:ext>
              </c:extLst>
            </c:dLbl>
            <c:dLbl>
              <c:idx val="17"/>
              <c:layout>
                <c:manualLayout>
                  <c:x val="0"/>
                  <c:y val="-8.74751491053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5AD-4366-9692-B0D3E74FC0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Monthly'!$I$5:$I$22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5AD-4366-9692-B0D3E74FC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64143168"/>
        <c:axId val="764141200"/>
      </c:barChart>
      <c:lineChart>
        <c:grouping val="standard"/>
        <c:varyColors val="0"/>
        <c:ser>
          <c:idx val="3"/>
          <c:order val="3"/>
          <c:tx>
            <c:strRef>
              <c:f>'Summary Monthly'!$E$3</c:f>
              <c:strCache>
                <c:ptCount val="1"/>
                <c:pt idx="0">
                  <c:v>HR hour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3.5964035964035967E-2"/>
                  <c:y val="3.1809145129224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5AD-4366-9692-B0D3E74FC056}"/>
                </c:ext>
              </c:extLst>
            </c:dLbl>
            <c:dLbl>
              <c:idx val="1"/>
              <c:layout>
                <c:manualLayout>
                  <c:x val="-2.6640026640026664E-2"/>
                  <c:y val="2.1206096752816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5AD-4366-9692-B0D3E74FC056}"/>
                </c:ext>
              </c:extLst>
            </c:dLbl>
            <c:dLbl>
              <c:idx val="2"/>
              <c:layout>
                <c:manualLayout>
                  <c:x val="-2.7972027972027972E-2"/>
                  <c:y val="-2.6507620941020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5AD-4366-9692-B0D3E74FC056}"/>
                </c:ext>
              </c:extLst>
            </c:dLbl>
            <c:dLbl>
              <c:idx val="3"/>
              <c:layout>
                <c:manualLayout>
                  <c:x val="-1.998001998001998E-2"/>
                  <c:y val="-1.5904572564612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5AD-4366-9692-B0D3E74FC056}"/>
                </c:ext>
              </c:extLst>
            </c:dLbl>
            <c:dLbl>
              <c:idx val="4"/>
              <c:layout>
                <c:manualLayout>
                  <c:x val="-2.2644022644022644E-2"/>
                  <c:y val="-4.241219350563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5AD-4366-9692-B0D3E74FC056}"/>
                </c:ext>
              </c:extLst>
            </c:dLbl>
            <c:dLbl>
              <c:idx val="5"/>
              <c:layout>
                <c:manualLayout>
                  <c:x val="-2.5308025308025357E-2"/>
                  <c:y val="-3.1809145129224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5AD-4366-9692-B0D3E74FC056}"/>
                </c:ext>
              </c:extLst>
            </c:dLbl>
            <c:dLbl>
              <c:idx val="6"/>
              <c:layout>
                <c:manualLayout>
                  <c:x val="-2.664002664002664E-2"/>
                  <c:y val="-2.6507620941020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5AD-4366-9692-B0D3E74FC056}"/>
                </c:ext>
              </c:extLst>
            </c:dLbl>
            <c:dLbl>
              <c:idx val="7"/>
              <c:layout>
                <c:manualLayout>
                  <c:x val="-2.5308025308025357E-2"/>
                  <c:y val="-2.6507620941020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5AD-4366-9692-B0D3E74FC056}"/>
                </c:ext>
              </c:extLst>
            </c:dLbl>
            <c:dLbl>
              <c:idx val="8"/>
              <c:layout>
                <c:manualLayout>
                  <c:x val="-1.4652014652014652E-2"/>
                  <c:y val="-1.8555334658714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5AD-4366-9692-B0D3E74FC056}"/>
                </c:ext>
              </c:extLst>
            </c:dLbl>
            <c:dLbl>
              <c:idx val="9"/>
              <c:layout>
                <c:manualLayout>
                  <c:x val="-1.998001998001998E-2"/>
                  <c:y val="-3.9761431411530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5AD-4366-9692-B0D3E74FC056}"/>
                </c:ext>
              </c:extLst>
            </c:dLbl>
            <c:dLbl>
              <c:idx val="10"/>
              <c:layout>
                <c:manualLayout>
                  <c:x val="-1.8648018648018648E-2"/>
                  <c:y val="-1.06030483764082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5AD-4366-9692-B0D3E74FC056}"/>
                </c:ext>
              </c:extLst>
            </c:dLbl>
            <c:dLbl>
              <c:idx val="11"/>
              <c:layout>
                <c:manualLayout>
                  <c:x val="-1.7316017316017316E-2"/>
                  <c:y val="-2.6507620941020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5AD-4366-9692-B0D3E74FC056}"/>
                </c:ext>
              </c:extLst>
            </c:dLbl>
            <c:dLbl>
              <c:idx val="12"/>
              <c:layout>
                <c:manualLayout>
                  <c:x val="-3.1968031968031968E-2"/>
                  <c:y val="-6.89198144466534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5AD-4366-9692-B0D3E74FC056}"/>
                </c:ext>
              </c:extLst>
            </c:dLbl>
            <c:dLbl>
              <c:idx val="13"/>
              <c:layout>
                <c:manualLayout>
                  <c:x val="-2.5308025308025405E-2"/>
                  <c:y val="-1.5904572564612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5AD-4366-9692-B0D3E74FC056}"/>
                </c:ext>
              </c:extLst>
            </c:dLbl>
            <c:dLbl>
              <c:idx val="14"/>
              <c:layout>
                <c:manualLayout>
                  <c:x val="-2.5308025308025308E-2"/>
                  <c:y val="-2.3856858846918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5AD-4366-9692-B0D3E74FC056}"/>
                </c:ext>
              </c:extLst>
            </c:dLbl>
            <c:dLbl>
              <c:idx val="15"/>
              <c:layout>
                <c:manualLayout>
                  <c:x val="-3.0636030636030733E-2"/>
                  <c:y val="-6.0967528164347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5AD-4366-9692-B0D3E74FC056}"/>
                </c:ext>
              </c:extLst>
            </c:dLbl>
            <c:dLbl>
              <c:idx val="16"/>
              <c:layout>
                <c:manualLayout>
                  <c:x val="-2.9304029304029304E-2"/>
                  <c:y val="8.74751491053677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5AD-4366-9692-B0D3E74FC056}"/>
                </c:ext>
              </c:extLst>
            </c:dLbl>
            <c:dLbl>
              <c:idx val="17"/>
              <c:layout>
                <c:manualLayout>
                  <c:x val="-2.1312021312021312E-2"/>
                  <c:y val="-5.8316766070245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5AD-4366-9692-B0D3E74FC0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Monthly'!$E$5:$E$22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E5AD-4366-9692-B0D3E74FC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836152"/>
        <c:axId val="745837464"/>
      </c:lineChart>
      <c:valAx>
        <c:axId val="764141200"/>
        <c:scaling>
          <c:orientation val="minMax"/>
          <c:max val="1.4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2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745837464"/>
        <c:scaling>
          <c:orientation val="minMax"/>
          <c:max val="3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36152"/>
        <c:crosses val="max"/>
        <c:crossBetween val="between"/>
        <c:majorUnit val="100"/>
      </c:valAx>
      <c:catAx>
        <c:axId val="74583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5837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823735319798313"/>
          <c:y val="0.93936350401527846"/>
          <c:w val="0.45010538018412033"/>
          <c:h val="4.4731923420109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Monthly (2)'!$H$3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0"/>
                  <c:y val="3.9761431411530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6A-4174-B847-B20F59D72812}"/>
                </c:ext>
              </c:extLst>
            </c:dLbl>
            <c:dLbl>
              <c:idx val="8"/>
              <c:layout>
                <c:manualLayout>
                  <c:x val="0"/>
                  <c:y val="3.1809145129224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26A-4174-B847-B20F59D72812}"/>
                </c:ext>
              </c:extLst>
            </c:dLbl>
            <c:dLbl>
              <c:idx val="13"/>
              <c:layout>
                <c:manualLayout>
                  <c:x val="-1.332001332001332E-3"/>
                  <c:y val="2.91583830351224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926A-4174-B847-B20F59D728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 (2)'!$A$5:$A$22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Monthly (2)'!$H$5:$H$22</c:f>
              <c:numCache>
                <c:formatCode>0.0%</c:formatCode>
                <c:ptCount val="18"/>
                <c:pt idx="0">
                  <c:v>0.31137850960523539</c:v>
                </c:pt>
                <c:pt idx="1">
                  <c:v>0.52052871680898349</c:v>
                </c:pt>
                <c:pt idx="2">
                  <c:v>0.57558139534883723</c:v>
                </c:pt>
                <c:pt idx="3">
                  <c:v>0.63665594855305463</c:v>
                </c:pt>
                <c:pt idx="4">
                  <c:v>0.6211180124223602</c:v>
                </c:pt>
                <c:pt idx="5">
                  <c:v>0.45029239766081869</c:v>
                </c:pt>
                <c:pt idx="6">
                  <c:v>0.61386138613861385</c:v>
                </c:pt>
                <c:pt idx="7">
                  <c:v>0.48433048433048431</c:v>
                </c:pt>
                <c:pt idx="8">
                  <c:v>0.39864864864864863</c:v>
                </c:pt>
                <c:pt idx="9">
                  <c:v>0.60869565217391308</c:v>
                </c:pt>
                <c:pt idx="10">
                  <c:v>0.57971014492753625</c:v>
                </c:pt>
                <c:pt idx="11">
                  <c:v>0.34666666666666668</c:v>
                </c:pt>
                <c:pt idx="12">
                  <c:v>0.5625</c:v>
                </c:pt>
                <c:pt idx="13">
                  <c:v>0.56167979002624668</c:v>
                </c:pt>
                <c:pt idx="14">
                  <c:v>0.54054054054054057</c:v>
                </c:pt>
                <c:pt idx="15">
                  <c:v>0.34883720930232559</c:v>
                </c:pt>
                <c:pt idx="16">
                  <c:v>0.56603773584905659</c:v>
                </c:pt>
                <c:pt idx="17">
                  <c:v>0.58997050147492625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6A-4174-B847-B20F59D72812}"/>
            </c:ext>
          </c:extLst>
        </c:ser>
        <c:ser>
          <c:idx val="1"/>
          <c:order val="1"/>
          <c:tx>
            <c:strRef>
              <c:f>'Summary Monthly (2)'!$I$3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332001332001332E-3"/>
                  <c:y val="2.65076209410204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6A-4174-B847-B20F59D72812}"/>
                </c:ext>
              </c:extLst>
            </c:dLbl>
            <c:dLbl>
              <c:idx val="1"/>
              <c:layout>
                <c:manualLayout>
                  <c:x val="-1.332001332001332E-3"/>
                  <c:y val="5.3015241882041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6A-4174-B847-B20F59D72812}"/>
                </c:ext>
              </c:extLst>
            </c:dLbl>
            <c:dLbl>
              <c:idx val="2"/>
              <c:layout>
                <c:manualLayout>
                  <c:x val="-3.996003996003996E-3"/>
                  <c:y val="4.5062955599734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6A-4174-B847-B20F59D72812}"/>
                </c:ext>
              </c:extLst>
            </c:dLbl>
            <c:dLbl>
              <c:idx val="3"/>
              <c:layout>
                <c:manualLayout>
                  <c:x val="0"/>
                  <c:y val="1.060304837640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6A-4174-B847-B20F59D72812}"/>
                </c:ext>
              </c:extLst>
            </c:dLbl>
            <c:dLbl>
              <c:idx val="4"/>
              <c:layout>
                <c:manualLayout>
                  <c:x val="-1.332001332001332E-3"/>
                  <c:y val="5.036447978793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26A-4174-B847-B20F59D72812}"/>
                </c:ext>
              </c:extLst>
            </c:dLbl>
            <c:dLbl>
              <c:idx val="5"/>
              <c:layout>
                <c:manualLayout>
                  <c:x val="-2.664002664002664E-3"/>
                  <c:y val="6.36182902584492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6A-4174-B847-B20F59D72812}"/>
                </c:ext>
              </c:extLst>
            </c:dLbl>
            <c:dLbl>
              <c:idx val="6"/>
              <c:layout>
                <c:manualLayout>
                  <c:x val="-4.883948464215462E-17"/>
                  <c:y val="2.9158383035122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26A-4174-B847-B20F59D72812}"/>
                </c:ext>
              </c:extLst>
            </c:dLbl>
            <c:dLbl>
              <c:idx val="7"/>
              <c:layout>
                <c:manualLayout>
                  <c:x val="0"/>
                  <c:y val="7.95228628230616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6A-4174-B847-B20F59D72812}"/>
                </c:ext>
              </c:extLst>
            </c:dLbl>
            <c:dLbl>
              <c:idx val="8"/>
              <c:layout>
                <c:manualLayout>
                  <c:x val="-9.7678969284309239E-17"/>
                  <c:y val="7.95228628230616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26A-4174-B847-B20F59D72812}"/>
                </c:ext>
              </c:extLst>
            </c:dLbl>
            <c:dLbl>
              <c:idx val="9"/>
              <c:layout>
                <c:manualLayout>
                  <c:x val="-3.996003996003996E-3"/>
                  <c:y val="6.626905235255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6A-4174-B847-B20F59D72812}"/>
                </c:ext>
              </c:extLst>
            </c:dLbl>
            <c:dLbl>
              <c:idx val="10"/>
              <c:layout>
                <c:manualLayout>
                  <c:x val="0"/>
                  <c:y val="4.7713717693836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26A-4174-B847-B20F59D72812}"/>
                </c:ext>
              </c:extLst>
            </c:dLbl>
            <c:dLbl>
              <c:idx val="11"/>
              <c:layout>
                <c:manualLayout>
                  <c:x val="-9.7678969284309239E-17"/>
                  <c:y val="3.1809145129224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26A-4174-B847-B20F59D72812}"/>
                </c:ext>
              </c:extLst>
            </c:dLbl>
            <c:dLbl>
              <c:idx val="12"/>
              <c:layout>
                <c:manualLayout>
                  <c:x val="-3.996003996004094E-3"/>
                  <c:y val="6.626905235255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26A-4174-B847-B20F59D72812}"/>
                </c:ext>
              </c:extLst>
            </c:dLbl>
            <c:dLbl>
              <c:idx val="13"/>
              <c:layout>
                <c:manualLayout>
                  <c:x val="-5.328005328005328E-3"/>
                  <c:y val="6.09675281643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6A-4174-B847-B20F59D72812}"/>
                </c:ext>
              </c:extLst>
            </c:dLbl>
            <c:dLbl>
              <c:idx val="14"/>
              <c:layout>
                <c:manualLayout>
                  <c:x val="-9.7678969284309239E-17"/>
                  <c:y val="3.44599072233267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26A-4174-B847-B20F59D72812}"/>
                </c:ext>
              </c:extLst>
            </c:dLbl>
            <c:dLbl>
              <c:idx val="17"/>
              <c:layout>
                <c:manualLayout>
                  <c:x val="1.332001332001332E-3"/>
                  <c:y val="7.6872100728959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26A-4174-B847-B20F59D728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 (2)'!$A$5:$A$22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Monthly (2)'!$I$5:$I$22</c:f>
              <c:numCache>
                <c:formatCode>0.0%</c:formatCode>
                <c:ptCount val="18"/>
                <c:pt idx="0">
                  <c:v>0.36943213004010977</c:v>
                </c:pt>
                <c:pt idx="1">
                  <c:v>0.28658322610831671</c:v>
                </c:pt>
                <c:pt idx="2">
                  <c:v>0.59883720930232553</c:v>
                </c:pt>
                <c:pt idx="3">
                  <c:v>0.4887459807073955</c:v>
                </c:pt>
                <c:pt idx="4">
                  <c:v>0.4695652173913043</c:v>
                </c:pt>
                <c:pt idx="5">
                  <c:v>0.59649122807017541</c:v>
                </c:pt>
                <c:pt idx="6">
                  <c:v>0.67194719471947195</c:v>
                </c:pt>
                <c:pt idx="7">
                  <c:v>0.62108262108262113</c:v>
                </c:pt>
                <c:pt idx="8">
                  <c:v>0.60810810810810811</c:v>
                </c:pt>
                <c:pt idx="9">
                  <c:v>0.5714285714285714</c:v>
                </c:pt>
                <c:pt idx="10">
                  <c:v>0.49507246376811598</c:v>
                </c:pt>
                <c:pt idx="11">
                  <c:v>0.84799999999999998</c:v>
                </c:pt>
                <c:pt idx="12">
                  <c:v>0.63937500000000003</c:v>
                </c:pt>
                <c:pt idx="13">
                  <c:v>0.64566929133858264</c:v>
                </c:pt>
                <c:pt idx="14">
                  <c:v>0.65165165165165162</c:v>
                </c:pt>
                <c:pt idx="15">
                  <c:v>0.55174418604651165</c:v>
                </c:pt>
                <c:pt idx="16">
                  <c:v>0.36981132075471695</c:v>
                </c:pt>
                <c:pt idx="17">
                  <c:v>0.59587020648967548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26A-4174-B847-B20F59D72812}"/>
            </c:ext>
          </c:extLst>
        </c:ser>
        <c:ser>
          <c:idx val="2"/>
          <c:order val="2"/>
          <c:tx>
            <c:strRef>
              <c:f>'Summary Monthly (2)'!$G$3</c:f>
              <c:strCache>
                <c:ptCount val="1"/>
                <c:pt idx="0">
                  <c:v>%RCA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 (2)'!$A$5:$A$22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Monthly (2)'!$G$5:$G$22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1.2422360248447204E-2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5.3333333333333332E-3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1.509433962264151E-2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26A-4174-B847-B20F59D72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64143168"/>
        <c:axId val="764141200"/>
      </c:barChart>
      <c:lineChart>
        <c:grouping val="stacked"/>
        <c:varyColors val="0"/>
        <c:ser>
          <c:idx val="3"/>
          <c:order val="3"/>
          <c:tx>
            <c:strRef>
              <c:f>'Summary Monthly (2)'!$E$3</c:f>
              <c:strCache>
                <c:ptCount val="1"/>
                <c:pt idx="0">
                  <c:v>JR</c:v>
                </c:pt>
              </c:strCache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6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2.5308025308025308E-2"/>
                  <c:y val="-2.6507620941020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26A-4174-B847-B20F59D72812}"/>
                </c:ext>
              </c:extLst>
            </c:dLbl>
            <c:dLbl>
              <c:idx val="1"/>
              <c:layout>
                <c:manualLayout>
                  <c:x val="-2.6640026640026664E-2"/>
                  <c:y val="-3.71106693174287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26A-4174-B847-B20F59D72812}"/>
                </c:ext>
              </c:extLst>
            </c:dLbl>
            <c:dLbl>
              <c:idx val="2"/>
              <c:layout>
                <c:manualLayout>
                  <c:x val="-2.7972027972027996E-2"/>
                  <c:y val="2.9158383035122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926A-4174-B847-B20F59D72812}"/>
                </c:ext>
              </c:extLst>
            </c:dLbl>
            <c:dLbl>
              <c:idx val="3"/>
              <c:layout>
                <c:manualLayout>
                  <c:x val="-2.3976023976024E-2"/>
                  <c:y val="-3.1809145129224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26A-4174-B847-B20F59D72812}"/>
                </c:ext>
              </c:extLst>
            </c:dLbl>
            <c:dLbl>
              <c:idx val="4"/>
              <c:layout>
                <c:manualLayout>
                  <c:x val="-2.5308025308025308E-2"/>
                  <c:y val="-3.445990722332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926A-4174-B847-B20F59D72812}"/>
                </c:ext>
              </c:extLst>
            </c:dLbl>
            <c:dLbl>
              <c:idx val="5"/>
              <c:layout>
                <c:manualLayout>
                  <c:x val="-2.5308025308025357E-2"/>
                  <c:y val="-3.1809145129224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926A-4174-B847-B20F59D72812}"/>
                </c:ext>
              </c:extLst>
            </c:dLbl>
            <c:dLbl>
              <c:idx val="6"/>
              <c:layout>
                <c:manualLayout>
                  <c:x val="-2.9304029304029353E-2"/>
                  <c:y val="2.9158383035122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926A-4174-B847-B20F59D72812}"/>
                </c:ext>
              </c:extLst>
            </c:dLbl>
            <c:dLbl>
              <c:idx val="7"/>
              <c:layout>
                <c:manualLayout>
                  <c:x val="-2.5308025308025308E-2"/>
                  <c:y val="-3.9761431411530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26A-4174-B847-B20F59D72812}"/>
                </c:ext>
              </c:extLst>
            </c:dLbl>
            <c:dLbl>
              <c:idx val="8"/>
              <c:layout>
                <c:manualLayout>
                  <c:x val="-2.1312021312021312E-2"/>
                  <c:y val="-3.9761431411530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926A-4174-B847-B20F59D72812}"/>
                </c:ext>
              </c:extLst>
            </c:dLbl>
            <c:dLbl>
              <c:idx val="9"/>
              <c:layout>
                <c:manualLayout>
                  <c:x val="-3.1968031968031968E-2"/>
                  <c:y val="3.71106693174287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926A-4174-B847-B20F59D72812}"/>
                </c:ext>
              </c:extLst>
            </c:dLbl>
            <c:dLbl>
              <c:idx val="10"/>
              <c:layout>
                <c:manualLayout>
                  <c:x val="-2.664002664002664E-2"/>
                  <c:y val="-2.6507620941020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926A-4174-B847-B20F59D72812}"/>
                </c:ext>
              </c:extLst>
            </c:dLbl>
            <c:dLbl>
              <c:idx val="11"/>
              <c:layout>
                <c:manualLayout>
                  <c:x val="-1.7316017316017316E-2"/>
                  <c:y val="-2.6507620941020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926A-4174-B847-B20F59D72812}"/>
                </c:ext>
              </c:extLst>
            </c:dLbl>
            <c:dLbl>
              <c:idx val="12"/>
              <c:layout>
                <c:manualLayout>
                  <c:x val="-2.2644022644022644E-2"/>
                  <c:y val="-4.241219350563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926A-4174-B847-B20F59D72812}"/>
                </c:ext>
              </c:extLst>
            </c:dLbl>
            <c:dLbl>
              <c:idx val="13"/>
              <c:layout>
                <c:manualLayout>
                  <c:x val="-2.5308025308025405E-2"/>
                  <c:y val="-3.9761431411530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926A-4174-B847-B20F59D72812}"/>
                </c:ext>
              </c:extLst>
            </c:dLbl>
            <c:dLbl>
              <c:idx val="14"/>
              <c:layout>
                <c:manualLayout>
                  <c:x val="-2.5308025308025308E-2"/>
                  <c:y val="-2.3856858846918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926A-4174-B847-B20F59D72812}"/>
                </c:ext>
              </c:extLst>
            </c:dLbl>
            <c:dLbl>
              <c:idx val="15"/>
              <c:layout>
                <c:manualLayout>
                  <c:x val="-3.0636030636030636E-2"/>
                  <c:y val="-2.6507620941020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926A-4174-B847-B20F59D72812}"/>
                </c:ext>
              </c:extLst>
            </c:dLbl>
            <c:dLbl>
              <c:idx val="16"/>
              <c:layout>
                <c:manualLayout>
                  <c:x val="-2.5308025308025308E-2"/>
                  <c:y val="-3.9761431411530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926A-4174-B847-B20F59D72812}"/>
                </c:ext>
              </c:extLst>
            </c:dLbl>
            <c:dLbl>
              <c:idx val="17"/>
              <c:layout>
                <c:manualLayout>
                  <c:x val="-2.1312021312021312E-2"/>
                  <c:y val="-3.1809145129224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926A-4174-B847-B20F59D728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 (2)'!$A$5:$A$22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'Summary Monthly (2)'!$E$5:$E$22</c:f>
              <c:numCache>
                <c:formatCode>0.0</c:formatCode>
                <c:ptCount val="18"/>
                <c:pt idx="0">
                  <c:v>62</c:v>
                </c:pt>
                <c:pt idx="1">
                  <c:v>49</c:v>
                </c:pt>
                <c:pt idx="2">
                  <c:v>101</c:v>
                </c:pt>
                <c:pt idx="3">
                  <c:v>97</c:v>
                </c:pt>
                <c:pt idx="4">
                  <c:v>76</c:v>
                </c:pt>
                <c:pt idx="5">
                  <c:v>110</c:v>
                </c:pt>
                <c:pt idx="6">
                  <c:v>97</c:v>
                </c:pt>
                <c:pt idx="7">
                  <c:v>87</c:v>
                </c:pt>
                <c:pt idx="8">
                  <c:v>63</c:v>
                </c:pt>
                <c:pt idx="9">
                  <c:v>104</c:v>
                </c:pt>
                <c:pt idx="10">
                  <c:v>85</c:v>
                </c:pt>
                <c:pt idx="11">
                  <c:v>117</c:v>
                </c:pt>
                <c:pt idx="12">
                  <c:v>90</c:v>
                </c:pt>
                <c:pt idx="13">
                  <c:v>83</c:v>
                </c:pt>
                <c:pt idx="14">
                  <c:v>93</c:v>
                </c:pt>
                <c:pt idx="15">
                  <c:v>73</c:v>
                </c:pt>
                <c:pt idx="16">
                  <c:v>55</c:v>
                </c:pt>
                <c:pt idx="17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26A-4174-B847-B20F59D72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836152"/>
        <c:axId val="745837464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'Summary Monthly (2)'!$J$3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349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dLbl>
                    <c:idx val="0"/>
                    <c:layout>
                      <c:manualLayout>
                        <c:x val="0"/>
                        <c:y val="-0.22531477799867461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4-926A-4174-B847-B20F59D72812}"/>
                      </c:ext>
                    </c:extLst>
                  </c:dLbl>
                  <c:dLbl>
                    <c:idx val="1"/>
                    <c:layout>
                      <c:manualLayout>
                        <c:x val="1.3320013320013075E-3"/>
                        <c:y val="-0.1033797216699801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5-926A-4174-B847-B20F59D72812}"/>
                      </c:ext>
                    </c:extLst>
                  </c:dLbl>
                  <c:dLbl>
                    <c:idx val="2"/>
                    <c:layout>
                      <c:manualLayout>
                        <c:x val="-2.441974232107731E-17"/>
                        <c:y val="-0.1457919151756129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6-926A-4174-B847-B20F59D72812}"/>
                      </c:ext>
                    </c:extLst>
                  </c:dLbl>
                  <c:dLbl>
                    <c:idx val="3"/>
                    <c:layout>
                      <c:manualLayout>
                        <c:x val="-1.332001332001332E-3"/>
                        <c:y val="-0.1669980119284294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7-926A-4174-B847-B20F59D72812}"/>
                      </c:ext>
                    </c:extLst>
                  </c:dLbl>
                  <c:dLbl>
                    <c:idx val="4"/>
                    <c:layout>
                      <c:manualLayout>
                        <c:x val="0"/>
                        <c:y val="-0.1325381047051027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8-926A-4174-B847-B20F59D72812}"/>
                      </c:ext>
                    </c:extLst>
                  </c:dLbl>
                  <c:dLbl>
                    <c:idx val="5"/>
                    <c:layout>
                      <c:manualLayout>
                        <c:x val="3.996003996003996E-3"/>
                        <c:y val="-0.1113320079522862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9-926A-4174-B847-B20F59D72812}"/>
                      </c:ext>
                    </c:extLst>
                  </c:dLbl>
                  <c:dLbl>
                    <c:idx val="6"/>
                    <c:layout>
                      <c:manualLayout>
                        <c:x val="1.3320013320012832E-3"/>
                        <c:y val="-0.16434724983432736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A-926A-4174-B847-B20F59D72812}"/>
                      </c:ext>
                    </c:extLst>
                  </c:dLbl>
                  <c:dLbl>
                    <c:idx val="7"/>
                    <c:layout>
                      <c:manualLayout>
                        <c:x val="0"/>
                        <c:y val="-6.09675281643472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B-926A-4174-B847-B20F59D72812}"/>
                      </c:ext>
                    </c:extLst>
                  </c:dLbl>
                  <c:dLbl>
                    <c:idx val="8"/>
                    <c:layout>
                      <c:manualLayout>
                        <c:x val="-9.7678969284309239E-17"/>
                        <c:y val="-0.18290258449304178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C-926A-4174-B847-B20F59D72812}"/>
                      </c:ext>
                    </c:extLst>
                  </c:dLbl>
                  <c:dLbl>
                    <c:idx val="9"/>
                    <c:layout>
                      <c:manualLayout>
                        <c:x val="2.6640026640025664E-3"/>
                        <c:y val="-0.19085487077534791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D-926A-4174-B847-B20F59D72812}"/>
                      </c:ext>
                    </c:extLst>
                  </c:dLbl>
                  <c:dLbl>
                    <c:idx val="10"/>
                    <c:layout>
                      <c:manualLayout>
                        <c:x val="-1.332001332001332E-3"/>
                        <c:y val="-0.1325381047051027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E-926A-4174-B847-B20F59D72812}"/>
                      </c:ext>
                    </c:extLst>
                  </c:dLbl>
                  <c:dLbl>
                    <c:idx val="11"/>
                    <c:layout>
                      <c:manualLayout>
                        <c:x val="-9.7678969284309239E-17"/>
                        <c:y val="-0.18820410868124585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F-926A-4174-B847-B20F59D72812}"/>
                      </c:ext>
                    </c:extLst>
                  </c:dLbl>
                  <c:dLbl>
                    <c:idx val="12"/>
                    <c:layout>
                      <c:manualLayout>
                        <c:x val="-9.7678969284309239E-17"/>
                        <c:y val="-0.18290258449304178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0-926A-4174-B847-B20F59D72812}"/>
                      </c:ext>
                    </c:extLst>
                  </c:dLbl>
                  <c:dLbl>
                    <c:idx val="13"/>
                    <c:layout>
                      <c:manualLayout>
                        <c:x val="-9.7678969284309239E-17"/>
                        <c:y val="-6.626905235255135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1-926A-4174-B847-B20F59D72812}"/>
                      </c:ext>
                    </c:extLst>
                  </c:dLbl>
                  <c:dLbl>
                    <c:idx val="14"/>
                    <c:layout>
                      <c:manualLayout>
                        <c:x val="-9.7678969284309239E-17"/>
                        <c:y val="-5.566600397614314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2-926A-4174-B847-B20F59D72812}"/>
                      </c:ext>
                    </c:extLst>
                  </c:dLbl>
                  <c:dLbl>
                    <c:idx val="15"/>
                    <c:layout>
                      <c:manualLayout>
                        <c:x val="-9.7678969284309239E-17"/>
                        <c:y val="-0.1802518223989396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3-926A-4174-B847-B20F59D72812}"/>
                      </c:ext>
                    </c:extLst>
                  </c:dLbl>
                  <c:dLbl>
                    <c:idx val="16"/>
                    <c:layout>
                      <c:manualLayout>
                        <c:x val="0"/>
                        <c:y val="-0.18555334658714381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4-926A-4174-B847-B20F59D72812}"/>
                      </c:ext>
                    </c:extLst>
                  </c:dLbl>
                  <c:dLbl>
                    <c:idx val="17"/>
                    <c:layout>
                      <c:manualLayout>
                        <c:x val="0"/>
                        <c:y val="-8.7475149105367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5-926A-4174-B847-B20F59D7281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'Summary Monthly (2)'!$A$5:$A$22</c15:sqref>
                        </c15:formulaRef>
                      </c:ext>
                    </c:extLst>
                    <c:strCache>
                      <c:ptCount val="18"/>
                      <c:pt idx="0">
                        <c:v>PAC006</c:v>
                      </c:pt>
                      <c:pt idx="1">
                        <c:v>PAC009</c:v>
                      </c:pt>
                      <c:pt idx="2">
                        <c:v>PAC010</c:v>
                      </c:pt>
                      <c:pt idx="3">
                        <c:v>PAC011</c:v>
                      </c:pt>
                      <c:pt idx="4">
                        <c:v>PAC012</c:v>
                      </c:pt>
                      <c:pt idx="5">
                        <c:v>PAC013</c:v>
                      </c:pt>
                      <c:pt idx="6">
                        <c:v>PAC014</c:v>
                      </c:pt>
                      <c:pt idx="7">
                        <c:v>PAC015</c:v>
                      </c:pt>
                      <c:pt idx="8">
                        <c:v>PRO006</c:v>
                      </c:pt>
                      <c:pt idx="9">
                        <c:v>PRO007</c:v>
                      </c:pt>
                      <c:pt idx="10">
                        <c:v>PRO009</c:v>
                      </c:pt>
                      <c:pt idx="11">
                        <c:v>PRO011</c:v>
                      </c:pt>
                      <c:pt idx="12">
                        <c:v>PRO013</c:v>
                      </c:pt>
                      <c:pt idx="13">
                        <c:v>PRO014</c:v>
                      </c:pt>
                      <c:pt idx="14">
                        <c:v>PRO015</c:v>
                      </c:pt>
                      <c:pt idx="15">
                        <c:v>PRO016</c:v>
                      </c:pt>
                      <c:pt idx="16">
                        <c:v>PRO019</c:v>
                      </c:pt>
                      <c:pt idx="17">
                        <c:v>UTI007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'Summary Monthly (2)'!$J$5:$J$22</c15:sqref>
                        </c15:formulaRef>
                      </c:ext>
                    </c:extLst>
                    <c:numCache>
                      <c:formatCode>0.0%</c:formatCode>
                      <c:ptCount val="18"/>
                      <c:pt idx="0">
                        <c:v>0.68081063964534516</c:v>
                      </c:pt>
                      <c:pt idx="1">
                        <c:v>0.80711194291730015</c:v>
                      </c:pt>
                      <c:pt idx="2">
                        <c:v>1.1744186046511627</c:v>
                      </c:pt>
                      <c:pt idx="3">
                        <c:v>1.12540192926045</c:v>
                      </c:pt>
                      <c:pt idx="4">
                        <c:v>1.1031055900621118</c:v>
                      </c:pt>
                      <c:pt idx="5">
                        <c:v>1.0467836257309941</c:v>
                      </c:pt>
                      <c:pt idx="6">
                        <c:v>1.2858085808580859</c:v>
                      </c:pt>
                      <c:pt idx="7">
                        <c:v>1.1054131054131053</c:v>
                      </c:pt>
                      <c:pt idx="8">
                        <c:v>1.0067567567567568</c:v>
                      </c:pt>
                      <c:pt idx="9">
                        <c:v>1.1801242236024845</c:v>
                      </c:pt>
                      <c:pt idx="10">
                        <c:v>1.0747826086956522</c:v>
                      </c:pt>
                      <c:pt idx="11">
                        <c:v>1.2</c:v>
                      </c:pt>
                      <c:pt idx="12">
                        <c:v>1.201875</c:v>
                      </c:pt>
                      <c:pt idx="13">
                        <c:v>1.2073490813648293</c:v>
                      </c:pt>
                      <c:pt idx="14">
                        <c:v>1.1921921921921923</c:v>
                      </c:pt>
                      <c:pt idx="15">
                        <c:v>0.9005813953488373</c:v>
                      </c:pt>
                      <c:pt idx="16">
                        <c:v>0.95094339622641511</c:v>
                      </c:pt>
                      <c:pt idx="17">
                        <c:v>1.1858407079646018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6-926A-4174-B847-B20F59D72812}"/>
                  </c:ext>
                </c:extLst>
              </c15:ser>
            </c15:filteredLineSeries>
          </c:ext>
        </c:extLst>
      </c:lineChart>
      <c:valAx>
        <c:axId val="764141200"/>
        <c:scaling>
          <c:orientation val="minMax"/>
          <c:max val="1.4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2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745837464"/>
        <c:scaling>
          <c:orientation val="minMax"/>
          <c:max val="20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36152"/>
        <c:crosses val="max"/>
        <c:crossBetween val="between"/>
        <c:majorUnit val="50"/>
      </c:valAx>
      <c:catAx>
        <c:axId val="74583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5837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428130924193911"/>
          <c:y val="0.93936350401527846"/>
          <c:w val="0.49406142414016441"/>
          <c:h val="4.4731923420109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E'!$H$3</c:f>
              <c:strCache>
                <c:ptCount val="1"/>
                <c:pt idx="0">
                  <c:v>%PM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7.14285580373906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EB9-4BAC-A8E4-D23C787451A5}"/>
                </c:ext>
              </c:extLst>
            </c:dLbl>
            <c:dLbl>
              <c:idx val="2"/>
              <c:layout>
                <c:manualLayout>
                  <c:x val="-2.38521146355169E-3"/>
                  <c:y val="1.42857116074781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19-4685-A2D2-5DE6D8D12271}"/>
                </c:ext>
              </c:extLst>
            </c:dLbl>
            <c:dLbl>
              <c:idx val="3"/>
              <c:layout>
                <c:manualLayout>
                  <c:x val="-3.5778171953275021E-3"/>
                  <c:y val="3.8095230953275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19-4685-A2D2-5DE6D8D12271}"/>
                </c:ext>
              </c:extLst>
            </c:dLbl>
            <c:dLbl>
              <c:idx val="5"/>
              <c:layout>
                <c:manualLayout>
                  <c:x val="5.963028658879127E-3"/>
                  <c:y val="7.14285580373906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19-4685-A2D2-5DE6D8D12271}"/>
                </c:ext>
              </c:extLst>
            </c:dLbl>
            <c:dLbl>
              <c:idx val="6"/>
              <c:layout>
                <c:manualLayout>
                  <c:x val="3.5778171953274587E-3"/>
                  <c:y val="1.6666663542057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19-4685-A2D2-5DE6D8D12271}"/>
                </c:ext>
              </c:extLst>
            </c:dLbl>
            <c:dLbl>
              <c:idx val="7"/>
              <c:layout>
                <c:manualLayout>
                  <c:x val="0"/>
                  <c:y val="9.5238077383187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19-4685-A2D2-5DE6D8D12271}"/>
                </c:ext>
              </c:extLst>
            </c:dLbl>
            <c:dLbl>
              <c:idx val="8"/>
              <c:layout>
                <c:manualLayout>
                  <c:x val="4.7704229271033367E-3"/>
                  <c:y val="8.80952215794485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19-4685-A2D2-5DE6D8D12271}"/>
                </c:ext>
              </c:extLst>
            </c:dLbl>
            <c:dLbl>
              <c:idx val="9"/>
              <c:layout>
                <c:manualLayout>
                  <c:x val="2.3852114635516683E-3"/>
                  <c:y val="1.66666635420578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619-4685-A2D2-5DE6D8D12271}"/>
                </c:ext>
              </c:extLst>
            </c:dLbl>
            <c:dLbl>
              <c:idx val="10"/>
              <c:layout>
                <c:manualLayout>
                  <c:x val="0"/>
                  <c:y val="-1.4285711607478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619-4685-A2D2-5DE6D8D12271}"/>
                </c:ext>
              </c:extLst>
            </c:dLbl>
            <c:dLbl>
              <c:idx val="12"/>
              <c:layout>
                <c:manualLayout>
                  <c:x val="0"/>
                  <c:y val="4.761903869159379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619-4685-A2D2-5DE6D8D122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E'!$A$5:$A$22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 E'!$H$5:$H$22</c:f>
              <c:numCache>
                <c:formatCode>0.0%</c:formatCode>
                <c:ptCount val="18"/>
                <c:pt idx="0">
                  <c:v>0.25600000000000001</c:v>
                </c:pt>
                <c:pt idx="1">
                  <c:v>0.27642276422764228</c:v>
                </c:pt>
                <c:pt idx="2">
                  <c:v>0.22580645161290322</c:v>
                </c:pt>
                <c:pt idx="3">
                  <c:v>0.5</c:v>
                </c:pt>
                <c:pt idx="4">
                  <c:v>0.32098765432098764</c:v>
                </c:pt>
                <c:pt idx="5">
                  <c:v>0.29411764705882354</c:v>
                </c:pt>
                <c:pt idx="6">
                  <c:v>0.18333333333333332</c:v>
                </c:pt>
                <c:pt idx="7">
                  <c:v>0.36507936507936506</c:v>
                </c:pt>
                <c:pt idx="8">
                  <c:v>0.46575342465753422</c:v>
                </c:pt>
                <c:pt idx="9">
                  <c:v>0.45098039215686275</c:v>
                </c:pt>
                <c:pt idx="10">
                  <c:v>0.16806722689075632</c:v>
                </c:pt>
                <c:pt idx="11">
                  <c:v>0.36220472440944884</c:v>
                </c:pt>
                <c:pt idx="12">
                  <c:v>0.2857142857142857</c:v>
                </c:pt>
                <c:pt idx="13">
                  <c:v>0.28333333333333333</c:v>
                </c:pt>
                <c:pt idx="14">
                  <c:v>0.24761904761904763</c:v>
                </c:pt>
                <c:pt idx="15">
                  <c:v>0.24793388429752067</c:v>
                </c:pt>
                <c:pt idx="16">
                  <c:v>0.30952380952380953</c:v>
                </c:pt>
                <c:pt idx="17">
                  <c:v>0.18803418803418803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620-419C-80AB-3D3EB44D8B77}"/>
            </c:ext>
          </c:extLst>
        </c:ser>
        <c:ser>
          <c:idx val="1"/>
          <c:order val="1"/>
          <c:tx>
            <c:strRef>
              <c:f>' E'!$I$3</c:f>
              <c:strCache>
                <c:ptCount val="1"/>
                <c:pt idx="0">
                  <c:v>%CM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2.3809519345796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EB9-4BAC-A8E4-D23C787451A5}"/>
                </c:ext>
              </c:extLst>
            </c:dLbl>
            <c:dLbl>
              <c:idx val="1"/>
              <c:layout>
                <c:manualLayout>
                  <c:x val="0"/>
                  <c:y val="8.57142696448687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EB9-4BAC-A8E4-D23C787451A5}"/>
                </c:ext>
              </c:extLst>
            </c:dLbl>
            <c:dLbl>
              <c:idx val="2"/>
              <c:layout>
                <c:manualLayout>
                  <c:x val="-1.1926057317758342E-3"/>
                  <c:y val="9.7619029317767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DEB9-4BAC-A8E4-D23C787451A5}"/>
                </c:ext>
              </c:extLst>
            </c:dLbl>
            <c:dLbl>
              <c:idx val="3"/>
              <c:layout>
                <c:manualLayout>
                  <c:x val="8.3482401224307945E-3"/>
                  <c:y val="0.104761885121506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EB9-4BAC-A8E4-D23C787451A5}"/>
                </c:ext>
              </c:extLst>
            </c:dLbl>
            <c:dLbl>
              <c:idx val="4"/>
              <c:layout>
                <c:manualLayout>
                  <c:x val="2.3852114635516683E-3"/>
                  <c:y val="6.1904750299071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EB9-4BAC-A8E4-D23C787451A5}"/>
                </c:ext>
              </c:extLst>
            </c:dLbl>
            <c:dLbl>
              <c:idx val="5"/>
              <c:layout>
                <c:manualLayout>
                  <c:x val="0"/>
                  <c:y val="5.238094256075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EB9-4BAC-A8E4-D23C787451A5}"/>
                </c:ext>
              </c:extLst>
            </c:dLbl>
            <c:dLbl>
              <c:idx val="6"/>
              <c:layout>
                <c:manualLayout>
                  <c:x val="4.3728371677899474E-17"/>
                  <c:y val="4.76190386915937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EB9-4BAC-A8E4-D23C787451A5}"/>
                </c:ext>
              </c:extLst>
            </c:dLbl>
            <c:dLbl>
              <c:idx val="7"/>
              <c:layout>
                <c:manualLayout>
                  <c:x val="0"/>
                  <c:y val="9.99999812523469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EB9-4BAC-A8E4-D23C787451A5}"/>
                </c:ext>
              </c:extLst>
            </c:dLbl>
            <c:dLbl>
              <c:idx val="8"/>
              <c:layout>
                <c:manualLayout>
                  <c:x val="0"/>
                  <c:y val="2.14285674112172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DEB9-4BAC-A8E4-D23C787451A5}"/>
                </c:ext>
              </c:extLst>
            </c:dLbl>
            <c:dLbl>
              <c:idx val="9"/>
              <c:layout>
                <c:manualLayout>
                  <c:x val="0"/>
                  <c:y val="8.095236577570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EB9-4BAC-A8E4-D23C787451A5}"/>
                </c:ext>
              </c:extLst>
            </c:dLbl>
            <c:dLbl>
              <c:idx val="10"/>
              <c:layout>
                <c:manualLayout>
                  <c:x val="0"/>
                  <c:y val="2.14285674112172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EB9-4BAC-A8E4-D23C787451A5}"/>
                </c:ext>
              </c:extLst>
            </c:dLbl>
            <c:dLbl>
              <c:idx val="12"/>
              <c:layout>
                <c:manualLayout>
                  <c:x val="0"/>
                  <c:y val="1.42857116074781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EB9-4BAC-A8E4-D23C787451A5}"/>
                </c:ext>
              </c:extLst>
            </c:dLbl>
            <c:dLbl>
              <c:idx val="13"/>
              <c:layout>
                <c:manualLayout>
                  <c:x val="-1.749134867115979E-16"/>
                  <c:y val="1.190475967289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EB9-4BAC-A8E4-D23C787451A5}"/>
                </c:ext>
              </c:extLst>
            </c:dLbl>
            <c:dLbl>
              <c:idx val="14"/>
              <c:layout>
                <c:manualLayout>
                  <c:x val="-2.3852114635516683E-3"/>
                  <c:y val="4.9999990626173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EB9-4BAC-A8E4-D23C787451A5}"/>
                </c:ext>
              </c:extLst>
            </c:dLbl>
            <c:dLbl>
              <c:idx val="15"/>
              <c:layout>
                <c:manualLayout>
                  <c:x val="0"/>
                  <c:y val="3.80952309532749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19-4685-A2D2-5DE6D8D12271}"/>
                </c:ext>
              </c:extLst>
            </c:dLbl>
            <c:dLbl>
              <c:idx val="16"/>
              <c:layout>
                <c:manualLayout>
                  <c:x val="0"/>
                  <c:y val="9.04761735140281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19-4685-A2D2-5DE6D8D12271}"/>
                </c:ext>
              </c:extLst>
            </c:dLbl>
            <c:dLbl>
              <c:idx val="17"/>
              <c:layout>
                <c:manualLayout>
                  <c:x val="0"/>
                  <c:y val="2.8571423214956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EB9-4BAC-A8E4-D23C787451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E'!$A$5:$A$22</c:f>
              <c:strCache>
                <c:ptCount val="18"/>
                <c:pt idx="0">
                  <c:v>PAC006</c:v>
                </c:pt>
                <c:pt idx="1">
                  <c:v>PAC009</c:v>
                </c:pt>
                <c:pt idx="2">
                  <c:v>PAC010</c:v>
                </c:pt>
                <c:pt idx="3">
                  <c:v>PAC011</c:v>
                </c:pt>
                <c:pt idx="4">
                  <c:v>PAC012</c:v>
                </c:pt>
                <c:pt idx="5">
                  <c:v>PAC013</c:v>
                </c:pt>
                <c:pt idx="6">
                  <c:v>PAC014</c:v>
                </c:pt>
                <c:pt idx="7">
                  <c:v>PAC015</c:v>
                </c:pt>
                <c:pt idx="8">
                  <c:v>PRO006</c:v>
                </c:pt>
                <c:pt idx="9">
                  <c:v>PRO007</c:v>
                </c:pt>
                <c:pt idx="10">
                  <c:v>PRO009</c:v>
                </c:pt>
                <c:pt idx="11">
                  <c:v>PRO011</c:v>
                </c:pt>
                <c:pt idx="12">
                  <c:v>PRO013</c:v>
                </c:pt>
                <c:pt idx="13">
                  <c:v>PRO014</c:v>
                </c:pt>
                <c:pt idx="14">
                  <c:v>PRO015</c:v>
                </c:pt>
                <c:pt idx="15">
                  <c:v>PRO016</c:v>
                </c:pt>
                <c:pt idx="16">
                  <c:v>PRO019</c:v>
                </c:pt>
                <c:pt idx="17">
                  <c:v>UTI007</c:v>
                </c:pt>
              </c:strCache>
            </c:strRef>
          </c:cat>
          <c:val>
            <c:numRef>
              <c:f>' E'!$I$5:$I$22</c:f>
              <c:numCache>
                <c:formatCode>0.0%</c:formatCode>
                <c:ptCount val="18"/>
                <c:pt idx="0">
                  <c:v>0.112</c:v>
                </c:pt>
                <c:pt idx="1">
                  <c:v>0.29268292682926828</c:v>
                </c:pt>
                <c:pt idx="2">
                  <c:v>0.27419354838709675</c:v>
                </c:pt>
                <c:pt idx="3">
                  <c:v>0.75</c:v>
                </c:pt>
                <c:pt idx="4">
                  <c:v>0.64197530864197527</c:v>
                </c:pt>
                <c:pt idx="5">
                  <c:v>0.70588235294117652</c:v>
                </c:pt>
                <c:pt idx="6">
                  <c:v>0.48333333333333334</c:v>
                </c:pt>
                <c:pt idx="7">
                  <c:v>0.44444444444444442</c:v>
                </c:pt>
                <c:pt idx="8">
                  <c:v>0.19178082191780821</c:v>
                </c:pt>
                <c:pt idx="9">
                  <c:v>0.74509803921568629</c:v>
                </c:pt>
                <c:pt idx="10">
                  <c:v>0.43697478991596639</c:v>
                </c:pt>
                <c:pt idx="11">
                  <c:v>0.70866141732283461</c:v>
                </c:pt>
                <c:pt idx="12">
                  <c:v>0.59183673469387754</c:v>
                </c:pt>
                <c:pt idx="13">
                  <c:v>0.55000000000000004</c:v>
                </c:pt>
                <c:pt idx="14">
                  <c:v>0.60952380952380958</c:v>
                </c:pt>
                <c:pt idx="15">
                  <c:v>0.21487603305785125</c:v>
                </c:pt>
                <c:pt idx="16">
                  <c:v>0.6428571428571429</c:v>
                </c:pt>
                <c:pt idx="17">
                  <c:v>0.49572649572649574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620-419C-80AB-3D3EB44D8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4143168"/>
        <c:axId val="76414120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 E'!$G$3</c15:sqref>
                        </c15:formulaRef>
                      </c:ext>
                    </c:extLst>
                    <c:strCache>
                      <c:ptCount val="1"/>
                      <c:pt idx="0">
                        <c:v>%RCA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 E'!$A$5:$A$22</c15:sqref>
                        </c15:formulaRef>
                      </c:ext>
                    </c:extLst>
                    <c:strCache>
                      <c:ptCount val="18"/>
                      <c:pt idx="0">
                        <c:v>PAC006</c:v>
                      </c:pt>
                      <c:pt idx="1">
                        <c:v>PAC009</c:v>
                      </c:pt>
                      <c:pt idx="2">
                        <c:v>PAC010</c:v>
                      </c:pt>
                      <c:pt idx="3">
                        <c:v>PAC011</c:v>
                      </c:pt>
                      <c:pt idx="4">
                        <c:v>PAC012</c:v>
                      </c:pt>
                      <c:pt idx="5">
                        <c:v>PAC013</c:v>
                      </c:pt>
                      <c:pt idx="6">
                        <c:v>PAC014</c:v>
                      </c:pt>
                      <c:pt idx="7">
                        <c:v>PAC015</c:v>
                      </c:pt>
                      <c:pt idx="8">
                        <c:v>PRO006</c:v>
                      </c:pt>
                      <c:pt idx="9">
                        <c:v>PRO007</c:v>
                      </c:pt>
                      <c:pt idx="10">
                        <c:v>PRO009</c:v>
                      </c:pt>
                      <c:pt idx="11">
                        <c:v>PRO011</c:v>
                      </c:pt>
                      <c:pt idx="12">
                        <c:v>PRO013</c:v>
                      </c:pt>
                      <c:pt idx="13">
                        <c:v>PRO014</c:v>
                      </c:pt>
                      <c:pt idx="14">
                        <c:v>PRO015</c:v>
                      </c:pt>
                      <c:pt idx="15">
                        <c:v>PRO016</c:v>
                      </c:pt>
                      <c:pt idx="16">
                        <c:v>PRO019</c:v>
                      </c:pt>
                      <c:pt idx="17">
                        <c:v>UTI007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 E'!$G$5:$G$22</c15:sqref>
                        </c15:formulaRef>
                      </c:ext>
                    </c:extLst>
                    <c:numCache>
                      <c:formatCode>0.0%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53B-40D0-A720-6E7738535EC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E'!$F$3</c15:sqref>
                        </c15:formulaRef>
                      </c:ext>
                    </c:extLst>
                    <c:strCache>
                      <c:ptCount val="1"/>
                      <c:pt idx="0">
                        <c:v>HR hour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E'!$A$5:$A$22</c15:sqref>
                        </c15:formulaRef>
                      </c:ext>
                    </c:extLst>
                    <c:strCache>
                      <c:ptCount val="18"/>
                      <c:pt idx="0">
                        <c:v>PAC006</c:v>
                      </c:pt>
                      <c:pt idx="1">
                        <c:v>PAC009</c:v>
                      </c:pt>
                      <c:pt idx="2">
                        <c:v>PAC010</c:v>
                      </c:pt>
                      <c:pt idx="3">
                        <c:v>PAC011</c:v>
                      </c:pt>
                      <c:pt idx="4">
                        <c:v>PAC012</c:v>
                      </c:pt>
                      <c:pt idx="5">
                        <c:v>PAC013</c:v>
                      </c:pt>
                      <c:pt idx="6">
                        <c:v>PAC014</c:v>
                      </c:pt>
                      <c:pt idx="7">
                        <c:v>PAC015</c:v>
                      </c:pt>
                      <c:pt idx="8">
                        <c:v>PRO006</c:v>
                      </c:pt>
                      <c:pt idx="9">
                        <c:v>PRO007</c:v>
                      </c:pt>
                      <c:pt idx="10">
                        <c:v>PRO009</c:v>
                      </c:pt>
                      <c:pt idx="11">
                        <c:v>PRO011</c:v>
                      </c:pt>
                      <c:pt idx="12">
                        <c:v>PRO013</c:v>
                      </c:pt>
                      <c:pt idx="13">
                        <c:v>PRO014</c:v>
                      </c:pt>
                      <c:pt idx="14">
                        <c:v>PRO015</c:v>
                      </c:pt>
                      <c:pt idx="15">
                        <c:v>PRO016</c:v>
                      </c:pt>
                      <c:pt idx="16">
                        <c:v>PRO019</c:v>
                      </c:pt>
                      <c:pt idx="17">
                        <c:v>UTI007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E'!$F$5:$F$22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62.5</c:v>
                      </c:pt>
                      <c:pt idx="1">
                        <c:v>61.5</c:v>
                      </c:pt>
                      <c:pt idx="2">
                        <c:v>62</c:v>
                      </c:pt>
                      <c:pt idx="3">
                        <c:v>40</c:v>
                      </c:pt>
                      <c:pt idx="4">
                        <c:v>40.5</c:v>
                      </c:pt>
                      <c:pt idx="5">
                        <c:v>51</c:v>
                      </c:pt>
                      <c:pt idx="6">
                        <c:v>60</c:v>
                      </c:pt>
                      <c:pt idx="7">
                        <c:v>63</c:v>
                      </c:pt>
                      <c:pt idx="8">
                        <c:v>36.5</c:v>
                      </c:pt>
                      <c:pt idx="9">
                        <c:v>51</c:v>
                      </c:pt>
                      <c:pt idx="10">
                        <c:v>59.5</c:v>
                      </c:pt>
                      <c:pt idx="11">
                        <c:v>63.5</c:v>
                      </c:pt>
                      <c:pt idx="12">
                        <c:v>49</c:v>
                      </c:pt>
                      <c:pt idx="13">
                        <c:v>60</c:v>
                      </c:pt>
                      <c:pt idx="14">
                        <c:v>52.5</c:v>
                      </c:pt>
                      <c:pt idx="15">
                        <c:v>60.5</c:v>
                      </c:pt>
                      <c:pt idx="16">
                        <c:v>42</c:v>
                      </c:pt>
                      <c:pt idx="17">
                        <c:v>58.5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EB9-4BAC-A8E4-D23C787451A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E'!$J$3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E'!$A$5:$A$22</c15:sqref>
                        </c15:formulaRef>
                      </c:ext>
                    </c:extLst>
                    <c:strCache>
                      <c:ptCount val="18"/>
                      <c:pt idx="0">
                        <c:v>PAC006</c:v>
                      </c:pt>
                      <c:pt idx="1">
                        <c:v>PAC009</c:v>
                      </c:pt>
                      <c:pt idx="2">
                        <c:v>PAC010</c:v>
                      </c:pt>
                      <c:pt idx="3">
                        <c:v>PAC011</c:v>
                      </c:pt>
                      <c:pt idx="4">
                        <c:v>PAC012</c:v>
                      </c:pt>
                      <c:pt idx="5">
                        <c:v>PAC013</c:v>
                      </c:pt>
                      <c:pt idx="6">
                        <c:v>PAC014</c:v>
                      </c:pt>
                      <c:pt idx="7">
                        <c:v>PAC015</c:v>
                      </c:pt>
                      <c:pt idx="8">
                        <c:v>PRO006</c:v>
                      </c:pt>
                      <c:pt idx="9">
                        <c:v>PRO007</c:v>
                      </c:pt>
                      <c:pt idx="10">
                        <c:v>PRO009</c:v>
                      </c:pt>
                      <c:pt idx="11">
                        <c:v>PRO011</c:v>
                      </c:pt>
                      <c:pt idx="12">
                        <c:v>PRO013</c:v>
                      </c:pt>
                      <c:pt idx="13">
                        <c:v>PRO014</c:v>
                      </c:pt>
                      <c:pt idx="14">
                        <c:v>PRO015</c:v>
                      </c:pt>
                      <c:pt idx="15">
                        <c:v>PRO016</c:v>
                      </c:pt>
                      <c:pt idx="16">
                        <c:v>PRO019</c:v>
                      </c:pt>
                      <c:pt idx="17">
                        <c:v>UTI007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 E'!$J$5:$J$22</c15:sqref>
                        </c15:formulaRef>
                      </c:ext>
                    </c:extLst>
                    <c:numCache>
                      <c:formatCode>0.0%</c:formatCode>
                      <c:ptCount val="18"/>
                      <c:pt idx="0">
                        <c:v>0.36799999999999999</c:v>
                      </c:pt>
                      <c:pt idx="1">
                        <c:v>0.56910569105691056</c:v>
                      </c:pt>
                      <c:pt idx="2">
                        <c:v>0.5</c:v>
                      </c:pt>
                      <c:pt idx="3">
                        <c:v>1.25</c:v>
                      </c:pt>
                      <c:pt idx="4">
                        <c:v>0.96296296296296291</c:v>
                      </c:pt>
                      <c:pt idx="5">
                        <c:v>1</c:v>
                      </c:pt>
                      <c:pt idx="6">
                        <c:v>0.66666666666666663</c:v>
                      </c:pt>
                      <c:pt idx="7">
                        <c:v>0.80952380952380953</c:v>
                      </c:pt>
                      <c:pt idx="8">
                        <c:v>0.65753424657534243</c:v>
                      </c:pt>
                      <c:pt idx="9">
                        <c:v>1.196078431372549</c:v>
                      </c:pt>
                      <c:pt idx="10">
                        <c:v>0.60504201680672276</c:v>
                      </c:pt>
                      <c:pt idx="11">
                        <c:v>1.0708661417322833</c:v>
                      </c:pt>
                      <c:pt idx="12">
                        <c:v>0.87755102040816324</c:v>
                      </c:pt>
                      <c:pt idx="13">
                        <c:v>0.83333333333333337</c:v>
                      </c:pt>
                      <c:pt idx="14">
                        <c:v>0.85714285714285721</c:v>
                      </c:pt>
                      <c:pt idx="15">
                        <c:v>0.46280991735537191</c:v>
                      </c:pt>
                      <c:pt idx="16">
                        <c:v>0.95238095238095244</c:v>
                      </c:pt>
                      <c:pt idx="17">
                        <c:v>0.68376068376068377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DEB9-4BAC-A8E4-D23C787451A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 E'!$E$3</c:f>
              <c:strCache>
                <c:ptCount val="1"/>
                <c:pt idx="0">
                  <c:v>JR</c:v>
                </c:pt>
              </c:strCache>
            </c:strRef>
          </c:tx>
          <c:spPr>
            <a:ln w="2222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6350">
                <a:solidFill>
                  <a:schemeClr val="accent4"/>
                </a:solidFill>
                <a:prstDash val="dash"/>
              </a:ln>
              <a:effectLst/>
            </c:spPr>
          </c:marker>
          <c:dLbls>
            <c:dLbl>
              <c:idx val="8"/>
              <c:layout>
                <c:manualLayout>
                  <c:x val="-2.027429744018918E-2"/>
                  <c:y val="-3.0952375149535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619-4685-A2D2-5DE6D8D122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 E'!$E$5:$E$22</c:f>
              <c:numCache>
                <c:formatCode>0</c:formatCode>
                <c:ptCount val="18"/>
                <c:pt idx="0">
                  <c:v>23</c:v>
                </c:pt>
                <c:pt idx="1">
                  <c:v>34</c:v>
                </c:pt>
                <c:pt idx="2">
                  <c:v>31</c:v>
                </c:pt>
                <c:pt idx="3">
                  <c:v>63</c:v>
                </c:pt>
                <c:pt idx="4">
                  <c:v>39</c:v>
                </c:pt>
                <c:pt idx="5">
                  <c:v>51</c:v>
                </c:pt>
                <c:pt idx="6">
                  <c:v>36</c:v>
                </c:pt>
                <c:pt idx="7">
                  <c:v>51</c:v>
                </c:pt>
                <c:pt idx="8">
                  <c:v>24</c:v>
                </c:pt>
                <c:pt idx="9">
                  <c:v>60</c:v>
                </c:pt>
                <c:pt idx="10">
                  <c:v>36</c:v>
                </c:pt>
                <c:pt idx="11">
                  <c:v>65</c:v>
                </c:pt>
                <c:pt idx="12">
                  <c:v>39</c:v>
                </c:pt>
                <c:pt idx="13">
                  <c:v>46</c:v>
                </c:pt>
                <c:pt idx="14">
                  <c:v>37</c:v>
                </c:pt>
                <c:pt idx="15">
                  <c:v>30</c:v>
                </c:pt>
                <c:pt idx="16">
                  <c:v>32</c:v>
                </c:pt>
                <c:pt idx="17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19-4685-A2D2-5DE6D8D12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020296"/>
        <c:axId val="677019968"/>
      </c:lineChart>
      <c:valAx>
        <c:axId val="764141200"/>
        <c:scaling>
          <c:orientation val="minMax"/>
          <c:max val="1.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2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67701996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020296"/>
        <c:crosses val="max"/>
        <c:crossBetween val="between"/>
      </c:valAx>
      <c:catAx>
        <c:axId val="677020296"/>
        <c:scaling>
          <c:orientation val="minMax"/>
        </c:scaling>
        <c:delete val="1"/>
        <c:axPos val="b"/>
        <c:majorTickMark val="out"/>
        <c:minorTickMark val="none"/>
        <c:tickLblPos val="nextTo"/>
        <c:crossAx val="67701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964087730331372"/>
          <c:y val="0.94553544328169403"/>
          <c:w val="0.38895662117329682"/>
          <c:h val="4.01788451108276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533399</xdr:colOff>
      <xdr:row>21</xdr:row>
      <xdr:rowOff>57150</xdr:rowOff>
    </xdr:from>
    <xdr:to>
      <xdr:col>12</xdr:col>
      <xdr:colOff>1152525</xdr:colOff>
      <xdr:row>45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936B4D-F33D-45A5-9DB6-043711FCF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24</xdr:row>
      <xdr:rowOff>47624</xdr:rowOff>
    </xdr:from>
    <xdr:to>
      <xdr:col>15</xdr:col>
      <xdr:colOff>371474</xdr:colOff>
      <xdr:row>49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DB69A-487B-441B-88D5-2469A46FB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104774</xdr:colOff>
      <xdr:row>2</xdr:row>
      <xdr:rowOff>123824</xdr:rowOff>
    </xdr:from>
    <xdr:to>
      <xdr:col>27</xdr:col>
      <xdr:colOff>485774</xdr:colOff>
      <xdr:row>27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692A8-96A2-4FCA-8E93-96F70CBDC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</xdr:row>
      <xdr:rowOff>76199</xdr:rowOff>
    </xdr:from>
    <xdr:to>
      <xdr:col>24</xdr:col>
      <xdr:colOff>514349</xdr:colOff>
      <xdr:row>29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2DB99-2DDA-44A3-A9DD-20C8EB986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47624</xdr:colOff>
      <xdr:row>2</xdr:row>
      <xdr:rowOff>47624</xdr:rowOff>
    </xdr:from>
    <xdr:to>
      <xdr:col>25</xdr:col>
      <xdr:colOff>438149</xdr:colOff>
      <xdr:row>29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AD089F-8B02-4407-BC0D-093424C5D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123824</xdr:colOff>
      <xdr:row>2</xdr:row>
      <xdr:rowOff>76199</xdr:rowOff>
    </xdr:from>
    <xdr:to>
      <xdr:col>27</xdr:col>
      <xdr:colOff>409575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26AEB-53C3-41C1-A54E-0D38A7AA8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etra, Pacharapan {PI}" refreshedDate="43850.621436111112" createdVersion="6" refreshedVersion="6" minRefreshableVersion="3" recordCount="887" xr:uid="{DA9908DD-F1B3-4123-B844-A0ED057B085E}">
  <cacheSource type="worksheet">
    <worksheetSource ref="B4:S991" sheet="AcZB02"/>
  </cacheSource>
  <cacheFields count="18">
    <cacheField name="S" numFmtId="0">
      <sharedItems containsNonDate="0" containsString="0" containsBlank="1"/>
    </cacheField>
    <cacheField name="Confirm." numFmtId="0">
      <sharedItems containsString="0" containsBlank="1" containsNumber="1" containsInteger="1" minValue="3021734" maxValue="3137647"/>
    </cacheField>
    <cacheField name="Postg date" numFmtId="0">
      <sharedItems containsBlank="1"/>
    </cacheField>
    <cacheField name="Counter" numFmtId="0">
      <sharedItems containsString="0" containsBlank="1" containsNumber="1" containsInteger="1" minValue="1" maxValue="6"/>
    </cacheField>
    <cacheField name="WkCtrPln" numFmtId="0">
      <sharedItems containsBlank="1"/>
    </cacheField>
    <cacheField name="WkCtrAct" numFmtId="0">
      <sharedItems containsBlank="1" count="21">
        <s v="PAC002"/>
        <s v="PAC006"/>
        <s v="PAC009"/>
        <s v="PAC010"/>
        <s v="PAC011"/>
        <s v="PAC012"/>
        <s v="PAC013"/>
        <s v="PAC014"/>
        <s v="PAC015"/>
        <s v="PRO006"/>
        <s v="PRO007"/>
        <s v="PRO009"/>
        <s v="PRO011"/>
        <s v="PRO013"/>
        <s v="PRO014"/>
        <s v="PRO015"/>
        <s v="PRO016"/>
        <s v="PRO019"/>
        <s v="UTI007"/>
        <s v="PRO010"/>
        <m/>
      </sharedItems>
    </cacheField>
    <cacheField name="Act. work" numFmtId="0">
      <sharedItems containsString="0" containsBlank="1" containsNumber="1" minValue="0" maxValue="960"/>
    </cacheField>
    <cacheField name="Un. WkAct" numFmtId="0">
      <sharedItems containsBlank="1"/>
    </cacheField>
    <cacheField name="H." numFmtId="0">
      <sharedItems containsString="0" containsBlank="1" containsNumber="1" minValue="0" maxValue="360"/>
    </cacheField>
    <cacheField name="OrdCat" numFmtId="0">
      <sharedItems containsBlank="1" count="3">
        <s v="ZB02"/>
        <s v="ZB05"/>
        <m/>
      </sharedItems>
    </cacheField>
    <cacheField name="Act. start" numFmtId="0">
      <sharedItems containsBlank="1"/>
    </cacheField>
    <cacheField name="Act.finish" numFmtId="0">
      <sharedItems containsBlank="1"/>
    </cacheField>
    <cacheField name="Act.start" numFmtId="0">
      <sharedItems containsNonDate="0" containsDate="1" containsString="0" containsBlank="1" minDate="1899-12-30T00:00:00" maxDate="1899-12-30T23:30:00"/>
    </cacheField>
    <cacheField name="Act.finish2" numFmtId="0">
      <sharedItems containsNonDate="0" containsDate="1" containsString="0" containsBlank="1" minDate="1899-12-30T00:00:00" maxDate="1900-01-01T00:00:00"/>
    </cacheField>
    <cacheField name="Order" numFmtId="0">
      <sharedItems containsString="0" containsBlank="1" containsNumber="1" containsInteger="1" minValue="4000073467" maxValue="4000116342" count="356">
        <n v="4000073467"/>
        <n v="4000112799"/>
        <n v="4000114866"/>
        <n v="4000107627"/>
        <n v="4000111376"/>
        <n v="4000113249"/>
        <n v="4000113361"/>
        <n v="4000113374"/>
        <n v="4000108465"/>
        <n v="4000112663"/>
        <n v="4000112705"/>
        <n v="4000112721"/>
        <n v="4000114872"/>
        <n v="4000114875"/>
        <n v="4000114876"/>
        <n v="4000114894"/>
        <n v="4000114931"/>
        <n v="4000114942"/>
        <n v="4000114948"/>
        <n v="4000114949"/>
        <n v="4000114950"/>
        <n v="4000114955"/>
        <n v="4000114959"/>
        <n v="4000114968"/>
        <n v="4000114980"/>
        <n v="4000114998"/>
        <n v="4000107632"/>
        <n v="4000112671"/>
        <n v="4000113260"/>
        <n v="4000113396"/>
        <n v="4000109505"/>
        <n v="4000109512"/>
        <n v="4000113401"/>
        <n v="4000113427"/>
        <n v="4000108484"/>
        <n v="4000111378"/>
        <n v="4000112032"/>
        <n v="4000112668"/>
        <n v="4000112672"/>
        <n v="4000112677"/>
        <n v="4000112713"/>
        <n v="4000112715"/>
        <n v="4000113354"/>
        <n v="4000113358"/>
        <n v="4000113369"/>
        <n v="4000113387"/>
        <n v="4000113391"/>
        <n v="4000114895"/>
        <n v="4000115996"/>
        <n v="4000111405"/>
        <n v="4000113377"/>
        <n v="4000108532"/>
        <n v="4000113385"/>
        <n v="4000113422"/>
        <n v="4000113444"/>
        <n v="4000114867"/>
        <n v="4000114870"/>
        <n v="4000114871"/>
        <n v="4000114043"/>
        <n v="4000108534"/>
        <n v="4000109519"/>
        <n v="4000111412"/>
        <n v="4000114888"/>
        <n v="4000114889"/>
        <n v="4000114891"/>
        <n v="4000115001"/>
        <n v="4000115009"/>
        <n v="4000111423"/>
        <n v="4000112729"/>
        <n v="4000112752"/>
        <n v="4000112755"/>
        <n v="4000112756"/>
        <n v="4000112761"/>
        <n v="4000112762"/>
        <n v="4000112763"/>
        <n v="4000112792"/>
        <n v="4000112793"/>
        <n v="4000112803"/>
        <n v="4000076868"/>
        <n v="4000113393"/>
        <n v="4000076855"/>
        <n v="4000076865"/>
        <n v="4000076869"/>
        <n v="4000076870"/>
        <n v="4000114009"/>
        <n v="4000114874"/>
        <n v="4000114892"/>
        <n v="4000114893"/>
        <n v="4000114925"/>
        <n v="4000114932"/>
        <n v="4000114962"/>
        <n v="4000114981"/>
        <n v="4000112123"/>
        <n v="4000112124"/>
        <n v="4000114066"/>
        <n v="4000114073"/>
        <n v="4000114074"/>
        <n v="4000115022"/>
        <n v="4000115045"/>
        <n v="4000115046"/>
        <n v="4000115051"/>
        <n v="4000115052"/>
        <n v="4000115053"/>
        <n v="4000115056"/>
        <n v="4000114921"/>
        <n v="4000114922"/>
        <n v="4000114924"/>
        <n v="4000114926"/>
        <n v="4000114961"/>
        <n v="4000114963"/>
        <n v="4000114996"/>
        <n v="4000114999"/>
        <n v="4000116060"/>
        <n v="4000115783"/>
        <n v="4000112727"/>
        <n v="4000111406"/>
        <n v="4000111418"/>
        <n v="4000112112"/>
        <n v="4000112113"/>
        <n v="4000112125"/>
        <n v="4000112119"/>
        <n v="4000112128"/>
        <n v="4000113373"/>
        <n v="4000113380"/>
        <n v="4000113381"/>
        <n v="4000112094"/>
        <n v="4000112101"/>
        <n v="4000112053"/>
        <n v="4000112058"/>
        <n v="4000112811"/>
        <n v="4000113403"/>
        <n v="4000113434"/>
        <n v="4000114077"/>
        <n v="4000114078"/>
        <n v="4000113418"/>
        <n v="4000113439"/>
        <n v="4000112667"/>
        <n v="4000112703"/>
        <n v="4000114983"/>
        <n v="4000114994"/>
        <n v="4000114865"/>
        <n v="4000114995"/>
        <n v="4000114997"/>
        <n v="4000115995"/>
        <n v="4000115005"/>
        <n v="4000115017"/>
        <n v="4000115021"/>
        <n v="4000115023"/>
        <n v="4000116079"/>
        <n v="4000112750"/>
        <n v="4000112774"/>
        <n v="4000112775"/>
        <n v="4000107644"/>
        <n v="4000112766"/>
        <n v="4000112767"/>
        <n v="4000112771"/>
        <n v="4000112772"/>
        <n v="4000112798"/>
        <n v="4000112814"/>
        <n v="4000112815"/>
        <n v="4000112736"/>
        <n v="4000112751"/>
        <n v="4000112764"/>
        <n v="4000112807"/>
        <n v="4000112808"/>
        <n v="4000112812"/>
        <n v="4000112813"/>
        <n v="4000116071"/>
        <n v="4000115719"/>
        <n v="4000112673"/>
        <n v="4000112670"/>
        <n v="4000113258"/>
        <n v="4000113352"/>
        <n v="4000113384"/>
        <n v="4000108490"/>
        <n v="4000112676"/>
        <n v="4000114041"/>
        <n v="4000116037"/>
        <n v="4000108574"/>
        <n v="4000108575"/>
        <n v="4000116342"/>
        <n v="4000113395"/>
        <n v="4000115000"/>
        <n v="4000111355"/>
        <n v="4000111382"/>
        <n v="4000112110"/>
        <n v="4000112666"/>
        <n v="4000112054"/>
        <n v="4000112080"/>
        <n v="4000112063"/>
        <n v="4000112702"/>
        <n v="4000112669"/>
        <n v="4000112675"/>
        <n v="4000113341"/>
        <n v="4000113389"/>
        <n v="4000114017"/>
        <n v="4000114018"/>
        <n v="4000114044"/>
        <n v="4000115999"/>
        <n v="4000114933"/>
        <n v="4000114934"/>
        <n v="4000114010"/>
        <n v="4000114042"/>
        <n v="4000114923"/>
        <n v="4000115002"/>
        <n v="4000115998"/>
        <n v="4000105442"/>
        <n v="4000112743"/>
        <n v="4000112773"/>
        <n v="4000112747"/>
        <n v="4000112769"/>
        <n v="4000112789"/>
        <n v="4000112795"/>
        <n v="4000112823"/>
        <n v="4000112120"/>
        <n v="4000114951"/>
        <n v="4000112800"/>
        <n v="4000112745"/>
        <n v="4000112779"/>
        <n v="4000112794"/>
        <n v="4000111357"/>
        <n v="4000111381"/>
        <n v="4000112026"/>
        <n v="4000113362"/>
        <n v="4000113363"/>
        <n v="4000113368"/>
        <n v="4000112116"/>
        <n v="4000112027"/>
        <n v="4000112107"/>
        <n v="4000113386"/>
        <n v="4000113398"/>
        <n v="4000114011"/>
        <n v="4000114862"/>
        <n v="4000114869"/>
        <n v="4000114944"/>
        <n v="4000114952"/>
        <n v="4000114967"/>
        <n v="4000114760"/>
        <n v="4000114880"/>
        <n v="4000114943"/>
        <n v="4000115003"/>
        <n v="4000075232"/>
        <n v="4000075234"/>
        <n v="4000075235"/>
        <n v="4000075241"/>
        <n v="4000112730"/>
        <n v="4000112733"/>
        <n v="4000112734"/>
        <n v="4000112742"/>
        <n v="4000112744"/>
        <n v="4000112757"/>
        <n v="4000112758"/>
        <n v="4000112759"/>
        <n v="4000112760"/>
        <n v="4000112765"/>
        <n v="4000112780"/>
        <n v="4000112783"/>
        <n v="4000112784"/>
        <n v="4000112786"/>
        <n v="4000112787"/>
        <n v="4000112788"/>
        <n v="4000112797"/>
        <n v="4000112801"/>
        <n v="4000112817"/>
        <n v="4000112822"/>
        <n v="4000112824"/>
        <n v="4000112825"/>
        <n v="4000112804"/>
        <n v="4000076858"/>
        <n v="4000114053"/>
        <n v="4000114046"/>
        <n v="4000112706"/>
        <n v="4000102706"/>
        <n v="4000112033"/>
        <n v="4000108584"/>
        <n v="4000114054"/>
        <n v="4000116070"/>
        <n v="4000112118"/>
        <n v="4000112127"/>
        <n v="4000112819"/>
        <n v="4000112085"/>
        <n v="4000112126"/>
        <n v="4000112717"/>
        <n v="4000112818"/>
        <n v="4000113250"/>
        <n v="4000113251"/>
        <n v="4000113255"/>
        <n v="4000113357"/>
        <n v="4000113360"/>
        <n v="4000113371"/>
        <n v="4000113372"/>
        <n v="4000113379"/>
        <n v="4000113382"/>
        <n v="4000113388"/>
        <n v="4000112056"/>
        <n v="4000112057"/>
        <n v="4000112084"/>
        <n v="4000112679"/>
        <n v="4000112716"/>
        <n v="4000113344"/>
        <n v="4000112108"/>
        <n v="4000112665"/>
        <n v="4000112718"/>
        <n v="4000113400"/>
        <n v="4000114927"/>
        <n v="4000115004"/>
        <n v="4000115024"/>
        <n v="4000115044"/>
        <n v="4000115050"/>
        <n v="4000115057"/>
        <n v="4000116080"/>
        <n v="4000112741"/>
        <n v="4000113370"/>
        <n v="4000111371"/>
        <n v="4000111356"/>
        <n v="4000111377"/>
        <n v="4000111379"/>
        <n v="4000112089"/>
        <n v="4000112106"/>
        <n v="4000107626"/>
        <n v="4000112060"/>
        <n v="4000105420"/>
        <n v="4000109550"/>
        <n v="4000109558"/>
        <n v="4000110425"/>
        <n v="4000112820"/>
        <n v="4000110414"/>
        <n v="4000114013"/>
        <n v="4000114069"/>
        <n v="4000114072"/>
        <n v="4000114076"/>
        <n v="4000115029"/>
        <n v="4000112732"/>
        <n v="4000114051"/>
        <n v="4000114079"/>
        <n v="4000115008"/>
        <n v="4000115013"/>
        <n v="4000115014"/>
        <n v="4000115030"/>
        <n v="4000114055"/>
        <n v="4000114056"/>
        <n v="4000114864"/>
        <n v="4000114873"/>
        <n v="4000114882"/>
        <n v="4000114954"/>
        <n v="4000114958"/>
        <n v="4000115054"/>
        <n v="4000114930"/>
        <n v="4000114953"/>
        <n v="4000112704"/>
        <n v="4000112028"/>
        <n v="4000113342"/>
        <n v="4000113359"/>
        <n v="4000113402"/>
        <n v="4000108595"/>
        <m/>
      </sharedItems>
    </cacheField>
    <cacheField name="Equipment" numFmtId="0">
      <sharedItems containsString="0" containsBlank="1" containsNumber="1" containsInteger="1" minValue="10049350" maxValue="10072700"/>
    </cacheField>
    <cacheField name="Functional Location" numFmtId="0">
      <sharedItems containsBlank="1"/>
    </cacheField>
    <cacheField name="Confirmation tex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etra, Pacharapan {PI}" refreshedDate="43896.564170717589" createdVersion="6" refreshedVersion="6" minRefreshableVersion="3" recordCount="158" xr:uid="{DAAF1E53-ED29-4321-9F32-5D4DC4511F4A}">
  <cacheSource type="worksheet">
    <worksheetSource ref="A2:L160" sheet="Manhour HR"/>
  </cacheSource>
  <cacheFields count="12">
    <cacheField name="รหัส" numFmtId="0">
      <sharedItems containsMixedTypes="1" containsNumber="1" containsInteger="1" minValue="20610013" maxValue="80067786"/>
    </cacheField>
    <cacheField name="ชื่อ - สกุล (ไทย)" numFmtId="0">
      <sharedItems containsBlank="1"/>
    </cacheField>
    <cacheField name="ชื่อ - สกุล (อังกฤษ)" numFmtId="0">
      <sharedItems containsBlank="1" count="39">
        <s v="Mr. Tavatchai Gaewchan PRO011"/>
        <s v="Mr. Banlu Jujai PAC006"/>
        <s v="Mr. Noppadon Jitman PAC012"/>
        <s v="Mr. Jakkapong Kapsee PAC015"/>
        <s v="Mr. Yuttakan Karvichar PRO016"/>
        <s v="Mr. Panuwat Chaichompoo UTI007"/>
        <s v="Mr. Jassdapong Daoungkeaw PRO015"/>
        <s v="Mr. Sakorn Insongjai PRO007"/>
        <s v="Mr. Ratchanon Nontathum PRO013"/>
        <s v="Mr. Narit Anon PAC010"/>
        <s v="Mr. Chetsada Parkongwan PAC011"/>
        <s v="Mr. Somnuk Mongkholkaew PRO014"/>
        <s v="Mr. Komol Somboonluer PRO006"/>
        <s v="Mr. Aeknarin Chaiwong PRO009"/>
        <s v="Mr. Oomsap Sakunprakaiphon PAC013"/>
        <s v="Mr. Kitsada Rangsitwatthana PRO019"/>
        <s v="Mr. Anuwat Chandee PAC009"/>
        <s v="Mr. Worawit Jakjaiwong PAC014"/>
        <m/>
        <s v="ชื่อ - สกุล (อังกฤษ)"/>
        <s v="Mr. Tavatchai Gaewchan"/>
        <s v="Mr. Banlu Jujai"/>
        <s v="Mr. Noppadon Jitman"/>
        <s v="Mr. Jakkapong Kapsee"/>
        <s v="Mr. Yuttakan Karvichar"/>
        <s v="Mr. Panuwat Chaichompoo"/>
        <s v="Mr. Jassdapong Daoungkeaw"/>
        <s v="Mr. Sakorn Insongjai"/>
        <s v="Mr. Ratchanon Nontathum"/>
        <s v="Mr. Narit Anon"/>
        <s v="Mr. Chetsada Parkongwan"/>
        <s v="Mr. Somnuk Mongkholkaew"/>
        <s v="Mr. Komol Somboonluer"/>
        <s v="Mr. Aeknarin Chaiwong"/>
        <s v="Mr. Oomsap Sakunprakaiphon"/>
        <s v="Mr. Kitsada Rangsitwatthana"/>
        <s v="Mr. Anuwat Chandee"/>
        <s v="Mr. Worawit Jakjaiwong"/>
        <s v="Mr. Sansurn Jaynoln"/>
      </sharedItems>
    </cacheField>
    <cacheField name="ตำแหน่ง" numFmtId="0">
      <sharedItems containsBlank="1"/>
    </cacheField>
    <cacheField name="WH" numFmtId="0">
      <sharedItems containsBlank="1" containsMixedTypes="1" containsNumber="1" minValue="7.5" maxValue="37.5"/>
    </cacheField>
    <cacheField name="OT1" numFmtId="0">
      <sharedItems containsBlank="1" containsMixedTypes="1" containsNumber="1" minValue="7.48" maxValue="17"/>
    </cacheField>
    <cacheField name="OT1.5" numFmtId="0">
      <sharedItems containsBlank="1" containsMixedTypes="1" containsNumber="1" minValue="3" maxValue="17"/>
    </cacheField>
    <cacheField name="OT1HOL" numFmtId="0">
      <sharedItems containsBlank="1" containsMixedTypes="1" containsNumber="1" minValue="7.5" maxValue="7.5"/>
    </cacheField>
    <cacheField name="OT2" numFmtId="0">
      <sharedItems containsBlank="1" containsMixedTypes="1" containsNumber="1" minValue="7.5" maxValue="15"/>
    </cacheField>
    <cacheField name="OT3" numFmtId="0">
      <sharedItems containsBlank="1" containsMixedTypes="1" containsNumber="1" minValue="1.5" maxValue="6.5"/>
    </cacheField>
    <cacheField name="Summary/W" numFmtId="0">
      <sharedItems containsBlank="1" containsMixedTypes="1" containsNumber="1" minValue="0" maxValue="73.5"/>
    </cacheField>
    <cacheField name="OT net" numFmtId="0">
      <sharedItems containsBlank="1" containsMixedTypes="1" containsNumber="1" minValue="0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7">
  <r>
    <m/>
    <n v="3021735"/>
    <s v="13.01.2020"/>
    <n v="1"/>
    <s v="PAC002"/>
    <x v="0"/>
    <n v="960"/>
    <s v="MIN"/>
    <n v="16"/>
    <x v="0"/>
    <s v="13.01.2020"/>
    <s v="13.01.2020"/>
    <d v="1899-12-30T08:44:48"/>
    <d v="1899-12-30T13:44:20"/>
    <x v="0"/>
    <n v="10051083"/>
    <s v="PI-TH-7151-FA-PK-02"/>
    <m/>
  </r>
  <r>
    <m/>
    <n v="3122103"/>
    <s v="16.01.2020"/>
    <n v="1"/>
    <s v="PAC002"/>
    <x v="1"/>
    <n v="30"/>
    <s v="MIN"/>
    <n v="0.5"/>
    <x v="0"/>
    <s v="11.01.2020"/>
    <s v="15.01.2020"/>
    <d v="1899-12-30T11:00:00"/>
    <d v="1899-12-30T11:30:00"/>
    <x v="1"/>
    <n v="10070472"/>
    <s v="PI-TH-7151-FA-PK-05"/>
    <s v="ตรวจเช็คทำความสะอาดเรียบร้อย"/>
  </r>
  <r>
    <m/>
    <n v="3134107"/>
    <s v="20.01.2020"/>
    <n v="2"/>
    <s v="PRO001"/>
    <x v="1"/>
    <n v="30"/>
    <s v="MIN"/>
    <n v="0.5"/>
    <x v="0"/>
    <s v="08.01.2020"/>
    <s v="08.01.2020"/>
    <d v="1899-12-30T10:00:00"/>
    <d v="1899-12-30T10:30:00"/>
    <x v="2"/>
    <n v="10051218"/>
    <s v="PI-TH-7151-FA-F1-BC"/>
    <s v="ทำความสะอาด"/>
  </r>
  <r>
    <m/>
    <n v="3110471"/>
    <s v="12.01.2020"/>
    <n v="1"/>
    <s v="PRO002"/>
    <x v="1"/>
    <n v="30"/>
    <s v="MIN"/>
    <n v="0.5"/>
    <x v="0"/>
    <s v="02.01.2020"/>
    <s v="02.01.2020"/>
    <d v="1899-12-30T08:00:00"/>
    <d v="1899-12-30T08:30:00"/>
    <x v="3"/>
    <n v="10051396"/>
    <s v="PI-TH-7151-FA-F1-P1"/>
    <s v="ทำความสะอาดแล้ว"/>
  </r>
  <r>
    <m/>
    <n v="3118352"/>
    <s v="12.01.2020"/>
    <n v="2"/>
    <s v="PRO002"/>
    <x v="1"/>
    <n v="20"/>
    <s v="MIN"/>
    <n v="0.33333333333333331"/>
    <x v="0"/>
    <s v="02.01.2020"/>
    <s v="02.01.2020"/>
    <d v="1899-12-30T08:00:00"/>
    <d v="1899-12-30T08:20:00"/>
    <x v="4"/>
    <n v="10051763"/>
    <s v="PI-TH-7151-FA-F1-P1"/>
    <s v="ทำความสะอาดแล้ว"/>
  </r>
  <r>
    <m/>
    <n v="3122722"/>
    <s v="12.01.2020"/>
    <n v="2"/>
    <s v="PRO002"/>
    <x v="1"/>
    <n v="20"/>
    <s v="MIN"/>
    <n v="0.33333333333333331"/>
    <x v="0"/>
    <s v="02.01.2020"/>
    <s v="02.01.2020"/>
    <d v="1899-12-30T09:20:00"/>
    <d v="1899-12-30T09:40:00"/>
    <x v="5"/>
    <n v="10049663"/>
    <s v="PI-TH-7151-FA-F1-SC"/>
    <s v="ตรวจเช็คค่ากระแสไฟทั้ง 3 เฟส"/>
  </r>
  <r>
    <m/>
    <n v="3122759"/>
    <s v="12.01.2020"/>
    <n v="1"/>
    <s v="PRO002"/>
    <x v="1"/>
    <n v="20"/>
    <s v="MIN"/>
    <n v="0.33333333333333331"/>
    <x v="0"/>
    <s v="02.01.2020"/>
    <s v="02.01.2020"/>
    <d v="1899-12-30T09:00:00"/>
    <d v="1899-12-30T09:20:00"/>
    <x v="6"/>
    <n v="10049598"/>
    <s v="PI-TH-7151-FA-F1-BC"/>
    <s v="ตรวจเช็คค่ากระแสไฟทั้ง 3 เฟส"/>
  </r>
  <r>
    <m/>
    <n v="3122772"/>
    <s v="12.01.2020"/>
    <n v="2"/>
    <s v="PRO002"/>
    <x v="1"/>
    <n v="20"/>
    <s v="MIN"/>
    <n v="0.33333333333333331"/>
    <x v="0"/>
    <s v="02.01.2020"/>
    <s v="02.01.2020"/>
    <d v="1899-12-30T19:00:00"/>
    <d v="1899-12-30T19:20:00"/>
    <x v="7"/>
    <n v="10049640"/>
    <s v="PI-TH-7151-FA-F1-SC"/>
    <s v="ตรวจเช็คค่ากระแสไฟทั้ง 3 เฟส"/>
  </r>
  <r>
    <m/>
    <n v="3112636"/>
    <s v="13.01.2020"/>
    <n v="2"/>
    <s v="PRO002"/>
    <x v="1"/>
    <n v="240"/>
    <s v="MIN"/>
    <n v="4"/>
    <x v="0"/>
    <s v="06.01.2020"/>
    <s v="06.01.2020"/>
    <d v="1899-12-30T08:00:00"/>
    <d v="1899-12-30T12:00:00"/>
    <x v="8"/>
    <n v="10051386"/>
    <s v="PI-TH-7151-FA-F1-P1"/>
    <s v="ถอดเปลี่ยน Motor Exhaust Fan"/>
  </r>
  <r>
    <m/>
    <n v="3120186"/>
    <s v="16.01.2020"/>
    <n v="2"/>
    <s v="PRO002"/>
    <x v="1"/>
    <n v="30"/>
    <s v="MIN"/>
    <n v="0.5"/>
    <x v="0"/>
    <s v="07.01.2020"/>
    <s v="07.01.2020"/>
    <d v="1899-12-30T21:00:00"/>
    <d v="1899-12-30T21:30:00"/>
    <x v="9"/>
    <n v="10049361"/>
    <s v="PI-TH-7151-FA-F1-P1"/>
    <s v="ตรวจเช็คค่ากระแสไฟฟ้าทั้ง3เฟส"/>
  </r>
  <r>
    <m/>
    <n v="3122008"/>
    <s v="16.01.2020"/>
    <n v="1"/>
    <s v="PRO002"/>
    <x v="1"/>
    <n v="30"/>
    <s v="MIN"/>
    <n v="0.5"/>
    <x v="0"/>
    <s v="07.01.2020"/>
    <s v="07.01.2020"/>
    <d v="1899-12-30T23:00:00"/>
    <d v="1899-12-30T23:30:00"/>
    <x v="10"/>
    <n v="10051443"/>
    <s v="PI-TH-7151-FA-F1-P1"/>
    <s v="Vib con.ถ่ายรูป Thermal ที่ Terminal"/>
  </r>
  <r>
    <m/>
    <n v="3122008"/>
    <s v="16.01.2020"/>
    <n v="3"/>
    <s v="PRO002"/>
    <x v="1"/>
    <n v="30"/>
    <s v="MIN"/>
    <n v="0.5"/>
    <x v="0"/>
    <s v="07.01.2020"/>
    <s v="07.01.2020"/>
    <d v="1899-12-30T23:00:00"/>
    <d v="1899-12-30T23:30:00"/>
    <x v="10"/>
    <n v="10051443"/>
    <s v="PI-TH-7151-FA-F1-P1"/>
    <s v="Vib con.ถ่ายรูป Thermal ที่ Terminal"/>
  </r>
  <r>
    <m/>
    <n v="3122025"/>
    <s v="16.01.2020"/>
    <n v="1"/>
    <s v="PRO002"/>
    <x v="1"/>
    <n v="30"/>
    <s v="MIN"/>
    <n v="0.5"/>
    <x v="0"/>
    <s v="07.01.2020"/>
    <s v="07.01.2020"/>
    <d v="1899-12-30T21:30:00"/>
    <d v="1899-12-30T22:00:00"/>
    <x v="11"/>
    <n v="10051386"/>
    <s v="PI-TH-7151-FA-F1-P1"/>
    <s v="ตรวจเช็คค่ากระแสไฟฟ้าทั้ง3เฟส"/>
  </r>
  <r>
    <m/>
    <n v="3134113"/>
    <s v="20.01.2020"/>
    <n v="2"/>
    <s v="PRO002"/>
    <x v="1"/>
    <n v="30"/>
    <s v="MIN"/>
    <n v="0.5"/>
    <x v="0"/>
    <s v="08.01.2020"/>
    <s v="08.01.2020"/>
    <d v="1899-12-30T08:30:00"/>
    <d v="1899-12-30T09:00:00"/>
    <x v="12"/>
    <n v="10051218"/>
    <s v="PI-TH-7151-FA-F1-BC"/>
    <s v="ทำการวัดค่า"/>
  </r>
  <r>
    <m/>
    <n v="3134116"/>
    <s v="16.01.2020"/>
    <n v="1"/>
    <s v="PRO002"/>
    <x v="1"/>
    <n v="30"/>
    <s v="MIN"/>
    <n v="0.5"/>
    <x v="0"/>
    <s v="08.01.2020"/>
    <s v="08.01.2020"/>
    <d v="1899-12-30T13:00:00"/>
    <d v="1899-12-30T13:30:00"/>
    <x v="13"/>
    <n v="10049640"/>
    <s v="PI-TH-7151-FA-F1-SC"/>
    <s v="ท่อร้อยสาย Pipe mixer หลุดแก้ไขแล้ว"/>
  </r>
  <r>
    <m/>
    <n v="3134117"/>
    <s v="16.01.2020"/>
    <n v="1"/>
    <s v="PRO002"/>
    <x v="1"/>
    <n v="20"/>
    <s v="MIN"/>
    <n v="0.33333333333333331"/>
    <x v="0"/>
    <s v="08.01.2020"/>
    <s v="08.01.2020"/>
    <d v="1899-12-30T15:30:00"/>
    <d v="1899-12-30T15:50:00"/>
    <x v="14"/>
    <n v="10049652"/>
    <s v="PI-TH-7151-FA-F1-SC"/>
    <s v="ตรวจเช็คสภาพท่อร้อยสายไฟ"/>
  </r>
  <r>
    <m/>
    <n v="3134141"/>
    <s v="16.01.2020"/>
    <n v="1"/>
    <s v="PRO002"/>
    <x v="1"/>
    <n v="20"/>
    <s v="MIN"/>
    <n v="0.33333333333333331"/>
    <x v="0"/>
    <s v="08.01.2020"/>
    <s v="08.01.2020"/>
    <d v="1899-12-30T15:50:00"/>
    <d v="1899-12-30T16:20:00"/>
    <x v="15"/>
    <n v="10049657"/>
    <s v="PI-TH-7151-FA-F1-SC"/>
    <s v="ตรวจพบว่าไม่มีท่อร้อยหลุด"/>
  </r>
  <r>
    <m/>
    <n v="3134141"/>
    <s v="16.01.2020"/>
    <n v="3"/>
    <s v="PRO002"/>
    <x v="1"/>
    <n v="20"/>
    <s v="MIN"/>
    <n v="0.33333333333333331"/>
    <x v="0"/>
    <s v="08.01.2020"/>
    <s v="08.01.2020"/>
    <d v="1899-12-30T15:50:00"/>
    <d v="1899-12-30T16:20:00"/>
    <x v="15"/>
    <n v="10049657"/>
    <s v="PI-TH-7151-FA-F1-SC"/>
    <s v="ตรวจพบว่าไม่มีท่อร้อยหลุด"/>
  </r>
  <r>
    <m/>
    <n v="3134182"/>
    <s v="16.01.2020"/>
    <n v="1"/>
    <s v="PRO002"/>
    <x v="1"/>
    <n v="30"/>
    <s v="MIN"/>
    <n v="0.5"/>
    <x v="0"/>
    <s v="08.01.2020"/>
    <s v="08.01.2020"/>
    <d v="1899-12-30T13:00:00"/>
    <d v="1899-12-30T13:30:00"/>
    <x v="16"/>
    <n v="10051218"/>
    <s v="PI-TH-7151-FA-F1-BC"/>
    <s v="ตรวจพบว่าไม่มีท่อร้อยหลุด"/>
  </r>
  <r>
    <m/>
    <n v="3134193"/>
    <s v="16.01.2020"/>
    <n v="1"/>
    <s v="PRO002"/>
    <x v="1"/>
    <n v="30"/>
    <s v="MIN"/>
    <n v="0.5"/>
    <x v="0"/>
    <s v="08.01.2020"/>
    <s v="08.01.2020"/>
    <d v="1899-12-30T13:00:00"/>
    <d v="1899-12-30T13:40:00"/>
    <x v="17"/>
    <n v="10049657"/>
    <s v="PI-TH-7151-FA-F1-SC"/>
    <s v="ตรวจพบว่าไม่มีท่อร้อยหลุด"/>
  </r>
  <r>
    <m/>
    <n v="3134199"/>
    <s v="16.01.2020"/>
    <n v="1"/>
    <s v="PRO002"/>
    <x v="1"/>
    <n v="20"/>
    <s v="MIN"/>
    <n v="0.33333333333333331"/>
    <x v="0"/>
    <s v="08.01.2020"/>
    <s v="08.01.2020"/>
    <d v="1899-12-30T11:00:00"/>
    <d v="1899-12-30T11:20:00"/>
    <x v="18"/>
    <n v="10049604"/>
    <s v="PI-TH-7151-FA-F1-BC"/>
    <s v="ตรวจพบว่าไม่มีท่อร้อยหลุด"/>
  </r>
  <r>
    <m/>
    <n v="3134200"/>
    <s v="16.01.2020"/>
    <n v="1"/>
    <s v="PRO002"/>
    <x v="1"/>
    <n v="20"/>
    <s v="MIN"/>
    <n v="0.33333333333333331"/>
    <x v="0"/>
    <s v="08.01.2020"/>
    <s v="08.01.2020"/>
    <d v="1899-12-30T11:20:00"/>
    <d v="1899-12-30T11:40:00"/>
    <x v="19"/>
    <n v="10051218"/>
    <s v="PI-TH-7151-FA-F1-BC"/>
    <s v="ตรวจเช็คทำความสะอาดเรียบร้อย"/>
  </r>
  <r>
    <m/>
    <n v="3134201"/>
    <s v="16.01.2020"/>
    <n v="1"/>
    <s v="PRO002"/>
    <x v="1"/>
    <n v="30"/>
    <s v="MIN"/>
    <n v="0.5"/>
    <x v="0"/>
    <s v="08.01.2020"/>
    <s v="08.01.2020"/>
    <d v="1899-12-30T11:40:00"/>
    <d v="1899-12-30T12:10:00"/>
    <x v="20"/>
    <n v="10051224"/>
    <s v="PI-TH-7151-FA-F1-BC"/>
    <s v="ตรวจพบว่าไม่มีท่อร้อยหลุด"/>
  </r>
  <r>
    <m/>
    <n v="3134206"/>
    <s v="16.01.2020"/>
    <n v="1"/>
    <s v="PRO002"/>
    <x v="1"/>
    <n v="20"/>
    <s v="MIN"/>
    <n v="0.33333333333333331"/>
    <x v="0"/>
    <s v="08.01.2020"/>
    <s v="08.01.2020"/>
    <d v="1899-12-30T10:30:00"/>
    <d v="1899-12-30T10:50:00"/>
    <x v="21"/>
    <n v="10049652"/>
    <s v="PI-TH-7151-FA-F1-SC"/>
    <s v="ตรวจเช็คสภาพ"/>
  </r>
  <r>
    <m/>
    <n v="3134210"/>
    <s v="16.01.2020"/>
    <n v="1"/>
    <s v="PRO002"/>
    <x v="1"/>
    <n v="20"/>
    <s v="MIN"/>
    <n v="0.33333333333333331"/>
    <x v="0"/>
    <s v="08.01.2020"/>
    <s v="08.01.2020"/>
    <d v="1899-12-30T10:50:00"/>
    <d v="1899-12-30T11:10:00"/>
    <x v="22"/>
    <n v="10049663"/>
    <s v="PI-TH-7151-FA-F1-SC"/>
    <s v="ตรวจเช็คสภาพ"/>
  </r>
  <r>
    <m/>
    <n v="3134220"/>
    <s v="16.01.2020"/>
    <n v="2"/>
    <s v="PRO002"/>
    <x v="1"/>
    <n v="20"/>
    <s v="MIN"/>
    <n v="0.33333333333333331"/>
    <x v="0"/>
    <s v="08.01.2020"/>
    <s v="08.01.2020"/>
    <d v="1899-12-30T09:20:00"/>
    <d v="1899-12-30T09:40:00"/>
    <x v="23"/>
    <n v="10049589"/>
    <s v="PI-TH-7151-FA-F1-BC"/>
    <s v="ตรวจเช็คท่อร้อยสายไฟ"/>
  </r>
  <r>
    <m/>
    <n v="3134232"/>
    <s v="16.01.2020"/>
    <n v="1"/>
    <s v="PRO002"/>
    <x v="1"/>
    <n v="30"/>
    <s v="MIN"/>
    <n v="0.5"/>
    <x v="0"/>
    <s v="08.01.2020"/>
    <s v="08.01.2020"/>
    <d v="1899-12-30T09:00:00"/>
    <d v="1899-12-30T09:30:00"/>
    <x v="24"/>
    <n v="10051224"/>
    <s v="PI-TH-7151-FA-F1-BC"/>
    <s v="ตรวจเช็คทำความสะอาดเรียบร้อย"/>
  </r>
  <r>
    <m/>
    <n v="3134252"/>
    <s v="16.01.2020"/>
    <n v="1"/>
    <s v="PRO002"/>
    <x v="1"/>
    <n v="30"/>
    <s v="MIN"/>
    <n v="0.5"/>
    <x v="0"/>
    <s v="08.01.2020"/>
    <s v="08.01.2020"/>
    <d v="1899-12-30T10:00:00"/>
    <d v="1899-12-30T10:30:00"/>
    <x v="25"/>
    <n v="10049657"/>
    <s v="PI-TH-7151-FA-F1-SC"/>
    <s v="ตรวจเช็คทำความสะอาดเรียบร้อย"/>
  </r>
  <r>
    <m/>
    <n v="3110476"/>
    <s v="16.01.2020"/>
    <n v="2"/>
    <s v="PRO002"/>
    <x v="1"/>
    <n v="120"/>
    <s v="MIN"/>
    <n v="2"/>
    <x v="0"/>
    <s v="09.01.2020"/>
    <s v="09.01.2020"/>
    <d v="1899-12-30T19:30:00"/>
    <d v="1899-12-30T22:30:00"/>
    <x v="26"/>
    <n v="10049361"/>
    <s v="PI-TH-7151-FA-F1-P1"/>
    <s v="ทำการถอดเปลี่ยน"/>
  </r>
  <r>
    <m/>
    <n v="3120194"/>
    <s v="16.01.2020"/>
    <n v="1"/>
    <s v="PRO002"/>
    <x v="1"/>
    <n v="30"/>
    <s v="MIN"/>
    <n v="0.5"/>
    <x v="0"/>
    <s v="09.01.2020"/>
    <s v="09.01.2020"/>
    <d v="1899-12-30T19:00:00"/>
    <d v="1899-12-30T19:30:00"/>
    <x v="27"/>
    <n v="10049436"/>
    <s v="PI-TH-7151-FA-F2-PL"/>
    <s v="ทำความสะอาด"/>
  </r>
  <r>
    <m/>
    <n v="3122735"/>
    <s v="16.01.2020"/>
    <n v="1"/>
    <s v="PRO002"/>
    <x v="1"/>
    <n v="30"/>
    <s v="MIN"/>
    <n v="0.5"/>
    <x v="0"/>
    <s v="09.01.2020"/>
    <s v="09.01.2020"/>
    <d v="1899-12-30T22:30:00"/>
    <d v="1899-12-30T23:00:00"/>
    <x v="28"/>
    <n v="10049372"/>
    <s v="PI-TH-7151-FA-F1-P1"/>
    <s v="ทำความสะอาด"/>
  </r>
  <r>
    <m/>
    <n v="3122794"/>
    <s v="16.01.2020"/>
    <n v="1"/>
    <s v="PRO002"/>
    <x v="1"/>
    <n v="60"/>
    <s v="MIN"/>
    <n v="1"/>
    <x v="0"/>
    <s v="09.01.2020"/>
    <s v="09.01.2020"/>
    <d v="1899-12-30T22:00:00"/>
    <d v="1899-12-30T23:00:00"/>
    <x v="29"/>
    <n v="10049688"/>
    <s v="PI-TH-7151-FA-F2-RB"/>
    <s v="ทำความสะอาด"/>
  </r>
  <r>
    <m/>
    <n v="3114077"/>
    <s v="14.01.2020"/>
    <n v="2"/>
    <s v="PRO002"/>
    <x v="1"/>
    <n v="60"/>
    <s v="MIN"/>
    <n v="1"/>
    <x v="0"/>
    <s v="10.01.2020"/>
    <s v="10.01.2020"/>
    <d v="1899-12-30T09:00:00"/>
    <d v="1899-12-30T09:30:00"/>
    <x v="30"/>
    <n v="10049451"/>
    <s v="PI-TH-7151-FA-F1-FP"/>
    <s v="ทำความสะอาด"/>
  </r>
  <r>
    <m/>
    <n v="3114084"/>
    <s v="13.01.2020"/>
    <n v="2"/>
    <s v="PRO002"/>
    <x v="1"/>
    <n v="30"/>
    <s v="MIN"/>
    <n v="0.5"/>
    <x v="0"/>
    <s v="10.01.2020"/>
    <s v="10.01.2020"/>
    <d v="1899-12-30T22:00:00"/>
    <d v="1899-12-30T22:30:00"/>
    <x v="31"/>
    <n v="10051747"/>
    <s v="PI-TH-7151-FA-F1-ST"/>
    <s v="เปลี่ยน Falme sensor duel fuel burner."/>
  </r>
  <r>
    <m/>
    <n v="3122799"/>
    <s v="16.01.2020"/>
    <n v="1"/>
    <s v="PRO002"/>
    <x v="1"/>
    <n v="20"/>
    <s v="MIN"/>
    <n v="0.33333333333333331"/>
    <x v="0"/>
    <s v="10.01.2020"/>
    <s v="10.01.2020"/>
    <d v="1899-12-30T01:00:00"/>
    <d v="1899-12-30T01:20:00"/>
    <x v="32"/>
    <n v="10051778"/>
    <s v="PI-TH-7151-FA-F1-P1"/>
    <s v="ทำความสะอาด"/>
  </r>
  <r>
    <m/>
    <n v="3123127"/>
    <s v="16.01.2020"/>
    <n v="2"/>
    <s v="PRO002"/>
    <x v="1"/>
    <n v="30"/>
    <s v="MIN"/>
    <n v="0.5"/>
    <x v="0"/>
    <s v="10.01.2020"/>
    <s v="10.01.2020"/>
    <d v="1899-12-30T00:30:00"/>
    <d v="1899-12-30T01:00:00"/>
    <x v="33"/>
    <n v="10051778"/>
    <s v="PI-TH-7151-FA-F1-P1"/>
    <s v="ทำความสะอาด"/>
  </r>
  <r>
    <m/>
    <n v="3112655"/>
    <s v="13.01.2020"/>
    <n v="2"/>
    <s v="PRO002"/>
    <x v="1"/>
    <n v="60"/>
    <s v="MIN"/>
    <n v="1"/>
    <x v="0"/>
    <s v="11.01.2020"/>
    <s v="11.01.2020"/>
    <d v="1899-12-30T13:00:00"/>
    <d v="1899-12-30T14:00:00"/>
    <x v="34"/>
    <n v="10051769"/>
    <s v="PI-TH-7151-FA-F1-P1"/>
    <s v="เปลี่ยน Bindicator 2 Pcs."/>
  </r>
  <r>
    <m/>
    <n v="3118354"/>
    <s v="13.01.2020"/>
    <n v="2"/>
    <s v="PRO002"/>
    <x v="1"/>
    <n v="60"/>
    <s v="MIN"/>
    <n v="1"/>
    <x v="0"/>
    <s v="11.01.2020"/>
    <s v="11.01.2020"/>
    <d v="1899-12-30T14:00:00"/>
    <d v="1899-12-30T15:00:00"/>
    <x v="35"/>
    <n v="10049372"/>
    <s v="PI-TH-7151-FA-F1-P1"/>
    <s v="Vibrating และทำความสะอาด"/>
  </r>
  <r>
    <m/>
    <n v="3119958"/>
    <s v="13.01.2020"/>
    <n v="2"/>
    <s v="PRO002"/>
    <x v="1"/>
    <n v="60"/>
    <s v="MIN"/>
    <n v="1"/>
    <x v="0"/>
    <s v="11.01.2020"/>
    <s v="11.01.2020"/>
    <d v="1899-12-30T11:00:00"/>
    <d v="1899-12-30T12:00:00"/>
    <x v="36"/>
    <n v="10051481"/>
    <s v="PI-TH-7151-FA-F2-PL"/>
    <s v="ทำความสะอาดและตรวจเช็คสภาพปกติทั่วไป"/>
  </r>
  <r>
    <m/>
    <n v="3120191"/>
    <s v="13.01.2020"/>
    <n v="2"/>
    <s v="PRO002"/>
    <x v="1"/>
    <n v="60"/>
    <s v="MIN"/>
    <n v="1"/>
    <x v="0"/>
    <s v="11.01.2020"/>
    <s v="11.01.2020"/>
    <d v="1899-12-30T16:00:00"/>
    <d v="1899-12-30T17:00:00"/>
    <x v="37"/>
    <n v="10051396"/>
    <s v="PI-TH-7151-FA-F1-P1"/>
    <s v="ทำความสะอาดและตรวจเช็คสภาพปกติทั่วไป"/>
  </r>
  <r>
    <m/>
    <n v="3120195"/>
    <s v="13.01.2020"/>
    <n v="2"/>
    <s v="PRO002"/>
    <x v="1"/>
    <n v="120"/>
    <s v="MIN"/>
    <n v="2"/>
    <x v="0"/>
    <s v="11.01.2020"/>
    <s v="11.01.2020"/>
    <d v="1899-12-30T08:00:00"/>
    <d v="1899-12-30T10:00:00"/>
    <x v="38"/>
    <n v="10049436"/>
    <s v="PI-TH-7151-FA-F2-PL"/>
    <s v="ทำความสะอาดและตรวจเช็คสภาพปกติทั่วไ"/>
  </r>
  <r>
    <m/>
    <n v="3120200"/>
    <s v="13.01.2020"/>
    <n v="3"/>
    <s v="PRO002"/>
    <x v="1"/>
    <n v="60"/>
    <s v="MIN"/>
    <n v="1"/>
    <x v="0"/>
    <s v="11.01.2020"/>
    <s v="11.01.2020"/>
    <d v="1899-12-30T10:00:00"/>
    <d v="1899-12-30T11:00:00"/>
    <x v="39"/>
    <n v="10049399"/>
    <s v="PI-TH-7151-FA-F2-PL"/>
    <s v="ทำความสะอาดและตรวจเช็คสภาพปกติทั่วไป"/>
  </r>
  <r>
    <m/>
    <n v="3122016"/>
    <s v="13.01.2020"/>
    <n v="3"/>
    <s v="PRO002"/>
    <x v="1"/>
    <n v="60"/>
    <s v="MIN"/>
    <n v="1"/>
    <x v="0"/>
    <s v="11.01.2020"/>
    <s v="11.01.2020"/>
    <d v="1899-12-30T15:00:00"/>
    <d v="1899-12-30T16:00:00"/>
    <x v="40"/>
    <n v="10051386"/>
    <s v="PI-TH-7151-FA-F1-P1"/>
    <s v="ทำความสะอาดและตรวจเช็คสภาพปกติทั่วไป"/>
  </r>
  <r>
    <m/>
    <n v="3122018"/>
    <s v="13.01.2020"/>
    <n v="2"/>
    <s v="PRO002"/>
    <x v="1"/>
    <n v="60"/>
    <s v="MIN"/>
    <n v="1"/>
    <x v="0"/>
    <s v="11.01.2020"/>
    <s v="11.01.2020"/>
    <d v="1899-12-30T14:00:00"/>
    <d v="1899-12-30T15:00:00"/>
    <x v="41"/>
    <n v="10051443"/>
    <s v="PI-TH-7151-FA-F1-P1"/>
    <s v="ทำความสะอาดและตรวจเช็คสภาพปกติทั่วไป"/>
  </r>
  <r>
    <m/>
    <n v="3122752"/>
    <s v="13.01.2020"/>
    <n v="2"/>
    <s v="PRO002"/>
    <x v="1"/>
    <n v="30"/>
    <s v="MIN"/>
    <n v="0.5"/>
    <x v="0"/>
    <s v="11.01.2020"/>
    <s v="11.01.2020"/>
    <d v="1899-12-30T12:00:00"/>
    <d v="1899-12-30T12:30:00"/>
    <x v="42"/>
    <n v="10051443"/>
    <s v="PI-TH-7151-FA-F1-P1"/>
    <s v="ทำความสะอาดและตรวจเช็คสภาพปกติทั่วไป"/>
  </r>
  <r>
    <m/>
    <n v="3122756"/>
    <s v="13.01.2020"/>
    <n v="2"/>
    <s v="PRO002"/>
    <x v="1"/>
    <n v="30"/>
    <s v="MIN"/>
    <n v="0.5"/>
    <x v="0"/>
    <s v="11.01.2020"/>
    <s v="11.01.2020"/>
    <d v="1899-12-30T09:30:00"/>
    <d v="1899-12-30T10:00:00"/>
    <x v="43"/>
    <n v="10049427"/>
    <s v="PI-TH-7151-FA-F2-PL"/>
    <s v="ทำความสะอาดและตรวจเช็คสภาพปกติทั่วไ"/>
  </r>
  <r>
    <m/>
    <n v="3122767"/>
    <s v="14.01.2020"/>
    <n v="2"/>
    <s v="PRO002"/>
    <x v="1"/>
    <n v="60"/>
    <s v="MIN"/>
    <n v="1"/>
    <x v="0"/>
    <s v="11.01.2020"/>
    <s v="11.01.2020"/>
    <d v="1899-12-30T08:00:00"/>
    <d v="1899-12-30T09:00:00"/>
    <x v="44"/>
    <n v="10049451"/>
    <s v="PI-TH-7151-FA-F1-FP"/>
    <s v="ทำความสะอาด"/>
  </r>
  <r>
    <m/>
    <n v="3122785"/>
    <s v="13.01.2020"/>
    <n v="2"/>
    <s v="PRO002"/>
    <x v="1"/>
    <n v="30"/>
    <s v="MIN"/>
    <n v="0.5"/>
    <x v="0"/>
    <s v="11.01.2020"/>
    <s v="11.01.2020"/>
    <d v="1899-12-30T14:00:00"/>
    <d v="1899-12-30T14:30:00"/>
    <x v="45"/>
    <n v="10051769"/>
    <s v="PI-TH-7151-FA-F1-P1"/>
    <s v="ทำความสะอาดและตรวจเช็คสภาพปกติทั่วไป"/>
  </r>
  <r>
    <m/>
    <n v="3122789"/>
    <s v="13.01.2020"/>
    <n v="2"/>
    <s v="PRO002"/>
    <x v="1"/>
    <n v="20"/>
    <s v="MIN"/>
    <n v="0.33333333333333331"/>
    <x v="0"/>
    <s v="11.01.2020"/>
    <s v="11.01.2020"/>
    <d v="1899-12-30T14:00:00"/>
    <d v="1899-12-30T14:20:00"/>
    <x v="46"/>
    <n v="10049361"/>
    <s v="PI-TH-7151-FA-F1-P1"/>
    <s v="ทำความสะอาดและตรวจเช็คสภาพปกติทั่วไป"/>
  </r>
  <r>
    <m/>
    <n v="3134142"/>
    <s v="16.01.2020"/>
    <n v="2"/>
    <s v="PRO002"/>
    <x v="1"/>
    <n v="60"/>
    <s v="MIN"/>
    <n v="1"/>
    <x v="0"/>
    <s v="11.01.2020"/>
    <s v="11.01.2020"/>
    <d v="1899-12-30T10:00:00"/>
    <d v="1899-12-30T11:00:00"/>
    <x v="47"/>
    <n v="10051218"/>
    <s v="PI-TH-7151-FA-F1-BC"/>
    <s v="ตรวจเช็คทำความสะอาดเรียบร้อย"/>
  </r>
  <r>
    <m/>
    <n v="3137175"/>
    <s v="16.01.2020"/>
    <n v="1"/>
    <s v="PRO002"/>
    <x v="1"/>
    <n v="20"/>
    <s v="MIN"/>
    <n v="0.33333333333333331"/>
    <x v="0"/>
    <s v="11.01.2020"/>
    <s v="11.01.2020"/>
    <d v="1899-12-30T10:00:00"/>
    <d v="1899-12-30T10:20:00"/>
    <x v="48"/>
    <n v="10049663"/>
    <s v="PI-TH-7151-FA-F1-SC"/>
    <s v="ตรวจเช็คท่อร้อยสายไฟ"/>
  </r>
  <r>
    <m/>
    <n v="3118381"/>
    <s v="20.01.2020"/>
    <n v="1"/>
    <s v="PRO002"/>
    <x v="1"/>
    <n v="60"/>
    <s v="MIN"/>
    <n v="1"/>
    <x v="0"/>
    <s v="13.01.2020"/>
    <s v="13.01.2020"/>
    <d v="1899-12-30T10:00:00"/>
    <d v="1899-12-30T11:00:00"/>
    <x v="49"/>
    <n v="10051759"/>
    <s v="PI-TH-7151-FA-F1-ST"/>
    <s v="ทำความสะอาด"/>
  </r>
  <r>
    <m/>
    <n v="3122775"/>
    <s v="20.01.2020"/>
    <n v="2"/>
    <s v="PRO002"/>
    <x v="1"/>
    <n v="30"/>
    <s v="MIN"/>
    <n v="0.5"/>
    <x v="0"/>
    <s v="13.01.2020"/>
    <s v="13.01.2020"/>
    <d v="1899-12-30T08:00:00"/>
    <d v="1899-12-30T08:30:00"/>
    <x v="50"/>
    <n v="10051548"/>
    <s v="PI-TH-7151-FA-F1-FP"/>
    <s v="ทำการวัดค่า"/>
  </r>
  <r>
    <m/>
    <n v="3112704"/>
    <s v="16.01.2020"/>
    <n v="2"/>
    <s v="PRO002"/>
    <x v="1"/>
    <n v="60"/>
    <s v="MIN"/>
    <n v="1"/>
    <x v="0"/>
    <s v="14.01.2020"/>
    <s v="14.01.2020"/>
    <d v="1899-12-30T16:30:00"/>
    <d v="1899-12-30T17:30:00"/>
    <x v="51"/>
    <n v="10049372"/>
    <s v="PI-TH-7151-FA-F1-P1"/>
    <s v="เปลี่ยน Load cell ของ SSN hopper 3 Pcs."/>
  </r>
  <r>
    <m/>
    <n v="3122783"/>
    <s v="16.01.2020"/>
    <n v="2"/>
    <s v="PRO002"/>
    <x v="1"/>
    <n v="30"/>
    <s v="MIN"/>
    <n v="0.5"/>
    <x v="0"/>
    <s v="14.01.2020"/>
    <s v="14.01.2020"/>
    <d v="1899-12-30T16:00:00"/>
    <d v="1899-12-30T16:30:00"/>
    <x v="52"/>
    <n v="10049372"/>
    <s v="PI-TH-7151-FA-F1-P1"/>
    <s v="ตรวจสอบสภาพทั่วไป"/>
  </r>
  <r>
    <m/>
    <n v="3123122"/>
    <s v="16.01.2020"/>
    <n v="2"/>
    <s v="PRO002"/>
    <x v="1"/>
    <n v="30"/>
    <s v="MIN"/>
    <n v="0.5"/>
    <x v="0"/>
    <s v="14.01.2020"/>
    <s v="14.01.2020"/>
    <d v="1899-12-30T15:00:00"/>
    <d v="1899-12-30T15:30:00"/>
    <x v="53"/>
    <n v="10051704"/>
    <s v="PI-TH-7151-FA-F1-ST"/>
    <s v="ตรวจเช็คค่าความต้านทานสาย Earth bonding"/>
  </r>
  <r>
    <m/>
    <n v="3123148"/>
    <s v="16.01.2020"/>
    <n v="1"/>
    <s v="PRO002"/>
    <x v="1"/>
    <n v="30"/>
    <s v="MIN"/>
    <n v="0.5"/>
    <x v="0"/>
    <s v="14.01.2020"/>
    <s v="14.01.2020"/>
    <d v="1899-12-30T15:30:00"/>
    <d v="1899-12-30T15:50:00"/>
    <x v="54"/>
    <n v="10051778"/>
    <s v="PI-TH-7151-FA-F1-P1"/>
    <s v="ตรวจเช็คค่ากระแสไฟฟ้าทั้ง3เฟส"/>
  </r>
  <r>
    <m/>
    <n v="3134108"/>
    <s v="16.01.2020"/>
    <n v="2"/>
    <s v="PRO002"/>
    <x v="1"/>
    <n v="0"/>
    <s v="MIN"/>
    <n v="0"/>
    <x v="0"/>
    <s v="14.01.2020"/>
    <s v="14.01.2020"/>
    <d v="1899-12-30T13:30:00"/>
    <d v="1899-12-30T14:00:00"/>
    <x v="55"/>
    <n v="10051230"/>
    <s v="PI-TH-7151-FA-F1-BC"/>
    <s v="ท่อร้อยสาย Pipe mixer หลุดแก้ไขแล้ว"/>
  </r>
  <r>
    <m/>
    <n v="3134111"/>
    <s v="16.01.2020"/>
    <n v="1"/>
    <s v="PRO002"/>
    <x v="1"/>
    <n v="30"/>
    <s v="MIN"/>
    <n v="0.5"/>
    <x v="0"/>
    <s v="14.01.2020"/>
    <s v="14.01.2020"/>
    <d v="1899-12-30T14:00:00"/>
    <d v="1899-12-30T14:30:00"/>
    <x v="56"/>
    <n v="10049589"/>
    <s v="PI-TH-7151-FA-F1-BC"/>
    <s v="ทำความสะอาด"/>
  </r>
  <r>
    <m/>
    <n v="3134112"/>
    <s v="16.01.2020"/>
    <n v="1"/>
    <s v="PRO002"/>
    <x v="1"/>
    <n v="20"/>
    <s v="MIN"/>
    <n v="0.33333333333333331"/>
    <x v="0"/>
    <s v="14.01.2020"/>
    <s v="14.01.2020"/>
    <d v="1899-12-30T14:30:00"/>
    <d v="1899-12-30T14:50:00"/>
    <x v="57"/>
    <n v="10049598"/>
    <s v="PI-TH-7151-FA-F1-BC"/>
    <s v="ตรวจสอบสภาพทั่วไป"/>
  </r>
  <r>
    <m/>
    <n v="3132485"/>
    <s v="20.01.2020"/>
    <n v="2"/>
    <s v="PRO002"/>
    <x v="1"/>
    <n v="20"/>
    <s v="MIN"/>
    <n v="0.33333333333333331"/>
    <x v="0"/>
    <s v="16.01.2020"/>
    <s v="16.01.2020"/>
    <d v="1899-12-30T08:00:00"/>
    <d v="1899-12-30T08:20:00"/>
    <x v="58"/>
    <n v="10051396"/>
    <s v="PI-TH-7151-FA-F1-P1"/>
    <s v="ทำความสะอาด"/>
  </r>
  <r>
    <m/>
    <n v="3112706"/>
    <s v="20.01.2020"/>
    <n v="2"/>
    <s v="PRO002"/>
    <x v="1"/>
    <n v="120"/>
    <s v="MIN"/>
    <n v="2"/>
    <x v="0"/>
    <s v="18.01.2020"/>
    <s v="18.01.2020"/>
    <d v="1899-12-30T08:00:00"/>
    <d v="1899-12-30T10:00:00"/>
    <x v="59"/>
    <n v="10049361"/>
    <s v="PI-TH-7151-FA-F1-P1"/>
    <s v="Calibrate sensor Thermal oil heater."/>
  </r>
  <r>
    <m/>
    <n v="3114091"/>
    <s v="20.01.2020"/>
    <n v="2"/>
    <s v="PRO002"/>
    <x v="1"/>
    <n v="120"/>
    <s v="MIN"/>
    <n v="2"/>
    <x v="0"/>
    <s v="18.01.2020"/>
    <s v="18.01.2020"/>
    <d v="1899-12-30T13:00:00"/>
    <d v="1899-12-30T15:00:00"/>
    <x v="60"/>
    <n v="10051443"/>
    <s v="PI-TH-7151-FA-F1-P1"/>
    <s v="ทำความสะอาดช่องระหว่าง Electro"/>
  </r>
  <r>
    <m/>
    <n v="3118388"/>
    <s v="20.01.2020"/>
    <n v="2"/>
    <s v="PRO002"/>
    <x v="1"/>
    <n v="120"/>
    <s v="MIN"/>
    <n v="2"/>
    <x v="0"/>
    <s v="18.01.2020"/>
    <s v="18.01.2020"/>
    <d v="1899-12-30T10:00:00"/>
    <d v="1899-12-30T12:00:00"/>
    <x v="61"/>
    <n v="10051778"/>
    <s v="PI-TH-7151-FA-F1-P1"/>
    <s v="Calibrate weight unit"/>
  </r>
  <r>
    <m/>
    <n v="3134132"/>
    <s v="20.01.2020"/>
    <n v="2"/>
    <s v="PRO002"/>
    <x v="1"/>
    <n v="60"/>
    <s v="MIN"/>
    <n v="1"/>
    <x v="0"/>
    <s v="18.01.2020"/>
    <s v="18.01.2020"/>
    <d v="1899-12-30T08:00:00"/>
    <d v="1899-12-30T09:00:00"/>
    <x v="62"/>
    <n v="10051548"/>
    <s v="PI-TH-7151-FA-F1-FP"/>
    <s v="ทำความสะอาด"/>
  </r>
  <r>
    <m/>
    <n v="3134133"/>
    <s v="20.01.2020"/>
    <n v="2"/>
    <s v="PRO002"/>
    <x v="1"/>
    <n v="30"/>
    <s v="MIN"/>
    <n v="0.5"/>
    <x v="0"/>
    <s v="18.01.2020"/>
    <s v="18.01.2020"/>
    <d v="1899-12-30T09:30:00"/>
    <d v="1899-12-30T10:00:00"/>
    <x v="63"/>
    <n v="10051548"/>
    <s v="PI-TH-7151-FA-F1-FP"/>
    <s v="ทำความสะอาด"/>
  </r>
  <r>
    <m/>
    <n v="3134138"/>
    <s v="20.01.2020"/>
    <n v="1"/>
    <s v="PRO002"/>
    <x v="1"/>
    <n v="30"/>
    <s v="MIN"/>
    <n v="0.5"/>
    <x v="0"/>
    <s v="18.01.2020"/>
    <s v="18.01.2020"/>
    <d v="1899-12-30T09:00:00"/>
    <d v="1899-12-30T09:30:00"/>
    <x v="64"/>
    <n v="10049465"/>
    <s v="PI-TH-7151-FA-F1-FP"/>
    <s v="ทำความสะอาด"/>
  </r>
  <r>
    <m/>
    <n v="3134255"/>
    <s v="20.01.2020"/>
    <n v="2"/>
    <s v="PRO002"/>
    <x v="1"/>
    <n v="60"/>
    <s v="MIN"/>
    <n v="1"/>
    <x v="0"/>
    <s v="18.01.2020"/>
    <s v="18.01.2020"/>
    <d v="1899-12-30T10:00:00"/>
    <d v="1899-12-30T11:00:00"/>
    <x v="65"/>
    <n v="10049372"/>
    <s v="PI-TH-7151-FA-F1-P1"/>
    <s v="ตรวจเช็ค Parametor."/>
  </r>
  <r>
    <m/>
    <n v="3134263"/>
    <s v="20.01.2020"/>
    <n v="2"/>
    <s v="PRO002"/>
    <x v="1"/>
    <n v="30"/>
    <s v="MIN"/>
    <n v="0.5"/>
    <x v="0"/>
    <s v="18.01.2020"/>
    <s v="18.01.2020"/>
    <d v="1899-12-30T09:00:00"/>
    <d v="1899-12-30T09:30:00"/>
    <x v="66"/>
    <n v="10049578"/>
    <s v="PI-TH-7151-FA-F1-ST"/>
    <s v="ตรวจสอบท่อร้อยสายไฟ"/>
  </r>
  <r>
    <m/>
    <n v="3118399"/>
    <s v="04.01.2020"/>
    <n v="2"/>
    <s v="PAC002"/>
    <x v="2"/>
    <n v="60"/>
    <s v="MIN"/>
    <n v="1"/>
    <x v="0"/>
    <s v="04.01.2020"/>
    <s v="04.01.2020"/>
    <d v="1899-12-30T07:00:00"/>
    <d v="1899-12-30T08:00:00"/>
    <x v="67"/>
    <n v="10051134"/>
    <s v="PI-TH-7151-FA-PK-03"/>
    <s v="Fyber spring damage 3-12.Gate ร้าว5."/>
  </r>
  <r>
    <m/>
    <n v="3118399"/>
    <s v="12.01.2020"/>
    <n v="3"/>
    <s v="PAC002"/>
    <x v="2"/>
    <n v="30"/>
    <s v="MIN"/>
    <n v="0.5"/>
    <x v="0"/>
    <s v="04.01.2020"/>
    <s v="04.01.2020"/>
    <d v="1899-12-30T08:00:00"/>
    <d v="1899-12-30T08:30:00"/>
    <x v="67"/>
    <n v="10051134"/>
    <s v="PI-TH-7151-FA-PK-03"/>
    <s v="ตรวจสอบสภาพ PAN"/>
  </r>
  <r>
    <m/>
    <n v="3122033"/>
    <s v="12.01.2020"/>
    <n v="1"/>
    <s v="PAC002"/>
    <x v="2"/>
    <n v="25"/>
    <s v="MIN"/>
    <n v="0.41666666666666669"/>
    <x v="0"/>
    <s v="09.01.2020"/>
    <s v="09.01.2020"/>
    <d v="1899-12-30T10:10:00"/>
    <d v="1899-12-30T10:35:00"/>
    <x v="68"/>
    <n v="10051199"/>
    <s v="PI-TH-7151-FA-PK-03"/>
    <s v="ตรวจสอบสภาพ End seal"/>
  </r>
  <r>
    <m/>
    <n v="3122056"/>
    <s v="12.01.2020"/>
    <n v="1"/>
    <s v="PAC002"/>
    <x v="2"/>
    <n v="10"/>
    <s v="MIN"/>
    <n v="0.16666666666666666"/>
    <x v="0"/>
    <s v="09.01.2020"/>
    <s v="09.01.2020"/>
    <d v="1899-12-30T09:10:00"/>
    <d v="1899-12-30T09:20:00"/>
    <x v="69"/>
    <n v="10070536"/>
    <s v="PI-TH-7151-FA-PK-03"/>
    <s v="Divider gate OK"/>
  </r>
  <r>
    <m/>
    <n v="3122059"/>
    <s v="12.01.2020"/>
    <n v="1"/>
    <s v="PAC002"/>
    <x v="2"/>
    <n v="15"/>
    <s v="MIN"/>
    <n v="0.25"/>
    <x v="0"/>
    <s v="09.01.2020"/>
    <s v="09.01.2020"/>
    <d v="1899-12-30T09:35:00"/>
    <d v="1899-12-30T09:45:00"/>
    <x v="70"/>
    <n v="10051201"/>
    <s v="PI-TH-7151-FA-PK-03"/>
    <s v="ตรวจสอบสภาพ Input belt."/>
  </r>
  <r>
    <m/>
    <n v="3122060"/>
    <s v="12.01.2020"/>
    <n v="1"/>
    <s v="PAC002"/>
    <x v="2"/>
    <n v="10"/>
    <s v="MIN"/>
    <n v="0.16666666666666666"/>
    <x v="0"/>
    <s v="09.01.2020"/>
    <s v="09.01.2020"/>
    <d v="1899-12-30T09:00:00"/>
    <d v="1899-12-30T09:10:00"/>
    <x v="71"/>
    <n v="10070535"/>
    <s v="PI-TH-7151-FA-PK-03"/>
    <s v="Divider gate OK"/>
  </r>
  <r>
    <m/>
    <n v="3122065"/>
    <s v="12.01.2020"/>
    <n v="1"/>
    <s v="PAC002"/>
    <x v="2"/>
    <n v="30"/>
    <s v="MIN"/>
    <n v="0.5"/>
    <x v="0"/>
    <s v="09.01.2020"/>
    <s v="09.01.2020"/>
    <d v="1899-12-30T09:30:00"/>
    <d v="1899-12-30T10:00:00"/>
    <x v="72"/>
    <n v="10049878"/>
    <s v="PI-TH-7151-FA-PK-02"/>
    <s v="Divider gate RF#3 ไม่สามารถปรับค่า A ให้"/>
  </r>
  <r>
    <m/>
    <n v="3122066"/>
    <s v="12.01.2020"/>
    <n v="1"/>
    <s v="PAC002"/>
    <x v="2"/>
    <n v="30"/>
    <s v="MIN"/>
    <n v="0.5"/>
    <x v="0"/>
    <s v="09.01.2020"/>
    <s v="09.01.2020"/>
    <d v="1899-12-30T09:30:00"/>
    <d v="1899-12-30T10:00:00"/>
    <x v="73"/>
    <n v="10049876"/>
    <s v="PI-TH-7151-FA-PK-02"/>
    <s v="Divider gate OK"/>
  </r>
  <r>
    <m/>
    <n v="3122067"/>
    <s v="12.01.2020"/>
    <n v="1"/>
    <s v="PAC002"/>
    <x v="2"/>
    <n v="30"/>
    <s v="MIN"/>
    <n v="0.5"/>
    <x v="0"/>
    <s v="09.01.2020"/>
    <s v="09.01.2020"/>
    <d v="1899-12-30T09:30:00"/>
    <d v="1899-12-30T10:00:00"/>
    <x v="74"/>
    <n v="10049877"/>
    <s v="PI-TH-7151-FA-PK-02"/>
    <s v="Divider gate OK"/>
  </r>
  <r>
    <m/>
    <n v="3122096"/>
    <s v="12.01.2020"/>
    <n v="1"/>
    <s v="PAC002"/>
    <x v="2"/>
    <n v="30"/>
    <s v="MIN"/>
    <n v="0.5"/>
    <x v="0"/>
    <s v="09.01.2020"/>
    <s v="09.01.2020"/>
    <d v="1899-12-30T09:30:00"/>
    <d v="1899-12-30T10:00:00"/>
    <x v="75"/>
    <n v="10051077"/>
    <s v="PI-TH-7151-FA-PK-02"/>
    <s v="Divider gate OK"/>
  </r>
  <r>
    <m/>
    <n v="3122097"/>
    <s v="12.01.2020"/>
    <n v="1"/>
    <s v="PAC002"/>
    <x v="2"/>
    <n v="30"/>
    <s v="MIN"/>
    <n v="0.5"/>
    <x v="0"/>
    <s v="09.01.2020"/>
    <s v="09.01.2020"/>
    <d v="1899-12-30T09:30:00"/>
    <d v="1899-12-30T10:00:00"/>
    <x v="76"/>
    <n v="10051078"/>
    <s v="PI-TH-7151-FA-PK-02"/>
    <s v="Divider gate OK"/>
  </r>
  <r>
    <m/>
    <n v="3122107"/>
    <s v="12.01.2020"/>
    <n v="1"/>
    <s v="PAC002"/>
    <x v="2"/>
    <n v="60"/>
    <s v="MIN"/>
    <n v="1"/>
    <x v="0"/>
    <s v="09.01.2020"/>
    <s v="09.01.2020"/>
    <d v="1899-12-30T09:30:00"/>
    <d v="1899-12-30T10:00:00"/>
    <x v="77"/>
    <n v="10049798"/>
    <s v="PI-TH-7151-FA-PK-02"/>
    <s v="Divider gate OK"/>
  </r>
  <r>
    <m/>
    <n v="3028686"/>
    <s v="16.01.2020"/>
    <n v="1"/>
    <s v="PAC002"/>
    <x v="2"/>
    <n v="20"/>
    <s v="MIN"/>
    <n v="0.33333333333333331"/>
    <x v="0"/>
    <s v="14.01.2020"/>
    <s v="14.01.2020"/>
    <d v="1899-12-30T20:30:00"/>
    <d v="1899-12-30T20:50:00"/>
    <x v="78"/>
    <n v="10051091"/>
    <s v="PI-TH-7151-FA-PK-02"/>
    <s v="ตรวจสอบสภาพทั่วไป+Bearing ใช้งานได้อยู่"/>
  </r>
  <r>
    <m/>
    <n v="3028686"/>
    <s v="16.01.2020"/>
    <n v="2"/>
    <s v="PAC002"/>
    <x v="2"/>
    <n v="20"/>
    <s v="MIN"/>
    <n v="0.33333333333333331"/>
    <x v="0"/>
    <s v="14.01.2020"/>
    <s v="14.01.2020"/>
    <d v="1899-12-30T20:30:00"/>
    <d v="1899-12-30T20:50:00"/>
    <x v="78"/>
    <n v="10051091"/>
    <s v="PI-TH-7151-FA-PK-02"/>
    <s v="ตรวจสอบสภาพทั่วไป+Bearing ใช้งานได้อยู่"/>
  </r>
  <r>
    <m/>
    <n v="3122791"/>
    <s v="16.01.2020"/>
    <n v="1"/>
    <s v="PAC002"/>
    <x v="2"/>
    <n v="20"/>
    <s v="MIN"/>
    <n v="0.33333333333333331"/>
    <x v="0"/>
    <s v="14.01.2020"/>
    <s v="14.01.2020"/>
    <d v="1899-12-30T20:40:00"/>
    <d v="1899-12-30T21:00:00"/>
    <x v="79"/>
    <n v="10050860"/>
    <s v="PI-TH-7151-FA-PK-ST"/>
    <s v="ตรวจสอบสภาพทั่วไปของ Stax shrink"/>
  </r>
  <r>
    <m/>
    <n v="3028656"/>
    <s v="16.01.2020"/>
    <n v="2"/>
    <s v="PAC002"/>
    <x v="2"/>
    <n v="10"/>
    <s v="MIN"/>
    <n v="0.16666666666666666"/>
    <x v="0"/>
    <s v="15.01.2020"/>
    <s v="15.01.2020"/>
    <d v="1899-12-30T21:40:00"/>
    <d v="1899-12-30T21:50:00"/>
    <x v="80"/>
    <n v="10051715"/>
    <s v="PI-TH-7151-FA-PK-02"/>
    <s v="Bearing ไม่มีของ"/>
  </r>
  <r>
    <m/>
    <n v="3028682"/>
    <s v="16.01.2020"/>
    <n v="2"/>
    <s v="PAC002"/>
    <x v="2"/>
    <n v="10"/>
    <s v="MIN"/>
    <n v="0.16666666666666666"/>
    <x v="0"/>
    <s v="15.01.2020"/>
    <s v="15.01.2020"/>
    <d v="1899-12-30T22:10:00"/>
    <d v="1899-12-30T22:20:00"/>
    <x v="81"/>
    <n v="10051716"/>
    <s v="PI-TH-7151-FA-PK-02"/>
    <s v="Bearing ไม่มีของ"/>
  </r>
  <r>
    <m/>
    <n v="3028683"/>
    <s v="16.01.2020"/>
    <n v="2"/>
    <s v="PAC002"/>
    <x v="2"/>
    <n v="10"/>
    <s v="MIN"/>
    <n v="0.16666666666666666"/>
    <x v="0"/>
    <s v="15.01.2020"/>
    <s v="15.01.2020"/>
    <d v="1899-12-30T22:10:00"/>
    <d v="1899-12-30T22:20:00"/>
    <x v="81"/>
    <n v="10051716"/>
    <s v="PI-TH-7151-FA-PK-02"/>
    <s v="Bearing ไม่มีของ"/>
  </r>
  <r>
    <m/>
    <n v="3028688"/>
    <s v="16.01.2020"/>
    <n v="2"/>
    <s v="PAC002"/>
    <x v="2"/>
    <n v="10"/>
    <s v="MIN"/>
    <n v="0.16666666666666666"/>
    <x v="0"/>
    <s v="15.01.2020"/>
    <s v="15.01.2020"/>
    <d v="1899-12-30T21:50:00"/>
    <d v="1899-12-30T22:00:00"/>
    <x v="82"/>
    <n v="10051715"/>
    <s v="PI-TH-7151-FA-PK-02"/>
    <s v="Bearing ไม่มีของ"/>
  </r>
  <r>
    <m/>
    <n v="3028689"/>
    <s v="16.01.2020"/>
    <n v="2"/>
    <s v="PAC002"/>
    <x v="2"/>
    <n v="10"/>
    <s v="MIN"/>
    <n v="0.16666666666666666"/>
    <x v="0"/>
    <s v="15.01.2020"/>
    <s v="15.01.2020"/>
    <d v="1899-12-30T21:50:00"/>
    <d v="1899-12-30T22:00:00"/>
    <x v="82"/>
    <n v="10051715"/>
    <s v="PI-TH-7151-FA-PK-02"/>
    <s v="Bearing ไม่มีของ"/>
  </r>
  <r>
    <m/>
    <n v="3028690"/>
    <s v="16.01.2020"/>
    <n v="2"/>
    <s v="PAC002"/>
    <x v="2"/>
    <n v="10"/>
    <s v="MIN"/>
    <n v="0.16666666666666666"/>
    <x v="0"/>
    <s v="15.01.2020"/>
    <s v="15.01.2020"/>
    <d v="1899-12-30T22:00:00"/>
    <d v="1899-12-30T22:10:00"/>
    <x v="83"/>
    <n v="10051716"/>
    <s v="PI-TH-7151-FA-PK-02"/>
    <s v="Bearing ไม่มีของ"/>
  </r>
  <r>
    <m/>
    <n v="3028691"/>
    <s v="16.01.2020"/>
    <n v="1"/>
    <s v="PAC002"/>
    <x v="2"/>
    <n v="10"/>
    <s v="MIN"/>
    <n v="0.16666666666666666"/>
    <x v="0"/>
    <s v="15.01.2020"/>
    <s v="15.01.2020"/>
    <d v="1899-12-30T22:00:00"/>
    <d v="1899-12-30T22:10:00"/>
    <x v="83"/>
    <n v="10051716"/>
    <s v="PI-TH-7151-FA-PK-02"/>
    <s v="Bearing ไม่มีของ"/>
  </r>
  <r>
    <m/>
    <n v="3132471"/>
    <s v="16.01.2020"/>
    <n v="1"/>
    <s v="PRO001"/>
    <x v="2"/>
    <n v="10"/>
    <s v="MIN"/>
    <n v="0.16666666666666666"/>
    <x v="0"/>
    <s v="14.01.2020"/>
    <s v="14.01.2020"/>
    <d v="1899-12-30T20:10:00"/>
    <d v="1899-12-30T20:20:00"/>
    <x v="84"/>
    <n v="10049350"/>
    <s v="PI-TH-7151-FA-F1-P1"/>
    <s v="อัดจารบีเรียบร้อย"/>
  </r>
  <r>
    <m/>
    <n v="3134115"/>
    <s v="16.01.2020"/>
    <n v="2"/>
    <s v="PRO001"/>
    <x v="2"/>
    <n v="30"/>
    <s v="MIN"/>
    <n v="0.5"/>
    <x v="0"/>
    <s v="14.01.2020"/>
    <s v="14.01.2020"/>
    <d v="1899-12-30T19:30:00"/>
    <d v="1899-12-30T20:00:00"/>
    <x v="85"/>
    <n v="10049663"/>
    <s v="PI-TH-7151-FA-F1-SC"/>
    <s v="อัดจารบีเรียบร้อย"/>
  </r>
  <r>
    <m/>
    <n v="3134139"/>
    <s v="16.01.2020"/>
    <n v="2"/>
    <s v="PRO001"/>
    <x v="2"/>
    <n v="30"/>
    <s v="MIN"/>
    <n v="0.5"/>
    <x v="0"/>
    <s v="14.01.2020"/>
    <s v="14.01.2020"/>
    <d v="1899-12-30T19:30:00"/>
    <d v="1899-12-30T20:00:00"/>
    <x v="86"/>
    <n v="10049652"/>
    <s v="PI-TH-7151-FA-F1-SC"/>
    <s v="ตรวจเช็คการรั่วของปั๊ม"/>
  </r>
  <r>
    <m/>
    <n v="3134140"/>
    <s v="16.01.2020"/>
    <n v="2"/>
    <s v="PRO001"/>
    <x v="2"/>
    <n v="30"/>
    <s v="MIN"/>
    <n v="0.5"/>
    <x v="0"/>
    <s v="14.01.2020"/>
    <s v="14.01.2020"/>
    <d v="1899-12-30T19:30:00"/>
    <d v="1899-12-30T20:00:00"/>
    <x v="87"/>
    <n v="10049663"/>
    <s v="PI-TH-7151-FA-F1-SC"/>
    <s v="ตรวจเช็คความตึง-หย่อนของโซ่สายพาน"/>
  </r>
  <r>
    <m/>
    <n v="3134176"/>
    <s v="16.01.2020"/>
    <n v="1"/>
    <s v="PRO001"/>
    <x v="2"/>
    <n v="30"/>
    <s v="MIN"/>
    <n v="0.5"/>
    <x v="0"/>
    <s v="14.01.2020"/>
    <s v="14.01.2020"/>
    <d v="1899-12-30T20:00:00"/>
    <d v="1899-12-30T20:30:00"/>
    <x v="88"/>
    <n v="10049461"/>
    <s v="PI-TH-7151-FA-F1-FP"/>
    <s v="ตรวจเช็ค Stroke ของรางสั่น"/>
  </r>
  <r>
    <m/>
    <n v="3134183"/>
    <s v="16.01.2020"/>
    <n v="1"/>
    <s v="PRO001"/>
    <x v="2"/>
    <n v="30"/>
    <s v="MIN"/>
    <n v="0.5"/>
    <x v="0"/>
    <s v="14.01.2020"/>
    <s v="14.01.2020"/>
    <d v="1899-12-30T20:00:00"/>
    <d v="1899-12-30T20:30:00"/>
    <x v="89"/>
    <n v="10051218"/>
    <s v="PI-TH-7151-FA-F1-BC"/>
    <s v="อัดจารบีเรียบร้อย"/>
  </r>
  <r>
    <m/>
    <n v="3134213"/>
    <s v="16.01.2020"/>
    <n v="1"/>
    <s v="PRO001"/>
    <x v="2"/>
    <n v="30"/>
    <s v="MIN"/>
    <n v="0.5"/>
    <x v="0"/>
    <s v="14.01.2020"/>
    <s v="14.01.2020"/>
    <d v="1899-12-30T20:00:00"/>
    <d v="1899-12-30T20:30:00"/>
    <x v="90"/>
    <n v="10049451"/>
    <s v="PI-TH-7151-FA-F1-FP"/>
    <s v="ตรวจวัดค่า Vibration main Oil pump"/>
  </r>
  <r>
    <m/>
    <n v="3134233"/>
    <s v="16.01.2020"/>
    <n v="1"/>
    <s v="PRO001"/>
    <x v="2"/>
    <n v="30"/>
    <s v="MIN"/>
    <n v="0.5"/>
    <x v="0"/>
    <s v="14.01.2020"/>
    <s v="14.01.2020"/>
    <d v="1899-12-30T20:00:00"/>
    <d v="1899-12-30T20:30:00"/>
    <x v="91"/>
    <n v="10049451"/>
    <s v="PI-TH-7151-FA-F1-FP"/>
    <s v="อัดจารบีเรียบร้อย"/>
  </r>
  <r>
    <m/>
    <n v="3120256"/>
    <s v="16.01.2020"/>
    <n v="2"/>
    <s v="PRO001"/>
    <x v="2"/>
    <n v="20"/>
    <s v="MIN"/>
    <n v="0.33333333333333331"/>
    <x v="0"/>
    <s v="15.01.2020"/>
    <s v="15.01.2020"/>
    <d v="1899-12-30T20:40:00"/>
    <d v="1899-12-30T21:00:00"/>
    <x v="92"/>
    <n v="10049540"/>
    <s v="PI-TH-7151-FA-F1-ST"/>
    <s v="อัดจารบีเรียบร้อย"/>
  </r>
  <r>
    <m/>
    <n v="3120257"/>
    <s v="16.01.2020"/>
    <n v="3"/>
    <s v="PRO001"/>
    <x v="2"/>
    <n v="15"/>
    <s v="MIN"/>
    <n v="0.25"/>
    <x v="0"/>
    <s v="15.01.2020"/>
    <s v="15.01.2020"/>
    <d v="1899-12-30T20:20:00"/>
    <d v="1899-12-30T20:35:00"/>
    <x v="93"/>
    <n v="10049549"/>
    <s v="PI-TH-7151-FA-F1-ST"/>
    <s v="อัดจารบีเรียบร้อย"/>
  </r>
  <r>
    <m/>
    <n v="3132709"/>
    <s v="16.01.2020"/>
    <n v="2"/>
    <s v="PRO001"/>
    <x v="2"/>
    <n v="10"/>
    <s v="MIN"/>
    <n v="0.16666666666666666"/>
    <x v="0"/>
    <s v="15.01.2020"/>
    <s v="15.01.2020"/>
    <d v="1899-12-30T20:20:00"/>
    <d v="1899-12-30T20:30:00"/>
    <x v="94"/>
    <n v="10049540"/>
    <s v="PI-TH-7151-FA-F1-ST"/>
    <s v="ตรวจเช็คปรับตั้งความตึง/สายพาน"/>
  </r>
  <r>
    <m/>
    <n v="3132716"/>
    <s v="16.01.2020"/>
    <n v="2"/>
    <s v="PRO001"/>
    <x v="2"/>
    <n v="30"/>
    <s v="MIN"/>
    <n v="0.5"/>
    <x v="0"/>
    <s v="15.01.2020"/>
    <s v="15.01.2020"/>
    <d v="1899-12-30T20:00:00"/>
    <d v="1899-12-30T20:30:00"/>
    <x v="95"/>
    <n v="10051704"/>
    <s v="PI-TH-7151-FA-F1-ST"/>
    <s v="ตรวจเช็คการรั่วของแป้ง"/>
  </r>
  <r>
    <m/>
    <n v="3132717"/>
    <s v="16.01.2020"/>
    <n v="2"/>
    <s v="PRO001"/>
    <x v="2"/>
    <n v="30"/>
    <s v="MIN"/>
    <n v="0.5"/>
    <x v="0"/>
    <s v="15.01.2020"/>
    <s v="15.01.2020"/>
    <d v="1899-12-30T20:00:00"/>
    <d v="1899-12-30T20:30:00"/>
    <x v="96"/>
    <n v="10051704"/>
    <s v="PI-TH-7151-FA-F1-ST"/>
    <s v="อัดจารบีเรียบร้อย"/>
  </r>
  <r>
    <m/>
    <n v="3134276"/>
    <s v="16.01.2020"/>
    <n v="2"/>
    <s v="PRO001"/>
    <x v="2"/>
    <n v="20"/>
    <s v="MIN"/>
    <n v="0.33333333333333331"/>
    <x v="0"/>
    <s v="15.01.2020"/>
    <s v="15.01.2020"/>
    <d v="1899-12-30T21:00:00"/>
    <d v="1899-12-30T21:20:00"/>
    <x v="97"/>
    <n v="10049578"/>
    <s v="PI-TH-7151-FA-F1-ST"/>
    <s v="อัดจารบีเรียบร้อย"/>
  </r>
  <r>
    <m/>
    <n v="3134299"/>
    <s v="16.01.2020"/>
    <n v="2"/>
    <s v="PRO001"/>
    <x v="2"/>
    <n v="20"/>
    <s v="MIN"/>
    <n v="0.33333333333333331"/>
    <x v="0"/>
    <s v="15.01.2020"/>
    <s v="15.01.2020"/>
    <d v="1899-12-30T21:20:00"/>
    <d v="1899-12-30T21:40:00"/>
    <x v="98"/>
    <n v="10049565"/>
    <s v="PI-TH-7151-FA-F1-ST"/>
    <s v="อัดจารบีเรียบร้อย"/>
  </r>
  <r>
    <m/>
    <n v="3134300"/>
    <s v="16.01.2020"/>
    <n v="3"/>
    <s v="PRO001"/>
    <x v="2"/>
    <n v="10"/>
    <s v="MIN"/>
    <n v="0.16666666666666666"/>
    <x v="0"/>
    <s v="15.01.2020"/>
    <s v="15.01.2020"/>
    <d v="1899-12-30T21:10:00"/>
    <d v="1899-12-30T21:20:00"/>
    <x v="99"/>
    <n v="10049540"/>
    <s v="PI-TH-7151-FA-F1-ST"/>
    <s v="ตรวจเช็คค่า Vibration Wet mixer"/>
  </r>
  <r>
    <m/>
    <n v="3134305"/>
    <s v="16.01.2020"/>
    <n v="3"/>
    <s v="PRO001"/>
    <x v="2"/>
    <n v="25"/>
    <s v="MIN"/>
    <n v="0.41666666666666669"/>
    <x v="0"/>
    <s v="15.01.2020"/>
    <s v="15.01.2020"/>
    <d v="1899-12-30T20:35:00"/>
    <d v="1899-12-30T21:00:00"/>
    <x v="100"/>
    <n v="10051174"/>
    <s v="PI-TH-7151-FA-F1-ST"/>
    <s v="อัดจารบีเรียบร้อย"/>
  </r>
  <r>
    <m/>
    <n v="3134306"/>
    <s v="16.01.2020"/>
    <n v="3"/>
    <s v="PRO001"/>
    <x v="2"/>
    <n v="10"/>
    <s v="MIN"/>
    <n v="0.16666666666666666"/>
    <x v="0"/>
    <s v="15.01.2020"/>
    <s v="15.01.2020"/>
    <d v="1899-12-30T20:10:00"/>
    <d v="1899-12-30T20:20:00"/>
    <x v="101"/>
    <n v="10051704"/>
    <s v="PI-TH-7151-FA-F1-ST"/>
    <s v="ตรวจเช็คการรั่วซึมของนำ Cooling"/>
  </r>
  <r>
    <m/>
    <n v="3134307"/>
    <s v="16.01.2020"/>
    <n v="2"/>
    <s v="PRO001"/>
    <x v="2"/>
    <n v="10"/>
    <s v="MIN"/>
    <n v="0.16666666666666666"/>
    <x v="0"/>
    <s v="15.01.2020"/>
    <s v="15.01.2020"/>
    <d v="1899-12-30T21:00:00"/>
    <d v="1899-12-30T21:20:00"/>
    <x v="102"/>
    <n v="10049549"/>
    <s v="PI-TH-7151-FA-F1-ST"/>
    <s v="ตรวจเช็คการรั่วซึมของนำ Cooling"/>
  </r>
  <r>
    <m/>
    <n v="3134310"/>
    <s v="16.01.2020"/>
    <n v="3"/>
    <s v="PRO001"/>
    <x v="2"/>
    <n v="10"/>
    <s v="MIN"/>
    <n v="0.16666666666666666"/>
    <x v="0"/>
    <s v="15.01.2020"/>
    <s v="15.01.2020"/>
    <d v="1899-12-30T21:20:00"/>
    <d v="1899-12-30T21:30:00"/>
    <x v="103"/>
    <n v="10049549"/>
    <s v="PI-TH-7151-FA-F1-ST"/>
    <s v="ตรวจเช็คค่า Vibration"/>
  </r>
  <r>
    <m/>
    <n v="3134172"/>
    <s v="20.01.2020"/>
    <n v="2"/>
    <s v="PRO001"/>
    <x v="2"/>
    <n v="15"/>
    <s v="MIN"/>
    <n v="0.25"/>
    <x v="0"/>
    <s v="18.01.2020"/>
    <s v="18.01.2020"/>
    <d v="1899-12-30T10:30:00"/>
    <d v="1899-12-30T10:45:00"/>
    <x v="104"/>
    <n v="10051555"/>
    <s v="PI-TH-7151-FA-F1-FP"/>
    <s v="อัดจารบี"/>
  </r>
  <r>
    <m/>
    <n v="3134173"/>
    <s v="20.01.2020"/>
    <n v="2"/>
    <s v="PRO001"/>
    <x v="2"/>
    <n v="30"/>
    <s v="MIN"/>
    <n v="0.5"/>
    <x v="0"/>
    <s v="18.01.2020"/>
    <s v="18.01.2020"/>
    <d v="1899-12-30T12:00:00"/>
    <d v="1899-12-30T12:30:00"/>
    <x v="105"/>
    <n v="10051555"/>
    <s v="PI-TH-7151-FA-F1-FP"/>
    <s v="ตรวจเช็คระดับนำมันเกียร์"/>
  </r>
  <r>
    <m/>
    <n v="3134175"/>
    <s v="20.01.2020"/>
    <n v="2"/>
    <s v="PRO001"/>
    <x v="2"/>
    <n v="25"/>
    <s v="MIN"/>
    <n v="0.41666666666666669"/>
    <x v="0"/>
    <s v="18.01.2020"/>
    <s v="18.01.2020"/>
    <d v="1899-12-30T10:15:00"/>
    <d v="1899-12-30T10:30:00"/>
    <x v="106"/>
    <n v="10049451"/>
    <s v="PI-TH-7151-FA-F1-FP"/>
    <s v="ตรสจเช็คนํ้ามันหล่อลื่น"/>
  </r>
  <r>
    <m/>
    <n v="3134177"/>
    <s v="20.01.2020"/>
    <n v="2"/>
    <s v="PRO001"/>
    <x v="2"/>
    <n v="5"/>
    <s v="MIN"/>
    <n v="8.3333333333333329E-2"/>
    <x v="0"/>
    <s v="18.01.2020"/>
    <s v="18.01.2020"/>
    <d v="1899-12-30T10:25:00"/>
    <d v="1899-12-30T10:30:00"/>
    <x v="107"/>
    <n v="10049461"/>
    <s v="PI-TH-7151-FA-F1-FP"/>
    <s v="อัดจารบี"/>
  </r>
  <r>
    <m/>
    <n v="3134212"/>
    <s v="20.01.2020"/>
    <n v="2"/>
    <s v="PRO001"/>
    <x v="2"/>
    <n v="20"/>
    <s v="MIN"/>
    <n v="0.33333333333333331"/>
    <x v="0"/>
    <s v="18.01.2020"/>
    <s v="18.01.2020"/>
    <d v="1899-12-30T10:00:00"/>
    <d v="1899-12-30T10:20:00"/>
    <x v="108"/>
    <n v="10051555"/>
    <s v="PI-TH-7151-FA-F1-FP"/>
    <s v="ตรวจสอบเช็๕สายพานขับทั้งสองเส้น"/>
  </r>
  <r>
    <m/>
    <n v="3134214"/>
    <s v="20.01.2020"/>
    <n v="1"/>
    <s v="PRO001"/>
    <x v="2"/>
    <n v="10"/>
    <s v="MIN"/>
    <n v="0.16666666666666666"/>
    <x v="0"/>
    <s v="18.01.2020"/>
    <s v="18.01.2020"/>
    <d v="1899-12-30T11:00:00"/>
    <d v="1899-12-30T11:10:00"/>
    <x v="109"/>
    <n v="10049461"/>
    <s v="PI-TH-7151-FA-F1-FP"/>
    <s v="ไม่ได้ใช้งานแล้ว"/>
  </r>
  <r>
    <m/>
    <n v="3134250"/>
    <s v="20.01.2020"/>
    <n v="3"/>
    <s v="PRO001"/>
    <x v="2"/>
    <n v="50"/>
    <s v="MIN"/>
    <n v="0.83333333333333337"/>
    <x v="0"/>
    <s v="18.01.2020"/>
    <s v="18.01.2020"/>
    <d v="1899-12-30T08:00:00"/>
    <d v="1899-12-30T08:50:00"/>
    <x v="110"/>
    <n v="10049465"/>
    <s v="PI-TH-7151-FA-F1-FP"/>
    <s v="เปลี่ยนประเก็นเชือก"/>
  </r>
  <r>
    <m/>
    <n v="3134253"/>
    <s v="20.01.2020"/>
    <n v="2"/>
    <s v="PRO001"/>
    <x v="2"/>
    <n v="40"/>
    <s v="MIN"/>
    <n v="0.66666666666666663"/>
    <x v="0"/>
    <s v="18.01.2020"/>
    <s v="18.01.2020"/>
    <d v="1899-12-30T10:00:00"/>
    <d v="1899-12-30T10:40:00"/>
    <x v="111"/>
    <n v="10049549"/>
    <s v="PI-TH-7151-FA-F1-ST"/>
    <s v="ถอดล้างทำความสะอาด"/>
  </r>
  <r>
    <m/>
    <n v="3137627"/>
    <s v="20.01.2020"/>
    <n v="2"/>
    <s v="PRO001"/>
    <x v="2"/>
    <n v="20"/>
    <s v="MIN"/>
    <n v="0.33333333333333331"/>
    <x v="0"/>
    <s v="18.01.2020"/>
    <s v="18.01.2020"/>
    <d v="1899-12-30T10:00:00"/>
    <d v="1899-12-30T10:20:00"/>
    <x v="112"/>
    <n v="10051555"/>
    <s v="PI-TH-7151-FA-F1-FP"/>
    <s v="อัดจารบี"/>
  </r>
  <r>
    <m/>
    <n v="3135197"/>
    <s v="15.01.2020"/>
    <n v="1"/>
    <s v="PAC010"/>
    <x v="3"/>
    <n v="30"/>
    <s v="MIN"/>
    <n v="0.5"/>
    <x v="0"/>
    <s v="09.01.2020"/>
    <s v="09.01.2020"/>
    <d v="1899-12-30T00:30:00"/>
    <d v="1899-12-30T01:00:00"/>
    <x v="113"/>
    <n v="10049992"/>
    <s v="PI-TH-7151-FA-PK-CZ"/>
    <s v="Replace print head/Check cable"/>
  </r>
  <r>
    <m/>
    <n v="3122031"/>
    <s v="12.01.2020"/>
    <n v="1"/>
    <s v="PRO000"/>
    <x v="3"/>
    <n v="30"/>
    <s v="MIN"/>
    <n v="0.5"/>
    <x v="0"/>
    <s v="04.01.2020"/>
    <s v="04.01.2020"/>
    <d v="1899-12-30T03:30:00"/>
    <d v="1899-12-30T04:00:00"/>
    <x v="114"/>
    <n v="10051738"/>
    <s v="PI-TH-7151-FA-F1-ST"/>
    <s v="อัดจารบีพร้อมทำความสะอาด"/>
  </r>
  <r>
    <m/>
    <n v="3118382"/>
    <s v="12.01.2020"/>
    <n v="1"/>
    <s v="PRO001"/>
    <x v="3"/>
    <n v="30"/>
    <s v="MIN"/>
    <n v="0.5"/>
    <x v="0"/>
    <s v="04.01.2020"/>
    <s v="04.01.2020"/>
    <d v="1899-12-30T03:00:00"/>
    <d v="1899-12-30T03:30:00"/>
    <x v="115"/>
    <n v="10049540"/>
    <s v="PI-TH-7151-FA-F1-ST"/>
    <s v="สภาพปกติทั่วไป"/>
  </r>
  <r>
    <m/>
    <n v="3118394"/>
    <s v="12.01.2020"/>
    <n v="2"/>
    <s v="PRO001"/>
    <x v="3"/>
    <n v="30"/>
    <s v="MIN"/>
    <n v="0.5"/>
    <x v="0"/>
    <s v="04.01.2020"/>
    <s v="04.01.2020"/>
    <d v="1899-12-30T02:30:00"/>
    <d v="1899-12-30T03:00:00"/>
    <x v="116"/>
    <n v="10051704"/>
    <s v="PI-TH-7151-FA-F1-ST"/>
    <m/>
  </r>
  <r>
    <m/>
    <n v="3120245"/>
    <s v="12.01.2020"/>
    <n v="2"/>
    <s v="PRO001"/>
    <x v="3"/>
    <n v="30"/>
    <s v="MIN"/>
    <n v="0.5"/>
    <x v="0"/>
    <s v="04.01.2020"/>
    <s v="04.01.2020"/>
    <d v="1899-12-30T04:00:00"/>
    <d v="1899-12-30T04:30:00"/>
    <x v="117"/>
    <n v="10051738"/>
    <s v="PI-TH-7151-FA-F1-ST"/>
    <s v="สภาพปกติทั่วไป"/>
  </r>
  <r>
    <m/>
    <n v="3120246"/>
    <s v="12.01.2020"/>
    <n v="2"/>
    <s v="PRO001"/>
    <x v="3"/>
    <n v="30"/>
    <s v="MIN"/>
    <n v="0.5"/>
    <x v="0"/>
    <s v="04.01.2020"/>
    <s v="04.01.2020"/>
    <d v="1899-12-30T05:30:00"/>
    <d v="1899-12-30T06:00:00"/>
    <x v="118"/>
    <n v="10051759"/>
    <s v="PI-TH-7151-FA-F1-ST"/>
    <s v="อัดจารบีพร้อมทำความสะอาด"/>
  </r>
  <r>
    <m/>
    <n v="3120258"/>
    <s v="12.01.2020"/>
    <n v="2"/>
    <s v="PRO001"/>
    <x v="3"/>
    <n v="30"/>
    <s v="MIN"/>
    <n v="0.5"/>
    <x v="0"/>
    <s v="04.01.2020"/>
    <s v="04.01.2020"/>
    <d v="1899-12-30T06:00:00"/>
    <d v="1899-12-30T06:30:00"/>
    <x v="119"/>
    <n v="10051738"/>
    <s v="PI-TH-7151-FA-F1-ST"/>
    <m/>
  </r>
  <r>
    <m/>
    <n v="3120252"/>
    <s v="12.01.2020"/>
    <n v="2"/>
    <s v="PRO001"/>
    <x v="3"/>
    <n v="30"/>
    <s v="MIN"/>
    <n v="0.5"/>
    <x v="0"/>
    <s v="05.01.2020"/>
    <s v="06.01.2020"/>
    <d v="1899-12-30T23:00:00"/>
    <d v="1899-12-30T23:30:00"/>
    <x v="120"/>
    <n v="10049578"/>
    <s v="PI-TH-7151-FA-F1-ST"/>
    <s v="อัดจารบีพร้อมทำความสะอาด"/>
  </r>
  <r>
    <m/>
    <n v="3120261"/>
    <s v="12.01.2020"/>
    <n v="2"/>
    <s v="PRO001"/>
    <x v="3"/>
    <n v="30"/>
    <s v="MIN"/>
    <n v="0.5"/>
    <x v="0"/>
    <s v="05.01.2020"/>
    <s v="06.01.2020"/>
    <d v="1899-12-30T00:00:00"/>
    <d v="1899-12-30T00:30:00"/>
    <x v="121"/>
    <n v="10051174"/>
    <s v="PI-TH-7151-FA-F1-ST"/>
    <s v="อัดจารบีพร้อมทำความสะอาด"/>
  </r>
  <r>
    <m/>
    <n v="3122771"/>
    <s v="12.01.2020"/>
    <n v="2"/>
    <s v="PRO001"/>
    <x v="3"/>
    <n v="30"/>
    <s v="MIN"/>
    <n v="0.5"/>
    <x v="0"/>
    <s v="05.01.2020"/>
    <s v="05.01.2020"/>
    <d v="1899-12-30T05:00:00"/>
    <d v="1899-12-30T05:30:00"/>
    <x v="122"/>
    <n v="10049604"/>
    <s v="PI-TH-7151-FA-F1-BC"/>
    <s v="อัดจารบีพร้อมทำความสะอาด"/>
  </r>
  <r>
    <m/>
    <n v="3122778"/>
    <s v="12.01.2020"/>
    <n v="2"/>
    <s v="PRO001"/>
    <x v="3"/>
    <n v="30"/>
    <s v="MIN"/>
    <n v="0.5"/>
    <x v="0"/>
    <s v="05.01.2020"/>
    <s v="05.01.2020"/>
    <d v="1899-12-30T06:30:00"/>
    <d v="1899-12-30T07:00:00"/>
    <x v="123"/>
    <n v="10051230"/>
    <s v="PI-TH-7151-FA-F1-BC"/>
    <s v="อัดจารบีพร้อมทำความสะอาด"/>
  </r>
  <r>
    <m/>
    <n v="3122779"/>
    <s v="12.01.2020"/>
    <n v="2"/>
    <s v="PRO001"/>
    <x v="3"/>
    <n v="15"/>
    <s v="MIN"/>
    <n v="0.25"/>
    <x v="0"/>
    <s v="05.01.2020"/>
    <s v="05.01.2020"/>
    <d v="1899-12-30T02:45:00"/>
    <d v="1899-12-30T03:00:00"/>
    <x v="124"/>
    <n v="10049598"/>
    <s v="PI-TH-7151-FA-F1-BC"/>
    <s v="ทำความสะอาดแล้ว"/>
  </r>
  <r>
    <m/>
    <n v="3120227"/>
    <s v="12.01.2020"/>
    <n v="2"/>
    <s v="PRO001"/>
    <x v="3"/>
    <n v="30"/>
    <s v="MIN"/>
    <n v="0.5"/>
    <x v="0"/>
    <s v="06.01.2020"/>
    <s v="07.01.2020"/>
    <d v="1899-12-30T00:30:00"/>
    <d v="1899-12-30T01:00:00"/>
    <x v="125"/>
    <n v="10049451"/>
    <s v="PI-TH-7151-FA-F1-FP"/>
    <s v="อัดจารบีพร้อมทำความสะอาด"/>
  </r>
  <r>
    <m/>
    <n v="3120234"/>
    <s v="12.01.2020"/>
    <n v="1"/>
    <s v="PRO001"/>
    <x v="3"/>
    <n v="30"/>
    <s v="MIN"/>
    <n v="0.5"/>
    <x v="0"/>
    <s v="06.01.2020"/>
    <s v="07.01.2020"/>
    <d v="1899-12-30T00:00:00"/>
    <d v="1899-12-30T00:30:00"/>
    <x v="126"/>
    <n v="10051541"/>
    <s v="PI-TH-7151-FA-F1-FP"/>
    <s v="สภาพปกติทั่วไป"/>
  </r>
  <r>
    <m/>
    <n v="3120252"/>
    <s v="12.01.2020"/>
    <n v="3"/>
    <s v="PRO001"/>
    <x v="3"/>
    <n v="0"/>
    <s v="MIN"/>
    <n v="0"/>
    <x v="0"/>
    <s v="06.01.2020"/>
    <s v="12.01.2020"/>
    <d v="1899-12-30T23:30:00"/>
    <d v="1899-12-30T08:52:36"/>
    <x v="120"/>
    <n v="10049578"/>
    <s v="PI-TH-7151-FA-F1-ST"/>
    <m/>
  </r>
  <r>
    <m/>
    <n v="3119982"/>
    <s v="12.01.2020"/>
    <n v="2"/>
    <s v="PRO001"/>
    <x v="3"/>
    <n v="30"/>
    <s v="MIN"/>
    <n v="0.5"/>
    <x v="0"/>
    <s v="07.01.2020"/>
    <s v="07.01.2020"/>
    <d v="1899-12-30T06:00:00"/>
    <d v="1899-12-30T06:30:00"/>
    <x v="127"/>
    <n v="10051555"/>
    <s v="PI-TH-7151-FA-F1-FP"/>
    <s v="อัดจารบีพร้อมทำความสะอาด"/>
  </r>
  <r>
    <m/>
    <n v="3119987"/>
    <s v="12.01.2020"/>
    <n v="2"/>
    <s v="PRO001"/>
    <x v="3"/>
    <n v="30"/>
    <s v="MIN"/>
    <n v="0.5"/>
    <x v="0"/>
    <s v="07.01.2020"/>
    <s v="07.01.2020"/>
    <d v="1899-12-30T02:30:00"/>
    <d v="1899-12-30T03:00:00"/>
    <x v="128"/>
    <n v="10049461"/>
    <s v="PI-TH-7151-FA-F1-FP"/>
    <s v="อัดจารบีพร้อมทำความสะอาด"/>
  </r>
  <r>
    <m/>
    <n v="3122115"/>
    <s v="16.01.2020"/>
    <n v="2"/>
    <s v="PRO001"/>
    <x v="3"/>
    <n v="30"/>
    <s v="MIN"/>
    <n v="0.5"/>
    <x v="0"/>
    <s v="09.01.2020"/>
    <s v="09.01.2020"/>
    <d v="1899-12-30T20:30:00"/>
    <d v="1899-12-30T22:00:00"/>
    <x v="129"/>
    <n v="10051759"/>
    <s v="PI-TH-7151-FA-F1-ST"/>
    <s v="เปลี่ยนประเก็นเชือก SSN"/>
  </r>
  <r>
    <m/>
    <n v="3123101"/>
    <s v="16.01.2020"/>
    <n v="2"/>
    <s v="PRO001"/>
    <x v="3"/>
    <n v="30"/>
    <s v="MIN"/>
    <n v="0.5"/>
    <x v="0"/>
    <s v="09.01.2020"/>
    <s v="09.01.2020"/>
    <d v="1899-12-30T23:00:00"/>
    <d v="1899-12-30T23:30:00"/>
    <x v="130"/>
    <n v="10049565"/>
    <s v="PI-TH-7151-FA-F1-ST"/>
    <s v="ตรวจสอบสภาพทั่วไป"/>
  </r>
  <r>
    <m/>
    <n v="3123138"/>
    <s v="16.01.2020"/>
    <n v="2"/>
    <s v="PRO001"/>
    <x v="3"/>
    <n v="30"/>
    <s v="MIN"/>
    <n v="0.5"/>
    <x v="0"/>
    <s v="09.01.2020"/>
    <s v="09.01.2020"/>
    <d v="1899-12-30T23:00:00"/>
    <d v="1899-12-30T23:30:00"/>
    <x v="131"/>
    <n v="10051747"/>
    <s v="PI-TH-7151-FA-F1-ST"/>
    <s v="ตรวจเช็คค่า ของนำมันเกียร์"/>
  </r>
  <r>
    <m/>
    <n v="3132720"/>
    <s v="16.01.2020"/>
    <n v="2"/>
    <s v="PRO001"/>
    <x v="3"/>
    <n v="30"/>
    <s v="MIN"/>
    <n v="0.5"/>
    <x v="0"/>
    <s v="09.01.2020"/>
    <s v="09.01.2020"/>
    <d v="1899-12-30T22:00:00"/>
    <d v="1899-12-30T22:30:00"/>
    <x v="132"/>
    <n v="10049534"/>
    <s v="PI-TH-7151-FA-F1-ST"/>
    <s v="ทำการ Back Flush แล้ว"/>
  </r>
  <r>
    <m/>
    <n v="3132721"/>
    <s v="16.01.2020"/>
    <n v="2"/>
    <s v="PRO001"/>
    <x v="3"/>
    <n v="30"/>
    <s v="MIN"/>
    <n v="0.5"/>
    <x v="0"/>
    <s v="09.01.2020"/>
    <s v="09.01.2020"/>
    <d v="1899-12-30T22:30:00"/>
    <d v="1899-12-30T23:00:00"/>
    <x v="133"/>
    <n v="10049534"/>
    <s v="PI-TH-7151-FA-F1-ST"/>
    <s v="ตรวจเช็คค่า Conductivity"/>
  </r>
  <r>
    <m/>
    <n v="3123118"/>
    <s v="16.01.2020"/>
    <n v="2"/>
    <s v="PRO001"/>
    <x v="3"/>
    <n v="30"/>
    <s v="MIN"/>
    <n v="0.5"/>
    <x v="0"/>
    <s v="10.01.2020"/>
    <s v="10.01.2020"/>
    <d v="1899-12-30T00:00:00"/>
    <d v="1899-12-30T00:30:00"/>
    <x v="134"/>
    <n v="10049578"/>
    <s v="PI-TH-7151-FA-F1-ST"/>
    <s v="ตรวจสอบสภาพทั่วไป"/>
  </r>
  <r>
    <m/>
    <n v="3123143"/>
    <s v="16.01.2020"/>
    <n v="2"/>
    <s v="PRO001"/>
    <x v="3"/>
    <n v="30"/>
    <s v="MIN"/>
    <n v="0.5"/>
    <x v="0"/>
    <s v="10.01.2020"/>
    <s v="10.01.2020"/>
    <d v="1899-12-30T00:30:00"/>
    <d v="1899-12-30T01:00:00"/>
    <x v="135"/>
    <n v="10051174"/>
    <s v="PI-TH-7151-FA-F1-ST"/>
    <s v="ตรวจสอบสภาพทั่วไป"/>
  </r>
  <r>
    <m/>
    <n v="3120190"/>
    <s v="20.01.2020"/>
    <n v="3"/>
    <s v="PRO001"/>
    <x v="3"/>
    <n v="30"/>
    <s v="MIN"/>
    <n v="0.5"/>
    <x v="0"/>
    <s v="13.01.2020"/>
    <s v="13.01.2020"/>
    <d v="1899-12-30T13:00:00"/>
    <d v="1899-12-30T13:30:00"/>
    <x v="136"/>
    <n v="10051541"/>
    <s v="PI-TH-7151-FA-F1-FP"/>
    <s v="อัดจารบี"/>
  </r>
  <r>
    <m/>
    <n v="3122006"/>
    <s v="20.01.2020"/>
    <n v="3"/>
    <s v="PRO001"/>
    <x v="3"/>
    <n v="30"/>
    <s v="MIN"/>
    <n v="0.5"/>
    <x v="0"/>
    <s v="14.01.2020"/>
    <s v="14.01.2020"/>
    <d v="1899-12-30T14:30:00"/>
    <d v="1899-12-30T15:00:00"/>
    <x v="137"/>
    <n v="10051548"/>
    <s v="PI-TH-7151-FA-F1-FP"/>
    <s v="อัดจารบี"/>
  </r>
  <r>
    <m/>
    <n v="3134236"/>
    <s v="20.01.2020"/>
    <n v="2"/>
    <s v="PRO001"/>
    <x v="3"/>
    <n v="30"/>
    <s v="MIN"/>
    <n v="0.5"/>
    <x v="0"/>
    <s v="14.01.2020"/>
    <s v="14.01.2020"/>
    <d v="1899-12-30T14:30:00"/>
    <d v="1899-12-30T15:00:00"/>
    <x v="138"/>
    <n v="10051548"/>
    <s v="PI-TH-7151-FA-F1-FP"/>
    <s v="ตรวจเช็คสภาพความสึกหรอ"/>
  </r>
  <r>
    <m/>
    <n v="3134248"/>
    <s v="20.01.2020"/>
    <n v="3"/>
    <s v="PRO001"/>
    <x v="3"/>
    <n v="30"/>
    <s v="MIN"/>
    <n v="0.5"/>
    <x v="0"/>
    <s v="14.01.2020"/>
    <s v="14.01.2020"/>
    <d v="1899-12-30T13:30:00"/>
    <d v="1899-12-30T14:00:00"/>
    <x v="139"/>
    <n v="10051541"/>
    <s v="PI-TH-7151-FA-F1-FP"/>
    <s v="ตรวจเช็คสภาพความสึกหรอ"/>
  </r>
  <r>
    <m/>
    <n v="3134106"/>
    <s v="20.01.2020"/>
    <n v="2"/>
    <s v="PRO001"/>
    <x v="3"/>
    <n v="30"/>
    <s v="MIN"/>
    <n v="0.5"/>
    <x v="0"/>
    <s v="16.01.2020"/>
    <s v="16.01.2020"/>
    <d v="1899-12-30T16:30:00"/>
    <d v="1899-12-30T17:00:00"/>
    <x v="140"/>
    <n v="10049657"/>
    <s v="PI-TH-7151-FA-F1-SC"/>
    <s v="ตรวจเช็คสายพาน"/>
  </r>
  <r>
    <m/>
    <n v="3134249"/>
    <s v="20.01.2020"/>
    <n v="2"/>
    <s v="PRO001"/>
    <x v="3"/>
    <n v="30"/>
    <s v="MIN"/>
    <n v="0.5"/>
    <x v="0"/>
    <s v="16.01.2020"/>
    <s v="16.01.2020"/>
    <d v="1899-12-30T09:30:00"/>
    <d v="1899-12-30T10:00:00"/>
    <x v="141"/>
    <n v="10049640"/>
    <s v="PI-TH-7151-FA-F1-SC"/>
    <s v="ตรวจสอบการรั่วของแป้ง"/>
  </r>
  <r>
    <m/>
    <n v="3134251"/>
    <s v="20.01.2020"/>
    <n v="2"/>
    <s v="PRO001"/>
    <x v="3"/>
    <n v="30"/>
    <s v="MIN"/>
    <n v="0.5"/>
    <x v="0"/>
    <s v="16.01.2020"/>
    <s v="16.01.2020"/>
    <d v="1899-12-30T16:00:00"/>
    <d v="1899-12-30T16:30:00"/>
    <x v="142"/>
    <n v="10049657"/>
    <s v="PI-TH-7151-FA-F1-SC"/>
    <s v="ทำความสะอาด/เป่า"/>
  </r>
  <r>
    <m/>
    <n v="3137174"/>
    <s v="20.01.2020"/>
    <n v="2"/>
    <s v="PRO001"/>
    <x v="3"/>
    <n v="30"/>
    <s v="MIN"/>
    <n v="0.5"/>
    <x v="0"/>
    <s v="16.01.2020"/>
    <s v="16.01.2020"/>
    <d v="1899-12-30T16:30:00"/>
    <d v="1899-12-30T17:00:00"/>
    <x v="143"/>
    <n v="10049640"/>
    <s v="PI-TH-7151-FA-F1-SC"/>
    <s v="อัดจารบีพร้อมทำความสะอาด"/>
  </r>
  <r>
    <m/>
    <n v="3134259"/>
    <s v="20.01.2020"/>
    <n v="2"/>
    <s v="PRO001"/>
    <x v="3"/>
    <n v="30"/>
    <s v="MIN"/>
    <n v="0.5"/>
    <x v="0"/>
    <s v="17.01.2020"/>
    <s v="17.01.2020"/>
    <d v="1899-12-30T11:00:00"/>
    <d v="1899-12-30T11:30:00"/>
    <x v="144"/>
    <n v="10051759"/>
    <s v="PI-TH-7151-FA-F1-ST"/>
    <s v="อัดจารบี"/>
  </r>
  <r>
    <m/>
    <n v="3134271"/>
    <s v="20.01.2020"/>
    <n v="2"/>
    <s v="PRO001"/>
    <x v="3"/>
    <n v="30"/>
    <s v="MIN"/>
    <n v="0.5"/>
    <x v="0"/>
    <s v="17.01.2020"/>
    <s v="17.01.2020"/>
    <d v="1899-12-30T10:30:00"/>
    <d v="1899-12-30T11:00:00"/>
    <x v="145"/>
    <n v="10049534"/>
    <s v="PI-TH-7151-FA-F1-ST"/>
    <s v="ตรวจสอบการรั่วซึมของข้อต่อ"/>
  </r>
  <r>
    <m/>
    <n v="3134275"/>
    <s v="20.01.2020"/>
    <n v="2"/>
    <s v="PRO001"/>
    <x v="3"/>
    <n v="60"/>
    <s v="MIN"/>
    <n v="1"/>
    <x v="0"/>
    <s v="17.01.2020"/>
    <s v="17.01.2020"/>
    <d v="1899-12-30T13:00:00"/>
    <d v="1899-12-30T14:00:00"/>
    <x v="146"/>
    <n v="10051747"/>
    <s v="PI-TH-7151-FA-F1-ST"/>
    <s v="อัดจารบี"/>
  </r>
  <r>
    <m/>
    <n v="3134277"/>
    <s v="20.01.2020"/>
    <n v="2"/>
    <s v="PRO001"/>
    <x v="3"/>
    <n v="30"/>
    <s v="MIN"/>
    <n v="0.5"/>
    <x v="0"/>
    <s v="17.01.2020"/>
    <s v="17.01.2020"/>
    <d v="1899-12-30T10:00:00"/>
    <d v="1899-12-30T10:30:00"/>
    <x v="147"/>
    <n v="10049534"/>
    <s v="PI-TH-7151-FA-F1-ST"/>
    <s v="ทำความสะอาด Water filter ขนาด 5 mc."/>
  </r>
  <r>
    <m/>
    <n v="3137646"/>
    <s v="20.01.2020"/>
    <n v="2"/>
    <s v="PRO001"/>
    <x v="3"/>
    <n v="30"/>
    <s v="MIN"/>
    <n v="0.5"/>
    <x v="0"/>
    <s v="17.01.2020"/>
    <s v="17.01.2020"/>
    <d v="1899-12-30T09:00:00"/>
    <d v="1899-12-30T09:30:00"/>
    <x v="148"/>
    <n v="10049534"/>
    <s v="PI-TH-7151-FA-F1-ST"/>
    <s v="ทำความสะอาดถังกรองคาร์บอน"/>
  </r>
  <r>
    <m/>
    <n v="3122054"/>
    <s v="13.01.2020"/>
    <n v="2"/>
    <s v="PAC002"/>
    <x v="4"/>
    <n v="10"/>
    <s v="MIN"/>
    <n v="0.16666666666666666"/>
    <x v="0"/>
    <s v="10.01.2020"/>
    <s v="10.01.2020"/>
    <d v="1899-12-30T11:00:00"/>
    <d v="1899-12-30T11:10:00"/>
    <x v="149"/>
    <n v="10067262"/>
    <s v="PI-TH-7151-FA-PK-05"/>
    <s v="ตรวจเช็คสภาพปกติทั่วไป"/>
  </r>
  <r>
    <m/>
    <n v="3122078"/>
    <s v="13.01.2020"/>
    <n v="2"/>
    <s v="PAC002"/>
    <x v="4"/>
    <n v="10"/>
    <s v="MIN"/>
    <n v="0.16666666666666666"/>
    <x v="0"/>
    <s v="10.01.2020"/>
    <s v="10.01.2020"/>
    <d v="1899-12-30T10:40:00"/>
    <d v="1899-12-30T10:50:00"/>
    <x v="150"/>
    <n v="10067260"/>
    <s v="PI-TH-7151-FA-PK-05"/>
    <s v="ตรวจเช็คสภาพปกติทั่วไป"/>
  </r>
  <r>
    <m/>
    <n v="3122079"/>
    <s v="13.01.2020"/>
    <n v="2"/>
    <s v="PAC002"/>
    <x v="4"/>
    <n v="10"/>
    <s v="MIN"/>
    <n v="0.16666666666666666"/>
    <x v="0"/>
    <s v="10.01.2020"/>
    <s v="10.01.2020"/>
    <d v="1899-12-30T10:50:00"/>
    <d v="1899-12-30T11:00:00"/>
    <x v="151"/>
    <n v="10067261"/>
    <s v="PI-TH-7151-FA-PK-05"/>
    <s v="ตรวจเช็คสภาพปกติทั่วไป"/>
  </r>
  <r>
    <m/>
    <n v="3110488"/>
    <s v="13.01.2020"/>
    <n v="2"/>
    <s v="PAC002"/>
    <x v="4"/>
    <n v="10"/>
    <s v="MIN"/>
    <n v="0.16666666666666666"/>
    <x v="0"/>
    <s v="11.01.2020"/>
    <s v="11.01.2020"/>
    <d v="1899-12-30T10:30:00"/>
    <d v="1899-12-30T10:40:00"/>
    <x v="152"/>
    <n v="10067260"/>
    <s v="PI-TH-7151-FA-PK-05"/>
    <s v="ตรวจเช็คสภาพปกติทั่วไป"/>
  </r>
  <r>
    <m/>
    <n v="3122070"/>
    <s v="13.01.2020"/>
    <n v="2"/>
    <s v="PAC002"/>
    <x v="4"/>
    <n v="10"/>
    <s v="MIN"/>
    <n v="0.16666666666666666"/>
    <x v="0"/>
    <s v="11.01.2020"/>
    <s v="11.01.2020"/>
    <d v="1899-12-30T12:00:00"/>
    <d v="1899-12-30T12:10:00"/>
    <x v="153"/>
    <n v="10055720"/>
    <s v="PI-TH-7151-FA-PK-05"/>
    <s v="ตรวจเช็คสภาพปกติทั่วไป"/>
  </r>
  <r>
    <m/>
    <n v="3122071"/>
    <s v="13.01.2020"/>
    <n v="2"/>
    <s v="PAC002"/>
    <x v="4"/>
    <n v="10"/>
    <s v="MIN"/>
    <n v="0.16666666666666666"/>
    <x v="0"/>
    <s v="11.01.2020"/>
    <s v="11.01.2020"/>
    <d v="1899-12-30T12:20:00"/>
    <d v="1899-12-30T12:30:00"/>
    <x v="154"/>
    <n v="10070390"/>
    <s v="PI-TH-7151-FA-PK-05"/>
    <s v="ตรวจเช็คสภาพปกติทั่วไป"/>
  </r>
  <r>
    <m/>
    <n v="3122075"/>
    <s v="13.01.2020"/>
    <n v="2"/>
    <s v="PAC002"/>
    <x v="4"/>
    <n v="10"/>
    <s v="MIN"/>
    <n v="0.16666666666666666"/>
    <x v="0"/>
    <s v="11.01.2020"/>
    <s v="11.01.2020"/>
    <d v="1899-12-30T11:20:00"/>
    <d v="1899-12-30T11:30:00"/>
    <x v="155"/>
    <n v="10049756"/>
    <s v="PI-TH-7151-FA-PK-05"/>
    <s v="ตรวจเช็คสภาพปกติทั่วไป"/>
  </r>
  <r>
    <m/>
    <n v="3122076"/>
    <s v="13.01.2020"/>
    <n v="2"/>
    <s v="PAC002"/>
    <x v="4"/>
    <n v="10"/>
    <s v="MIN"/>
    <n v="0.16666666666666666"/>
    <x v="0"/>
    <s v="11.01.2020"/>
    <s v="11.01.2020"/>
    <d v="1899-12-30T11:30:00"/>
    <d v="1899-12-30T11:40:00"/>
    <x v="156"/>
    <n v="10049758"/>
    <s v="PI-TH-7151-FA-PK-05"/>
    <s v="ตรวจเช็คสภาพปกติทั่วไป"/>
  </r>
  <r>
    <m/>
    <n v="3122102"/>
    <s v="13.01.2020"/>
    <n v="2"/>
    <s v="PAC002"/>
    <x v="4"/>
    <n v="10"/>
    <s v="MIN"/>
    <n v="0.16666666666666666"/>
    <x v="0"/>
    <s v="11.01.2020"/>
    <s v="11.01.2020"/>
    <d v="1899-12-30T12:00:00"/>
    <d v="1899-12-30T12:10:00"/>
    <x v="157"/>
    <n v="10055719"/>
    <s v="PI-TH-7151-FA-PK-05"/>
    <s v="ตรวจเช็คสภาพปกติทั่วไป"/>
  </r>
  <r>
    <m/>
    <n v="3122102"/>
    <s v="13.01.2020"/>
    <n v="3"/>
    <s v="PAC002"/>
    <x v="4"/>
    <n v="40"/>
    <s v="MIN"/>
    <n v="0.66666666666666663"/>
    <x v="0"/>
    <s v="11.01.2020"/>
    <s v="13.01.2020"/>
    <d v="1899-12-30T12:10:00"/>
    <d v="1899-12-30T11:32:09"/>
    <x v="157"/>
    <n v="10055719"/>
    <s v="PI-TH-7151-FA-PK-05"/>
    <m/>
  </r>
  <r>
    <m/>
    <n v="3122118"/>
    <s v="13.01.2020"/>
    <n v="2"/>
    <s v="PAC002"/>
    <x v="4"/>
    <n v="10"/>
    <s v="MIN"/>
    <n v="0.16666666666666666"/>
    <x v="0"/>
    <s v="11.01.2020"/>
    <s v="11.01.2020"/>
    <d v="1899-12-30T11:40:00"/>
    <d v="1899-12-30T11:50:00"/>
    <x v="158"/>
    <n v="10051506"/>
    <s v="PI-TH-7151-FA-PK-05"/>
    <s v="ตรวจเช็คสภาพปกติทั่วไป"/>
  </r>
  <r>
    <m/>
    <n v="3122119"/>
    <s v="13.01.2020"/>
    <n v="2"/>
    <s v="PAC002"/>
    <x v="4"/>
    <n v="10"/>
    <s v="MIN"/>
    <n v="0.16666666666666666"/>
    <x v="0"/>
    <s v="11.01.2020"/>
    <s v="11.01.2020"/>
    <d v="1899-12-30T11:10:00"/>
    <d v="1899-12-30T11:20:00"/>
    <x v="159"/>
    <n v="10049796"/>
    <s v="PI-TH-7151-FA-PK-05"/>
    <s v="ตรวจเช็คสภาพปกติทั่วไป"/>
  </r>
  <r>
    <m/>
    <n v="3122040"/>
    <s v="16.01.2020"/>
    <n v="2"/>
    <s v="PAC002"/>
    <x v="4"/>
    <n v="10"/>
    <s v="MIN"/>
    <n v="0.16666666666666666"/>
    <x v="0"/>
    <s v="15.01.2020"/>
    <s v="15.01.2020"/>
    <d v="1899-12-30T20:00:00"/>
    <d v="1899-12-30T20:10:00"/>
    <x v="160"/>
    <n v="10051200"/>
    <s v="PI-TH-7151-FA-PK-05"/>
    <s v="ทำการตรวจสอบ End seal bar"/>
  </r>
  <r>
    <m/>
    <n v="3122055"/>
    <s v="16.01.2020"/>
    <n v="2"/>
    <s v="PAC002"/>
    <x v="4"/>
    <n v="10"/>
    <s v="MIN"/>
    <n v="0.16666666666666666"/>
    <x v="0"/>
    <s v="15.01.2020"/>
    <s v="15.01.2020"/>
    <d v="1899-12-30T21:20:00"/>
    <d v="1899-12-30T21:30:00"/>
    <x v="161"/>
    <n v="10049770"/>
    <s v="PI-TH-7151-FA-PK-05"/>
    <s v="ทำการตรวจสอบ End seal bar/ปกติ"/>
  </r>
  <r>
    <m/>
    <n v="3122068"/>
    <s v="16.01.2020"/>
    <n v="2"/>
    <s v="PAC002"/>
    <x v="4"/>
    <n v="15"/>
    <s v="MIN"/>
    <n v="0.25"/>
    <x v="0"/>
    <s v="15.01.2020"/>
    <s v="15.01.2020"/>
    <d v="1899-12-30T20:55:00"/>
    <d v="1899-12-30T21:10:00"/>
    <x v="162"/>
    <n v="10056253"/>
    <s v="PI-TH-7151-FA-PK-05"/>
    <s v="ตรวจสอบ Input belt"/>
  </r>
  <r>
    <m/>
    <n v="3122111"/>
    <s v="16.01.2020"/>
    <n v="2"/>
    <s v="PAC002"/>
    <x v="4"/>
    <n v="20"/>
    <s v="MIN"/>
    <n v="0.33333333333333331"/>
    <x v="0"/>
    <s v="15.01.2020"/>
    <s v="15.01.2020"/>
    <d v="1899-12-30T20:20:00"/>
    <d v="1899-12-30T20:40:00"/>
    <x v="163"/>
    <n v="10072700"/>
    <s v="PI-TH-7151-FA-PK-05"/>
    <s v="ตรวจสอบ Input belt"/>
  </r>
  <r>
    <m/>
    <n v="3122112"/>
    <s v="16.01.2020"/>
    <n v="2"/>
    <s v="PAC002"/>
    <x v="4"/>
    <n v="10"/>
    <s v="MIN"/>
    <n v="0.16666666666666666"/>
    <x v="0"/>
    <s v="15.01.2020"/>
    <s v="15.01.2020"/>
    <d v="1899-12-30T21:10:00"/>
    <d v="1899-12-30T21:20:00"/>
    <x v="164"/>
    <n v="10049771"/>
    <s v="PI-TH-7151-FA-PK-05"/>
    <s v="ตรวจสอบ Input belt"/>
  </r>
  <r>
    <m/>
    <n v="3122116"/>
    <s v="16.01.2020"/>
    <n v="2"/>
    <s v="PAC002"/>
    <x v="4"/>
    <n v="15"/>
    <s v="MIN"/>
    <n v="0.25"/>
    <x v="0"/>
    <s v="15.01.2020"/>
    <s v="15.01.2020"/>
    <d v="1899-12-30T20:40:00"/>
    <d v="1899-12-30T20:55:00"/>
    <x v="165"/>
    <n v="10051202"/>
    <s v="PI-TH-7151-FA-PK-05"/>
    <s v="ตรวจสอบ Input belt"/>
  </r>
  <r>
    <m/>
    <n v="3122117"/>
    <s v="16.01.2020"/>
    <n v="2"/>
    <s v="PAC002"/>
    <x v="4"/>
    <n v="5"/>
    <s v="MIN"/>
    <n v="8.3333333333333329E-2"/>
    <x v="0"/>
    <s v="15.01.2020"/>
    <s v="15.01.2020"/>
    <d v="1899-12-30T21:30:00"/>
    <d v="1899-12-30T21:35:00"/>
    <x v="166"/>
    <n v="10051037"/>
    <s v="PI-TH-7151-FA-PK-05"/>
    <s v="ตรวจสอบ Input belt/ไม่ได้ใช้งาน"/>
  </r>
  <r>
    <m/>
    <n v="3137638"/>
    <s v="16.01.2020"/>
    <n v="2"/>
    <s v="PAC002"/>
    <x v="4"/>
    <n v="10"/>
    <s v="MIN"/>
    <n v="0.16666666666666666"/>
    <x v="0"/>
    <s v="15.01.2020"/>
    <s v="15.01.2020"/>
    <d v="1899-12-30T20:10:00"/>
    <d v="1899-12-30T20:20:00"/>
    <x v="167"/>
    <n v="10049719"/>
    <s v="PI-TH-7151-FA-PK-05"/>
    <s v="ทำการตรวจสอบการจับทั้งสองชนิด"/>
  </r>
  <r>
    <m/>
    <n v="3134789"/>
    <s v="15.01.2020"/>
    <n v="1"/>
    <s v="PAC011"/>
    <x v="4"/>
    <n v="2"/>
    <s v="H"/>
    <n v="120"/>
    <x v="0"/>
    <s v="09.01.2020"/>
    <s v="09.01.2020"/>
    <d v="1899-12-30T11:00:00"/>
    <d v="1899-12-30T13:00:00"/>
    <x v="168"/>
    <n v="10049809"/>
    <s v="PI-TH-7151-FA-PK-01"/>
    <s v="Replace Eye mark sensor optex."/>
  </r>
  <r>
    <m/>
    <n v="3120196"/>
    <s v="12.01.2020"/>
    <n v="1"/>
    <s v="PRO001"/>
    <x v="4"/>
    <n v="20"/>
    <s v="MIN"/>
    <n v="0.33333333333333331"/>
    <x v="0"/>
    <s v="08.01.2020"/>
    <s v="08.01.2020"/>
    <d v="1899-12-30T22:00:00"/>
    <d v="1899-12-30T22:20:00"/>
    <x v="169"/>
    <n v="10049372"/>
    <s v="PI-TH-7151-FA-F1-P1"/>
    <s v="ทำความสะอาด Inlet air Filter"/>
  </r>
  <r>
    <m/>
    <n v="3120193"/>
    <s v="13.01.2020"/>
    <n v="2"/>
    <s v="PRO001"/>
    <x v="4"/>
    <n v="20"/>
    <s v="MIN"/>
    <n v="0.33333333333333331"/>
    <x v="0"/>
    <s v="10.01.2020"/>
    <s v="10.01.2020"/>
    <d v="1899-12-30T08:30:00"/>
    <d v="1899-12-30T08:50:00"/>
    <x v="170"/>
    <n v="10051386"/>
    <s v="PI-TH-7151-FA-F1-P1"/>
    <s v="ตรวจเช็คสภาพปกติทั่วไป"/>
  </r>
  <r>
    <m/>
    <n v="3122731"/>
    <s v="13.01.2020"/>
    <n v="2"/>
    <s v="PRO001"/>
    <x v="4"/>
    <n v="20"/>
    <s v="MIN"/>
    <n v="0.33333333333333331"/>
    <x v="0"/>
    <s v="10.01.2020"/>
    <s v="10.01.2020"/>
    <d v="1899-12-30T10:10:00"/>
    <d v="1899-12-30T10:30:00"/>
    <x v="171"/>
    <n v="10051443"/>
    <s v="PI-TH-7151-FA-F1-P1"/>
    <s v="ฉีดสเปรย์/อัดจารบีแล้ว"/>
  </r>
  <r>
    <m/>
    <n v="3122750"/>
    <s v="13.01.2020"/>
    <n v="2"/>
    <s v="PRO001"/>
    <x v="4"/>
    <n v="30"/>
    <s v="MIN"/>
    <n v="0.5"/>
    <x v="0"/>
    <s v="10.01.2020"/>
    <s v="10.01.2020"/>
    <d v="1899-12-30T09:30:00"/>
    <d v="1899-12-30T10:00:00"/>
    <x v="172"/>
    <n v="10049372"/>
    <s v="PI-TH-7151-FA-F1-P1"/>
    <s v="ฉีดสเปรย์/อัดจารบีแล้ว"/>
  </r>
  <r>
    <m/>
    <n v="3122782"/>
    <s v="13.01.2020"/>
    <n v="2"/>
    <s v="PRO001"/>
    <x v="4"/>
    <n v="10"/>
    <s v="MIN"/>
    <n v="0.16666666666666666"/>
    <x v="0"/>
    <s v="10.01.2020"/>
    <s v="10.01.2020"/>
    <d v="1899-12-30T10:00:00"/>
    <d v="1899-12-30T10:10:00"/>
    <x v="173"/>
    <n v="10049372"/>
    <s v="PI-TH-7151-FA-F1-P1"/>
    <s v="ตรวจสอบแล้วสายพานใช้งานได้อยู่"/>
  </r>
  <r>
    <m/>
    <n v="3112661"/>
    <s v="16.01.2020"/>
    <n v="2"/>
    <s v="PRO001"/>
    <x v="4"/>
    <n v="120"/>
    <s v="MIN"/>
    <n v="2"/>
    <x v="0"/>
    <s v="11.01.2020"/>
    <s v="11.01.2020"/>
    <d v="1899-12-30T15:00:00"/>
    <d v="1899-12-30T17:00:00"/>
    <x v="174"/>
    <n v="10051386"/>
    <s v="PI-TH-7151-FA-F1-P1"/>
    <s v="เปลี่ยนนำมันเกียร์"/>
  </r>
  <r>
    <m/>
    <n v="3120199"/>
    <s v="13.01.2020"/>
    <n v="2"/>
    <s v="PRO001"/>
    <x v="4"/>
    <n v="30"/>
    <s v="MIN"/>
    <n v="0.5"/>
    <x v="0"/>
    <s v="12.01.2020"/>
    <s v="12.01.2020"/>
    <d v="1899-12-30T08:00:00"/>
    <d v="1899-12-30T08:30:00"/>
    <x v="175"/>
    <n v="10051386"/>
    <s v="PI-TH-7151-FA-F1-P1"/>
    <s v="อัดจารบีและตรวจเช็คสภาพ"/>
  </r>
  <r>
    <m/>
    <n v="3132483"/>
    <s v="16.01.2020"/>
    <n v="2"/>
    <s v="PRO001"/>
    <x v="4"/>
    <n v="10"/>
    <s v="MIN"/>
    <n v="0.16666666666666666"/>
    <x v="0"/>
    <s v="14.01.2020"/>
    <s v="14.01.2020"/>
    <d v="1899-12-30T20:20:00"/>
    <d v="1899-12-30T20:40:00"/>
    <x v="176"/>
    <n v="10049372"/>
    <s v="PI-TH-7151-FA-F1-P1"/>
    <s v="ตรวจสอบสภาพทั่วไป"/>
  </r>
  <r>
    <m/>
    <n v="3137198"/>
    <s v="16.01.2020"/>
    <n v="1"/>
    <s v="PRO001"/>
    <x v="4"/>
    <n v="15"/>
    <s v="MIN"/>
    <n v="0.25"/>
    <x v="0"/>
    <s v="14.01.2020"/>
    <s v="14.01.2020"/>
    <d v="1899-12-30T20:30:00"/>
    <d v="1899-12-30T20:45:00"/>
    <x v="177"/>
    <n v="10049372"/>
    <s v="PI-TH-7151-FA-F1-P1"/>
    <s v="ทำความสะอาด"/>
  </r>
  <r>
    <m/>
    <n v="3112746"/>
    <s v="12.01.2020"/>
    <n v="1"/>
    <s v="PAC002"/>
    <x v="5"/>
    <n v="20"/>
    <s v="MIN"/>
    <n v="0.33333333333333331"/>
    <x v="0"/>
    <s v="09.01.2020"/>
    <s v="09.01.2020"/>
    <d v="1899-12-30T16:20:00"/>
    <d v="1899-12-30T16:40:00"/>
    <x v="178"/>
    <n v="10051308"/>
    <s v="PI-TH-7151-FA-PK-06"/>
    <s v="ทำความสะอาด/เช็ค Filter"/>
  </r>
  <r>
    <m/>
    <n v="3112747"/>
    <s v="12.01.2020"/>
    <n v="1"/>
    <s v="PAC002"/>
    <x v="5"/>
    <n v="40"/>
    <s v="MIN"/>
    <n v="0.66666666666666663"/>
    <x v="0"/>
    <s v="09.01.2020"/>
    <s v="09.01.2020"/>
    <d v="1899-12-30T17:00:00"/>
    <d v="1899-12-30T17:40:00"/>
    <x v="179"/>
    <n v="10051311"/>
    <s v="PI-TH-7151-FA-PK-06"/>
    <s v="ทำความสะอาด/เช็ค Filter"/>
  </r>
  <r>
    <m/>
    <n v="3137265"/>
    <s v="16.01.2020"/>
    <n v="1"/>
    <s v="PAC012"/>
    <x v="5"/>
    <n v="20"/>
    <s v="MIN"/>
    <n v="0.33333333333333331"/>
    <x v="0"/>
    <s v="12.01.2020"/>
    <s v="12.01.2020"/>
    <d v="1899-12-30T04:30:00"/>
    <d v="1899-12-30T04:50:00"/>
    <x v="180"/>
    <n v="10055734"/>
    <s v="PI-TH-7151-FA-PK-04"/>
    <s v="Replace block b"/>
  </r>
  <r>
    <m/>
    <n v="3122793"/>
    <s v="12.01.2020"/>
    <n v="2"/>
    <s v="PRO000"/>
    <x v="5"/>
    <n v="1.9"/>
    <s v="H"/>
    <n v="114"/>
    <x v="0"/>
    <s v="05.01.2020"/>
    <s v="05.01.2020"/>
    <d v="1899-12-30T08:30:00"/>
    <d v="1899-12-30T09:20:00"/>
    <x v="181"/>
    <n v="10051503"/>
    <s v="PI-TH-7151-FA-F2-PL"/>
    <s v="ทำการตรวจสอบสายพาน/โซ่"/>
  </r>
  <r>
    <m/>
    <n v="3122793"/>
    <s v="13.01.2020"/>
    <n v="5"/>
    <s v="PRO000"/>
    <x v="5"/>
    <n v="40"/>
    <s v="MIN"/>
    <n v="0.66666666666666663"/>
    <x v="0"/>
    <s v="12.01.2020"/>
    <s v="12.01.2020"/>
    <d v="1899-12-30T21:10:00"/>
    <d v="1899-12-30T21:40:00"/>
    <x v="181"/>
    <n v="10051503"/>
    <s v="PI-TH-7151-FA-F2-PL"/>
    <s v="ตรวจเช็คสภาพปกติทั่วไป"/>
  </r>
  <r>
    <m/>
    <n v="3134254"/>
    <s v="20.01.2020"/>
    <n v="3"/>
    <s v="PRO000"/>
    <x v="5"/>
    <n v="20"/>
    <s v="MIN"/>
    <n v="0.33333333333333331"/>
    <x v="0"/>
    <s v="18.01.2020"/>
    <s v="18.01.2020"/>
    <d v="1899-12-30T11:20:00"/>
    <d v="1899-12-30T11:40:00"/>
    <x v="182"/>
    <n v="10051503"/>
    <s v="PI-TH-7151-FA-F2-PL"/>
    <s v="ทำการตรวจสอบสายพาน"/>
  </r>
  <r>
    <m/>
    <n v="3118331"/>
    <s v="12.01.2020"/>
    <n v="2"/>
    <s v="PRO001"/>
    <x v="5"/>
    <n v="20"/>
    <s v="MIN"/>
    <n v="0.33333333333333331"/>
    <x v="0"/>
    <s v="04.01.2020"/>
    <s v="04.01.2020"/>
    <d v="1899-12-30T09:00:00"/>
    <d v="1899-12-30T09:20:00"/>
    <x v="183"/>
    <n v="10049399"/>
    <s v="PI-TH-7151-FA-F2-PL"/>
    <s v="เปลี่ยนประเก็นเชือก"/>
  </r>
  <r>
    <m/>
    <n v="3118358"/>
    <s v="12.01.2020"/>
    <n v="2"/>
    <s v="PRO001"/>
    <x v="5"/>
    <n v="40"/>
    <s v="MIN"/>
    <n v="0.66666666666666663"/>
    <x v="0"/>
    <s v="04.01.2020"/>
    <s v="04.01.2020"/>
    <d v="1899-12-30T09:30:00"/>
    <d v="1899-12-30T09:50:00"/>
    <x v="184"/>
    <n v="10051481"/>
    <s v="PI-TH-7151-FA-F2-PL"/>
    <s v="ทา Silicone heat"/>
  </r>
  <r>
    <m/>
    <n v="3120243"/>
    <s v="12.01.2020"/>
    <n v="2"/>
    <s v="PRO001"/>
    <x v="5"/>
    <n v="20"/>
    <s v="MIN"/>
    <n v="0.33333333333333331"/>
    <x v="0"/>
    <s v="04.01.2020"/>
    <s v="04.01.2020"/>
    <d v="1899-12-30T08:20:00"/>
    <d v="1899-12-30T08:30:00"/>
    <x v="185"/>
    <n v="10049416"/>
    <s v="PI-TH-7151-FA-F2-PL"/>
    <s v="ทำความสะอาดแล้ว"/>
  </r>
  <r>
    <m/>
    <n v="3120189"/>
    <s v="12.01.2020"/>
    <n v="2"/>
    <s v="PRO001"/>
    <x v="5"/>
    <n v="20"/>
    <s v="MIN"/>
    <n v="0.33333333333333331"/>
    <x v="0"/>
    <s v="04.01.2020"/>
    <s v="04.01.2020"/>
    <d v="1899-12-30T08:00:00"/>
    <d v="1899-12-30T08:20:00"/>
    <x v="186"/>
    <n v="10049436"/>
    <s v="PI-TH-7151-FA-F2-PL"/>
    <s v="Black Flush เรียบร้อย"/>
  </r>
  <r>
    <m/>
    <n v="3119983"/>
    <s v="12.01.2020"/>
    <n v="2"/>
    <s v="PRO001"/>
    <x v="5"/>
    <n v="10"/>
    <s v="MIN"/>
    <n v="0.16666666666666666"/>
    <x v="0"/>
    <s v="05.01.2020"/>
    <s v="05.01.2020"/>
    <d v="1899-12-30T10:00:00"/>
    <d v="1899-12-30T10:10:00"/>
    <x v="187"/>
    <n v="10049416"/>
    <s v="PI-TH-7151-FA-F2-PL"/>
    <s v="ตรวจเช็คสภาพปกติทั่วไป"/>
  </r>
  <r>
    <m/>
    <n v="3120210"/>
    <s v="12.01.2020"/>
    <n v="2"/>
    <s v="PRO001"/>
    <x v="5"/>
    <n v="20"/>
    <s v="MIN"/>
    <n v="0.33333333333333331"/>
    <x v="0"/>
    <s v="05.01.2020"/>
    <s v="05.01.2020"/>
    <d v="1899-12-30T10:10:00"/>
    <d v="1899-12-30T10:20:00"/>
    <x v="188"/>
    <n v="10049399"/>
    <s v="PI-TH-7151-FA-F2-PL"/>
    <s v="ตรวจเช็คสภาพปกติทั่วไป"/>
  </r>
  <r>
    <m/>
    <n v="3119992"/>
    <s v="12.01.2020"/>
    <n v="2"/>
    <s v="PRO001"/>
    <x v="5"/>
    <n v="10"/>
    <s v="MIN"/>
    <n v="0.16666666666666666"/>
    <x v="0"/>
    <s v="08.01.2020"/>
    <s v="08.01.2020"/>
    <d v="1899-12-30T09:50:00"/>
    <d v="1899-12-30T10:00:00"/>
    <x v="189"/>
    <n v="10049399"/>
    <s v="PI-TH-7151-FA-F2-PL"/>
    <s v="ตรวจวัดและบันทึกค่า"/>
  </r>
  <r>
    <m/>
    <n v="3122005"/>
    <s v="16.01.2020"/>
    <n v="5"/>
    <s v="PRO001"/>
    <x v="5"/>
    <n v="20"/>
    <s v="MIN"/>
    <n v="0.33333333333333331"/>
    <x v="0"/>
    <s v="11.01.2020"/>
    <s v="11.01.2020"/>
    <d v="1899-12-30T20:20:00"/>
    <d v="1899-12-30T20:40:00"/>
    <x v="190"/>
    <n v="10049427"/>
    <s v="PI-TH-7151-FA-F2-PL"/>
    <s v="อัดจารบี+ฉัดสเปรย์"/>
  </r>
  <r>
    <m/>
    <n v="3120192"/>
    <s v="13.01.2020"/>
    <n v="3"/>
    <s v="PRO001"/>
    <x v="5"/>
    <n v="30"/>
    <s v="MIN"/>
    <n v="0.5"/>
    <x v="0"/>
    <s v="12.01.2020"/>
    <s v="12.01.2020"/>
    <d v="1899-12-30T20:00:00"/>
    <d v="1899-12-30T20:30:00"/>
    <x v="191"/>
    <n v="10051488"/>
    <s v="PI-TH-7151-FA-F2-PL"/>
    <s v="ฉีดสเปรย์/อัดจารบีแล้ว"/>
  </r>
  <r>
    <m/>
    <n v="3120198"/>
    <s v="13.01.2020"/>
    <n v="3"/>
    <s v="PRO001"/>
    <x v="5"/>
    <n v="20"/>
    <s v="MIN"/>
    <n v="0.33333333333333331"/>
    <x v="0"/>
    <s v="12.01.2020"/>
    <s v="12.01.2020"/>
    <d v="1899-12-30T19:40:00"/>
    <d v="1899-12-30T20:00:00"/>
    <x v="192"/>
    <n v="10051481"/>
    <s v="PI-TH-7151-FA-F2-PL"/>
    <s v="ฉีดสเปรย์/อัดจารบีแล้ว"/>
  </r>
  <r>
    <m/>
    <n v="3122005"/>
    <s v="13.01.2020"/>
    <n v="3"/>
    <s v="PRO001"/>
    <x v="5"/>
    <n v="25"/>
    <s v="MIN"/>
    <n v="0.41666666666666669"/>
    <x v="0"/>
    <s v="12.01.2020"/>
    <s v="12.01.2020"/>
    <d v="1899-12-30T20:30:00"/>
    <d v="1899-12-30T20:45:00"/>
    <x v="190"/>
    <n v="10049427"/>
    <s v="PI-TH-7151-FA-F2-PL"/>
    <s v="ตรวจเช็คสภาพปกติทั่วไป"/>
  </r>
  <r>
    <m/>
    <n v="3122736"/>
    <s v="13.01.2020"/>
    <n v="3"/>
    <s v="PRO001"/>
    <x v="5"/>
    <n v="60"/>
    <s v="MIN"/>
    <n v="1"/>
    <x v="0"/>
    <s v="12.01.2020"/>
    <s v="12.01.2020"/>
    <d v="1899-12-30T15:30:00"/>
    <d v="1899-12-30T16:30:00"/>
    <x v="193"/>
    <n v="10051493"/>
    <s v="PI-TH-7151-FA-F2-PL"/>
    <s v="อัดจารบีและตรวจเช็คสภาพ"/>
  </r>
  <r>
    <m/>
    <n v="3122787"/>
    <s v="13.01.2020"/>
    <n v="3"/>
    <s v="PRO001"/>
    <x v="5"/>
    <n v="10"/>
    <s v="MIN"/>
    <n v="0.16666666666666666"/>
    <x v="0"/>
    <s v="12.01.2020"/>
    <s v="12.01.2020"/>
    <d v="1899-12-30T21:00:00"/>
    <d v="1899-12-30T21:50:00"/>
    <x v="194"/>
    <n v="10051493"/>
    <s v="PI-TH-7151-FA-F2-PL"/>
    <s v="ตรวจเช็คสภาพปกติทั่วไป"/>
  </r>
  <r>
    <m/>
    <n v="3132479"/>
    <s v="16.01.2020"/>
    <n v="4"/>
    <s v="PRO001"/>
    <x v="5"/>
    <n v="10"/>
    <s v="MIN"/>
    <n v="0.16666666666666666"/>
    <x v="0"/>
    <s v="14.01.2020"/>
    <s v="14.01.2020"/>
    <d v="1899-12-30T20:00:00"/>
    <d v="1899-12-30T20:10:00"/>
    <x v="195"/>
    <n v="10049436"/>
    <s v="PI-TH-7151-FA-F2-PL"/>
    <s v="ตรวจเช็คแรงดันปกติ"/>
  </r>
  <r>
    <m/>
    <n v="3132480"/>
    <s v="16.01.2020"/>
    <n v="4"/>
    <s v="PRO001"/>
    <x v="5"/>
    <n v="10"/>
    <s v="MIN"/>
    <n v="0.16666666666666666"/>
    <x v="0"/>
    <s v="14.01.2020"/>
    <s v="14.01.2020"/>
    <d v="1899-12-30T19:50:00"/>
    <d v="1899-12-30T20:00:00"/>
    <x v="196"/>
    <n v="10049436"/>
    <s v="PI-TH-7151-FA-F2-PL"/>
    <s v="อัดจารบีเรียบร้อย"/>
  </r>
  <r>
    <m/>
    <n v="3132486"/>
    <s v="16.01.2020"/>
    <n v="3"/>
    <s v="PRO001"/>
    <x v="5"/>
    <n v="10"/>
    <s v="MIN"/>
    <n v="0.16666666666666666"/>
    <x v="0"/>
    <s v="14.01.2020"/>
    <s v="14.01.2020"/>
    <d v="1899-12-30T20:10:00"/>
    <d v="1899-12-30T20:20:00"/>
    <x v="197"/>
    <n v="10049436"/>
    <s v="PI-TH-7151-FA-F2-PL"/>
    <s v="เปลี่ยน Filter เรียบร้อย"/>
  </r>
  <r>
    <m/>
    <n v="3137178"/>
    <s v="16.01.2020"/>
    <n v="2"/>
    <s v="PRO001"/>
    <x v="5"/>
    <n v="20"/>
    <s v="MIN"/>
    <n v="0.33333333333333331"/>
    <x v="0"/>
    <s v="15.01.2020"/>
    <s v="15.01.2020"/>
    <d v="1899-12-30T20:00:00"/>
    <d v="1899-12-30T20:20:00"/>
    <x v="198"/>
    <n v="10049436"/>
    <s v="PI-TH-7151-FA-F2-PL"/>
    <s v="Drian นำในถังพักนำ RO ออก"/>
  </r>
  <r>
    <m/>
    <n v="3134184"/>
    <s v="16.01.2020"/>
    <n v="3"/>
    <s v="PRO001"/>
    <x v="5"/>
    <n v="10"/>
    <s v="MIN"/>
    <n v="0.16666666666666666"/>
    <x v="0"/>
    <s v="16.01.2020"/>
    <s v="16.01.2020"/>
    <d v="1899-12-30T04:30:00"/>
    <d v="1899-12-30T04:40:00"/>
    <x v="199"/>
    <n v="10049436"/>
    <s v="PI-TH-7151-FA-F2-PL"/>
    <s v="Drian ออก พร้อม Test run."/>
  </r>
  <r>
    <m/>
    <n v="3134185"/>
    <s v="16.01.2020"/>
    <n v="2"/>
    <s v="PRO001"/>
    <x v="5"/>
    <n v="30"/>
    <s v="MIN"/>
    <n v="0.5"/>
    <x v="0"/>
    <s v="16.01.2020"/>
    <s v="16.01.2020"/>
    <d v="1899-12-30T04:00:00"/>
    <d v="1899-12-30T04:30:00"/>
    <x v="200"/>
    <n v="10049416"/>
    <s v="PI-TH-7151-FA-F2-PL"/>
    <s v="ตรวจเช็คทำความสะอาดเรียบร้อย"/>
  </r>
  <r>
    <m/>
    <n v="3132472"/>
    <s v="20.01.2020"/>
    <n v="3"/>
    <s v="PRO001"/>
    <x v="5"/>
    <n v="20"/>
    <s v="MIN"/>
    <n v="0.33333333333333331"/>
    <x v="0"/>
    <s v="18.01.2020"/>
    <s v="18.01.2020"/>
    <d v="1899-12-30T10:50:00"/>
    <d v="1899-12-30T11:10:00"/>
    <x v="201"/>
    <n v="10051503"/>
    <s v="PI-TH-7151-FA-F2-PL"/>
    <s v="ตรวจเช็คสภาพการคลบายตัวยึดน๊อต"/>
  </r>
  <r>
    <m/>
    <n v="3132484"/>
    <s v="20.01.2020"/>
    <n v="3"/>
    <s v="PRO001"/>
    <x v="5"/>
    <n v="20"/>
    <s v="MIN"/>
    <n v="0.33333333333333331"/>
    <x v="0"/>
    <s v="18.01.2020"/>
    <s v="18.01.2020"/>
    <d v="1899-12-30T11:10:00"/>
    <d v="1899-12-30T11:30:00"/>
    <x v="202"/>
    <n v="10051503"/>
    <s v="PI-TH-7151-FA-F2-PL"/>
    <s v="อัดจารบี"/>
  </r>
  <r>
    <m/>
    <n v="3134174"/>
    <s v="20.01.2020"/>
    <n v="3"/>
    <s v="PRO001"/>
    <x v="5"/>
    <n v="1.5"/>
    <s v="H"/>
    <n v="90"/>
    <x v="0"/>
    <s v="18.01.2020"/>
    <s v="18.01.2020"/>
    <d v="1899-12-30T14:20:00"/>
    <d v="1899-12-30T15:45:00"/>
    <x v="203"/>
    <n v="10049416"/>
    <s v="PI-TH-7151-FA-F2-PL"/>
    <s v="ทำความสะอาด Filter ของ BoboxVC1,2"/>
  </r>
  <r>
    <m/>
    <n v="3134256"/>
    <s v="20.01.2020"/>
    <n v="3"/>
    <s v="PRO001"/>
    <x v="5"/>
    <n v="20"/>
    <s v="MIN"/>
    <n v="0.33333333333333331"/>
    <x v="0"/>
    <s v="18.01.2020"/>
    <s v="18.01.2020"/>
    <d v="1899-12-30T08:15:00"/>
    <d v="1899-12-30T08:30:00"/>
    <x v="204"/>
    <n v="10051481"/>
    <s v="PI-TH-7151-FA-F2-PL"/>
    <s v="เปลี่ยนน็อตยึด"/>
  </r>
  <r>
    <m/>
    <n v="3137177"/>
    <s v="20.01.2020"/>
    <n v="3"/>
    <s v="PRO001"/>
    <x v="5"/>
    <n v="20"/>
    <s v="MIN"/>
    <n v="0.33333333333333331"/>
    <x v="0"/>
    <s v="18.01.2020"/>
    <s v="18.01.2020"/>
    <d v="1899-12-30T10:10:00"/>
    <d v="1899-12-30T10:30:00"/>
    <x v="205"/>
    <n v="10051503"/>
    <s v="PI-TH-7151-FA-F2-PL"/>
    <s v="ทาจารบี"/>
  </r>
  <r>
    <m/>
    <n v="3100485"/>
    <s v="16.01.2020"/>
    <n v="2"/>
    <s v="PAC002"/>
    <x v="6"/>
    <n v="50"/>
    <s v="MIN"/>
    <n v="0.83333333333333337"/>
    <x v="0"/>
    <s v="09.01.2020"/>
    <s v="09.01.2020"/>
    <d v="1899-12-30T20:00:00"/>
    <d v="1899-12-30T20:50:00"/>
    <x v="206"/>
    <n v="10049730"/>
    <s v="PI-TH-7151-FA-PK-04"/>
    <s v="เช็คสภาพเบื้องต้นทำงานได้/ทำความสะอาด"/>
  </r>
  <r>
    <m/>
    <n v="3122047"/>
    <s v="16.01.2020"/>
    <n v="3"/>
    <s v="PAC002"/>
    <x v="6"/>
    <n v="30"/>
    <s v="MIN"/>
    <n v="0.5"/>
    <x v="0"/>
    <s v="09.01.2020"/>
    <s v="09.01.2020"/>
    <d v="1899-12-30T22:30:00"/>
    <d v="1899-12-30T23:00:00"/>
    <x v="207"/>
    <n v="10055740"/>
    <s v="PI-TH-7151-FA-PK-05"/>
    <s v="Strip guide สกปรก"/>
  </r>
  <r>
    <m/>
    <n v="3122077"/>
    <s v="16.01.2020"/>
    <n v="1"/>
    <s v="PAC002"/>
    <x v="6"/>
    <n v="30"/>
    <s v="MIN"/>
    <n v="0.5"/>
    <x v="0"/>
    <s v="11.01.2020"/>
    <s v="15.01.2020"/>
    <d v="1899-12-30T11:30:00"/>
    <d v="1899-12-30T12:00:00"/>
    <x v="208"/>
    <n v="10070473"/>
    <s v="PI-TH-7151-FA-PK-05"/>
    <s v="ตรวจเช็คทำความสะอาดเรียบร้อย"/>
  </r>
  <r>
    <m/>
    <n v="3122051"/>
    <s v="16.01.2020"/>
    <n v="2"/>
    <s v="PAC002"/>
    <x v="6"/>
    <n v="30"/>
    <s v="MIN"/>
    <n v="0.5"/>
    <x v="0"/>
    <s v="14.01.2020"/>
    <s v="14.01.2020"/>
    <d v="1899-12-30T21:00:00"/>
    <d v="1899-12-30T21:30:00"/>
    <x v="209"/>
    <n v="10051517"/>
    <s v="PI-TH-7151-FA-PK-05"/>
    <s v="Strip guide สกปรก"/>
  </r>
  <r>
    <m/>
    <n v="3122073"/>
    <s v="15.01.2020"/>
    <n v="2"/>
    <s v="PAC002"/>
    <x v="6"/>
    <n v="50"/>
    <s v="MIN"/>
    <n v="0.83333333333333337"/>
    <x v="0"/>
    <s v="14.01.2020"/>
    <s v="14.01.2020"/>
    <d v="1899-12-30T10:40:00"/>
    <d v="1899-12-30T11:30:00"/>
    <x v="210"/>
    <n v="10051710"/>
    <s v="PI-TH-7151-FA-PK-05"/>
    <s v="ทำความสะอาด Strip+Guide"/>
  </r>
  <r>
    <m/>
    <n v="3122093"/>
    <s v="15.01.2020"/>
    <n v="1"/>
    <s v="PAC002"/>
    <x v="6"/>
    <n v="40"/>
    <s v="MIN"/>
    <n v="0.66666666666666663"/>
    <x v="0"/>
    <s v="14.01.2020"/>
    <s v="14.01.2020"/>
    <d v="1899-12-30T10:00:00"/>
    <d v="1899-12-30T10:40:00"/>
    <x v="211"/>
    <n v="10049765"/>
    <s v="PI-TH-7151-FA-PK-05"/>
    <s v="ทำความสะอาด Strip+Guide"/>
  </r>
  <r>
    <m/>
    <n v="3122099"/>
    <s v="16.01.2020"/>
    <n v="2"/>
    <s v="PAC002"/>
    <x v="6"/>
    <n v="120"/>
    <s v="MIN"/>
    <n v="2"/>
    <x v="0"/>
    <s v="14.01.2020"/>
    <s v="14.01.2020"/>
    <d v="1899-12-30T22:00:00"/>
    <d v="1899-12-30T23:30:00"/>
    <x v="212"/>
    <n v="10055739"/>
    <s v="PI-TH-7151-FA-PK-05"/>
    <s v="ถอดเครื่องอื่นมาใส่แทน/ของไม่มี"/>
  </r>
  <r>
    <m/>
    <n v="3122127"/>
    <s v="16.01.2020"/>
    <n v="2"/>
    <s v="PAC002"/>
    <x v="6"/>
    <n v="30"/>
    <s v="MIN"/>
    <n v="0.5"/>
    <x v="0"/>
    <s v="14.01.2020"/>
    <s v="14.01.2020"/>
    <d v="1899-12-30T21:30:00"/>
    <d v="1899-12-30T22:00:00"/>
    <x v="213"/>
    <n v="10051516"/>
    <s v="PI-TH-7151-FA-PK-05"/>
    <s v="Strip guide สกปรก"/>
  </r>
  <r>
    <m/>
    <n v="3135197"/>
    <s v="15.01.2020"/>
    <n v="2"/>
    <s v="PAC010"/>
    <x v="6"/>
    <n v="30"/>
    <s v="MIN"/>
    <n v="0.5"/>
    <x v="0"/>
    <s v="09.01.2020"/>
    <s v="09.01.2020"/>
    <d v="1899-12-30T00:30:00"/>
    <d v="1899-12-30T01:00:00"/>
    <x v="113"/>
    <n v="10049992"/>
    <s v="PI-TH-7151-FA-PK-CZ"/>
    <s v="Replace print head/Check cable"/>
  </r>
  <r>
    <m/>
    <n v="3120253"/>
    <s v="12.01.2020"/>
    <n v="1"/>
    <s v="PRO001"/>
    <x v="6"/>
    <n v="30"/>
    <s v="MIN"/>
    <n v="0.5"/>
    <x v="0"/>
    <s v="08.01.2020"/>
    <s v="08.01.2020"/>
    <d v="1899-12-30T21:00:00"/>
    <d v="1899-12-30T21:30:00"/>
    <x v="214"/>
    <n v="10051778"/>
    <s v="PI-TH-7151-FA-F1-P1"/>
    <s v="ตรวจเช็คสภาพปกติทั่วไป"/>
  </r>
  <r>
    <m/>
    <n v="3134202"/>
    <s v="16.01.2020"/>
    <n v="1"/>
    <s v="PRO002"/>
    <x v="6"/>
    <n v="15"/>
    <s v="MIN"/>
    <n v="0.25"/>
    <x v="0"/>
    <s v="13.01.2020"/>
    <s v="13.01.2020"/>
    <d v="1899-12-30T13:50:00"/>
    <d v="1899-12-30T14:05:00"/>
    <x v="215"/>
    <n v="10051230"/>
    <s v="PI-TH-7151-FA-F1-BC"/>
    <s v="ทำการ Reset M/C โดยการกด off-on power"/>
  </r>
  <r>
    <m/>
    <n v="3122104"/>
    <s v="16.01.2020"/>
    <n v="2"/>
    <s v="PAC002"/>
    <x v="7"/>
    <n v="60"/>
    <s v="MIN"/>
    <n v="1"/>
    <x v="0"/>
    <s v="09.01.2020"/>
    <s v="09.01.2020"/>
    <d v="1899-12-30T22:00:00"/>
    <d v="1899-12-30T23:00:00"/>
    <x v="216"/>
    <n v="10049997"/>
    <s v="PI-TH-7151-FA-PK-CZ"/>
    <s v="ตรวจสอบสภาพทั่วไปของ Roller"/>
  </r>
  <r>
    <m/>
    <n v="3122049"/>
    <s v="13.01.2020"/>
    <n v="3"/>
    <s v="PAC002"/>
    <x v="7"/>
    <n v="60"/>
    <s v="MIN"/>
    <n v="1"/>
    <x v="0"/>
    <s v="11.01.2020"/>
    <s v="11.01.2020"/>
    <d v="1899-12-30T10:00:00"/>
    <d v="1899-12-30T11:00:00"/>
    <x v="217"/>
    <n v="10070544"/>
    <s v="PI-TH-7151-FA-PK-CZ"/>
    <s v="ตรวจเช็คสภาพ Roller"/>
  </r>
  <r>
    <m/>
    <n v="3122083"/>
    <s v="13.01.2020"/>
    <n v="1"/>
    <s v="PAC002"/>
    <x v="7"/>
    <n v="60"/>
    <s v="MIN"/>
    <n v="1"/>
    <x v="0"/>
    <s v="11.01.2020"/>
    <s v="11.01.2020"/>
    <d v="1899-12-30T09:00:00"/>
    <d v="1899-12-30T10:00:00"/>
    <x v="218"/>
    <n v="10052565"/>
    <s v="PI-TH-7151-FA-PK-CZ"/>
    <s v="ตรวจเช็คสภาพ Roller"/>
  </r>
  <r>
    <m/>
    <n v="3122098"/>
    <s v="13.01.2020"/>
    <n v="3"/>
    <s v="PAC002"/>
    <x v="7"/>
    <n v="60"/>
    <s v="MIN"/>
    <n v="1"/>
    <x v="0"/>
    <s v="11.01.2020"/>
    <s v="11.01.2020"/>
    <d v="1899-12-30T08:00:00"/>
    <d v="1899-12-30T09:00:00"/>
    <x v="219"/>
    <n v="10049998"/>
    <s v="PI-TH-7151-FA-PK-CZ"/>
    <s v="ตรวจเช็คสภาพ Roller"/>
  </r>
  <r>
    <m/>
    <n v="3135197"/>
    <s v="15.01.2020"/>
    <n v="3"/>
    <s v="PAC010"/>
    <x v="7"/>
    <n v="30"/>
    <s v="MIN"/>
    <n v="0.5"/>
    <x v="0"/>
    <s v="09.01.2020"/>
    <s v="09.01.2020"/>
    <d v="1899-12-30T00:30:00"/>
    <d v="1899-12-30T01:00:00"/>
    <x v="113"/>
    <n v="10049992"/>
    <s v="PI-TH-7151-FA-PK-CZ"/>
    <s v="Replace print head/Check cable"/>
  </r>
  <r>
    <m/>
    <n v="3135197"/>
    <s v="15.01.2020"/>
    <n v="4"/>
    <s v="PAC010"/>
    <x v="7"/>
    <n v="0"/>
    <s v="H"/>
    <n v="0"/>
    <x v="0"/>
    <s v="09.01.2020"/>
    <s v="15.01.2020"/>
    <d v="1899-12-30T01:00:00"/>
    <d v="1899-12-30T10:27:48"/>
    <x v="113"/>
    <n v="10049992"/>
    <s v="PI-TH-7151-FA-PK-CZ"/>
    <m/>
  </r>
  <r>
    <m/>
    <n v="3118333"/>
    <s v="12.01.2020"/>
    <n v="3"/>
    <s v="PRO001"/>
    <x v="7"/>
    <n v="60"/>
    <s v="MIN"/>
    <n v="1"/>
    <x v="0"/>
    <s v="03.01.2020"/>
    <s v="03.01.2020"/>
    <d v="1899-12-30T19:00:00"/>
    <d v="1899-12-30T20:00:00"/>
    <x v="220"/>
    <n v="10051481"/>
    <s v="PI-TH-7151-FA-F2-PL"/>
    <s v="ทำการเปลียนนำมันหล่อลื่น"/>
  </r>
  <r>
    <m/>
    <n v="3118333"/>
    <s v="12.01.2020"/>
    <n v="4"/>
    <s v="PRO001"/>
    <x v="7"/>
    <n v="0"/>
    <s v="MIN"/>
    <n v="0"/>
    <x v="0"/>
    <s v="03.01.2020"/>
    <s v="12.01.2020"/>
    <d v="1899-12-30T20:00:00"/>
    <d v="1899-12-30T12:11:43"/>
    <x v="220"/>
    <n v="10051481"/>
    <s v="PI-TH-7151-FA-F2-PL"/>
    <m/>
  </r>
  <r>
    <m/>
    <n v="3118357"/>
    <s v="12.01.2020"/>
    <n v="3"/>
    <s v="PRO001"/>
    <x v="7"/>
    <n v="1.5"/>
    <s v="H"/>
    <n v="90"/>
    <x v="0"/>
    <s v="03.01.2020"/>
    <s v="03.01.2020"/>
    <d v="1899-12-30T21:00:00"/>
    <d v="1899-12-30T22:30:00"/>
    <x v="221"/>
    <n v="10051481"/>
    <s v="PI-TH-7151-FA-F2-PL"/>
    <s v="ทำความสะอาดแล้ว"/>
  </r>
  <r>
    <m/>
    <n v="3119952"/>
    <s v="12.01.2020"/>
    <n v="3"/>
    <s v="PRO001"/>
    <x v="7"/>
    <n v="60"/>
    <s v="MIN"/>
    <n v="1"/>
    <x v="0"/>
    <s v="04.01.2020"/>
    <s v="04.01.2020"/>
    <d v="1899-12-30T19:30:00"/>
    <d v="1899-12-30T20:30:00"/>
    <x v="222"/>
    <n v="10049399"/>
    <s v="PI-TH-7151-FA-F2-PL"/>
    <s v="ทำความสะอาดแล้ว"/>
  </r>
  <r>
    <m/>
    <n v="3122760"/>
    <s v="12.01.2020"/>
    <n v="3"/>
    <s v="PRO001"/>
    <x v="7"/>
    <n v="30"/>
    <s v="MIN"/>
    <n v="0.5"/>
    <x v="0"/>
    <s v="04.01.2020"/>
    <s v="04.01.2020"/>
    <d v="1899-12-30T22:00:00"/>
    <d v="1899-12-30T22:30:00"/>
    <x v="223"/>
    <n v="10049436"/>
    <s v="PI-TH-7151-FA-F2-PL"/>
    <s v="Drain นำออกจาก Boiler"/>
  </r>
  <r>
    <m/>
    <n v="3122761"/>
    <s v="12.01.2020"/>
    <n v="3"/>
    <s v="PRO001"/>
    <x v="7"/>
    <n v="60"/>
    <s v="MIN"/>
    <n v="1"/>
    <x v="0"/>
    <s v="04.01.2020"/>
    <s v="04.01.2020"/>
    <d v="1899-12-30T20:30:00"/>
    <d v="1899-12-30T21:30:00"/>
    <x v="224"/>
    <n v="10049416"/>
    <s v="PI-TH-7151-FA-F2-PL"/>
    <s v="ตรวจเช็คสภาพปกติทั่วไป"/>
  </r>
  <r>
    <m/>
    <n v="3122766"/>
    <s v="12.01.2020"/>
    <n v="3"/>
    <s v="PRO001"/>
    <x v="7"/>
    <n v="30"/>
    <s v="MIN"/>
    <n v="0.5"/>
    <x v="0"/>
    <s v="04.01.2020"/>
    <s v="04.01.2020"/>
    <d v="1899-12-30T01:00:00"/>
    <d v="1899-12-30T01:30:00"/>
    <x v="225"/>
    <n v="10051337"/>
    <s v="PI-TH-7151-FA-F2-RB"/>
    <s v="ตรวจเช็คสภาพปกติทั่วไป"/>
  </r>
  <r>
    <m/>
    <n v="3120249"/>
    <s v="12.01.2020"/>
    <n v="3"/>
    <s v="PRO001"/>
    <x v="7"/>
    <n v="30"/>
    <s v="MIN"/>
    <n v="0.5"/>
    <x v="0"/>
    <s v="05.01.2020"/>
    <s v="05.01.2020"/>
    <d v="1899-12-30T22:30:00"/>
    <d v="1899-12-30T23:00:00"/>
    <x v="226"/>
    <n v="10051481"/>
    <s v="PI-TH-7151-FA-F2-PL"/>
    <s v="ไม่ได้เปลี่ยนแต่ทำความสะอาด"/>
  </r>
  <r>
    <m/>
    <n v="3119953"/>
    <s v="16.01.2020"/>
    <n v="2"/>
    <s v="PRO001"/>
    <x v="7"/>
    <n v="60"/>
    <s v="MIN"/>
    <n v="1"/>
    <x v="0"/>
    <s v="09.01.2020"/>
    <s v="09.01.2020"/>
    <d v="1899-12-30T20:00:00"/>
    <d v="1899-12-30T21:00:00"/>
    <x v="227"/>
    <n v="10049399"/>
    <s v="PI-TH-7151-FA-F2-PL"/>
    <s v="ตรวจสอบสภาพทั่วไป"/>
  </r>
  <r>
    <m/>
    <n v="3120240"/>
    <s v="16.01.2020"/>
    <n v="2"/>
    <s v="PRO001"/>
    <x v="7"/>
    <n v="60"/>
    <s v="MIN"/>
    <n v="1"/>
    <x v="0"/>
    <s v="09.01.2020"/>
    <s v="09.01.2020"/>
    <d v="1899-12-30T21:00:00"/>
    <d v="1899-12-30T22:00:00"/>
    <x v="228"/>
    <n v="10049399"/>
    <s v="PI-TH-7151-FA-F2-PL"/>
    <s v="อัดจารบี+ทความสะอาด"/>
  </r>
  <r>
    <m/>
    <n v="3122784"/>
    <s v="13.01.2020"/>
    <n v="3"/>
    <s v="PRO001"/>
    <x v="7"/>
    <n v="1.5"/>
    <s v="H"/>
    <n v="90"/>
    <x v="0"/>
    <s v="12.01.2020"/>
    <s v="12.01.2020"/>
    <d v="1899-12-30T14:00:00"/>
    <d v="1899-12-30T15:30:00"/>
    <x v="229"/>
    <n v="10049416"/>
    <s v="PI-TH-7151-FA-F2-PL"/>
    <s v="Drain นำออกเพื่อทำความสะอาด"/>
  </r>
  <r>
    <m/>
    <n v="3122796"/>
    <s v="13.01.2020"/>
    <n v="3"/>
    <s v="PRO001"/>
    <x v="7"/>
    <n v="30"/>
    <s v="MIN"/>
    <n v="0.5"/>
    <x v="0"/>
    <s v="12.01.2020"/>
    <s v="12.01.2020"/>
    <d v="1899-12-30T13:00:00"/>
    <d v="1899-12-30T13:30:00"/>
    <x v="230"/>
    <n v="10049399"/>
    <s v="PI-TH-7151-FA-F2-PL"/>
    <s v="ล้างทำความสะอาด Hopper micro"/>
  </r>
  <r>
    <m/>
    <n v="3132473"/>
    <s v="13.01.2020"/>
    <n v="3"/>
    <s v="PRO001"/>
    <x v="7"/>
    <n v="30"/>
    <s v="MIN"/>
    <n v="0.5"/>
    <x v="0"/>
    <s v="12.01.2020"/>
    <s v="12.01.2020"/>
    <d v="1899-12-30T13:00:00"/>
    <d v="1899-12-30T13:30:00"/>
    <x v="231"/>
    <n v="10049436"/>
    <s v="PI-TH-7151-FA-F2-PL"/>
    <s v="Drain นำออกเพื่อทำความสะอาด"/>
  </r>
  <r>
    <m/>
    <n v="3134103"/>
    <s v="15.01.2020"/>
    <n v="2"/>
    <s v="PRO001"/>
    <x v="7"/>
    <n v="2.5"/>
    <s v="H"/>
    <n v="150"/>
    <x v="0"/>
    <s v="14.01.2020"/>
    <s v="14.01.2020"/>
    <d v="1899-12-30T09:30:00"/>
    <d v="1899-12-30T11:00:00"/>
    <x v="232"/>
    <n v="10049688"/>
    <s v="PI-TH-7151-FA-F2-RB"/>
    <s v="สายพานสภาพปกติ"/>
  </r>
  <r>
    <m/>
    <n v="3134110"/>
    <s v="15.01.2020"/>
    <n v="2"/>
    <s v="PRO001"/>
    <x v="7"/>
    <n v="30"/>
    <s v="MIN"/>
    <n v="0.5"/>
    <x v="0"/>
    <s v="14.01.2020"/>
    <s v="14.01.2020"/>
    <d v="1899-12-30T09:30:00"/>
    <d v="1899-12-30T10:00:00"/>
    <x v="233"/>
    <n v="10051337"/>
    <s v="PI-TH-7151-FA-F2-RB"/>
    <s v="สภาพปกติ"/>
  </r>
  <r>
    <m/>
    <n v="3134195"/>
    <s v="15.01.2020"/>
    <n v="2"/>
    <s v="PRO001"/>
    <x v="7"/>
    <n v="30"/>
    <s v="MIN"/>
    <n v="0.5"/>
    <x v="0"/>
    <s v="14.01.2020"/>
    <s v="14.01.2020"/>
    <d v="1899-12-30T14:00:00"/>
    <d v="1899-12-30T14:30:00"/>
    <x v="234"/>
    <n v="10051347"/>
    <s v="PI-TH-7151-FA-F2-RB"/>
    <s v="สายพานสภาพปกติ"/>
  </r>
  <r>
    <m/>
    <n v="3134203"/>
    <s v="15.01.2020"/>
    <n v="2"/>
    <s v="PRO001"/>
    <x v="7"/>
    <n v="30"/>
    <s v="MIN"/>
    <n v="0.5"/>
    <x v="0"/>
    <s v="14.01.2020"/>
    <s v="14.01.2020"/>
    <d v="1899-12-30T11:30:00"/>
    <d v="1899-12-30T12:00:00"/>
    <x v="235"/>
    <n v="10051337"/>
    <s v="PI-TH-7151-FA-F2-RB"/>
    <s v="ถอดออกมาทำความสะอาด"/>
  </r>
  <r>
    <m/>
    <n v="3134219"/>
    <s v="15.01.2020"/>
    <n v="2"/>
    <s v="PRO001"/>
    <x v="7"/>
    <n v="60"/>
    <s v="MIN"/>
    <n v="1"/>
    <x v="0"/>
    <s v="14.01.2020"/>
    <s v="14.01.2020"/>
    <d v="1899-12-30T13:00:00"/>
    <d v="1899-12-30T14:00:00"/>
    <x v="236"/>
    <n v="10051337"/>
    <s v="PI-TH-7151-FA-F2-RB"/>
    <s v="สภาพปกติ"/>
  </r>
  <r>
    <m/>
    <n v="3133500"/>
    <s v="20.01.2020"/>
    <n v="3"/>
    <s v="PRO001"/>
    <x v="7"/>
    <n v="60"/>
    <s v="MIN"/>
    <n v="1"/>
    <x v="0"/>
    <s v="17.01.2020"/>
    <s v="17.01.2020"/>
    <d v="1899-12-30T08:00:00"/>
    <d v="1899-12-30T09:00:00"/>
    <x v="237"/>
    <n v="10049667"/>
    <s v="PI-TH-7151-FA-F2-RB"/>
    <s v="ตรวจเช็คสภาพความสึกหรอและฉีกขาด"/>
  </r>
  <r>
    <m/>
    <n v="3134121"/>
    <s v="20.01.2020"/>
    <n v="3"/>
    <s v="PRO001"/>
    <x v="7"/>
    <n v="60"/>
    <s v="MIN"/>
    <n v="1"/>
    <x v="0"/>
    <s v="17.01.2020"/>
    <s v="17.01.2020"/>
    <d v="1899-12-30T09:00:00"/>
    <d v="1899-12-30T10:00:00"/>
    <x v="238"/>
    <n v="10049680"/>
    <s v="PI-TH-7151-FA-F2-RB"/>
    <s v="อัดจารบี Bearing"/>
  </r>
  <r>
    <m/>
    <n v="3134194"/>
    <s v="20.01.2020"/>
    <n v="2"/>
    <s v="PRO001"/>
    <x v="7"/>
    <n v="60"/>
    <s v="MIN"/>
    <n v="1"/>
    <x v="0"/>
    <s v="17.01.2020"/>
    <s v="17.01.2020"/>
    <d v="1899-12-30T10:00:00"/>
    <d v="1899-12-30T11:00:00"/>
    <x v="239"/>
    <n v="10049680"/>
    <s v="PI-TH-7151-FA-F2-RB"/>
    <s v="ตรวจเช็คสภาพความสึกหรอและฉีกขาด"/>
  </r>
  <r>
    <m/>
    <n v="3134257"/>
    <s v="20.01.2020"/>
    <n v="3"/>
    <s v="PRO001"/>
    <x v="7"/>
    <n v="30"/>
    <s v="MIN"/>
    <n v="0.5"/>
    <x v="0"/>
    <s v="17.01.2020"/>
    <s v="17.01.2020"/>
    <d v="1899-12-30T15:00:00"/>
    <d v="1899-12-30T15:30:00"/>
    <x v="240"/>
    <n v="10051337"/>
    <s v="PI-TH-7151-FA-F2-RB"/>
    <s v="ทำความสะอาดชุดท่อนำมัน"/>
  </r>
  <r>
    <m/>
    <n v="3021734"/>
    <s v="13.01.2020"/>
    <n v="1"/>
    <s v="PAC002"/>
    <x v="8"/>
    <n v="960"/>
    <s v="MIN"/>
    <n v="16"/>
    <x v="0"/>
    <s v="02.01.2020"/>
    <s v="13.01.2020"/>
    <d v="1899-12-30T00:00:00"/>
    <d v="1899-12-30T08:44:48"/>
    <x v="0"/>
    <n v="10051083"/>
    <s v="PI-TH-7151-FA-PK-02"/>
    <m/>
  </r>
  <r>
    <m/>
    <n v="3118399"/>
    <s v="04.01.2020"/>
    <n v="1"/>
    <s v="PAC002"/>
    <x v="8"/>
    <n v="60"/>
    <s v="MIN"/>
    <n v="1"/>
    <x v="0"/>
    <s v="04.01.2020"/>
    <s v="04.01.2020"/>
    <d v="1899-12-30T07:00:00"/>
    <d v="1899-12-30T08:00:00"/>
    <x v="67"/>
    <n v="10051134"/>
    <s v="PI-TH-7151-FA-PK-03"/>
    <s v="Fyber spring damage 3-12.Gate ร้าว5.Tray"/>
  </r>
  <r>
    <m/>
    <n v="3024398"/>
    <s v="13.01.2020"/>
    <n v="1"/>
    <s v="PAC002"/>
    <x v="8"/>
    <n v="25"/>
    <s v="MIN"/>
    <n v="0.41666666666666669"/>
    <x v="0"/>
    <s v="09.01.2020"/>
    <s v="09.01.2020"/>
    <d v="1899-12-30T12:25:00"/>
    <d v="1899-12-30T12:50:00"/>
    <x v="241"/>
    <n v="10049885"/>
    <s v="PI-TH-7151-FA-PK-02"/>
    <s v="Inspection"/>
  </r>
  <r>
    <m/>
    <n v="3024399"/>
    <s v="13.01.2020"/>
    <n v="1"/>
    <s v="PAC002"/>
    <x v="8"/>
    <n v="25"/>
    <s v="MIN"/>
    <n v="0.41666666666666669"/>
    <x v="0"/>
    <s v="09.01.2020"/>
    <s v="09.01.2020"/>
    <d v="1899-12-30T12:25:00"/>
    <d v="1899-12-30T12:50:00"/>
    <x v="241"/>
    <n v="10049885"/>
    <s v="PI-TH-7151-FA-PK-02"/>
    <s v="Inspection"/>
  </r>
  <r>
    <m/>
    <n v="3024403"/>
    <s v="13.01.2020"/>
    <n v="1"/>
    <s v="PAC002"/>
    <x v="8"/>
    <n v="5"/>
    <s v="MIN"/>
    <n v="8.3333333333333329E-2"/>
    <x v="0"/>
    <s v="09.01.2020"/>
    <s v="09.01.2020"/>
    <d v="1899-12-30T12:00:00"/>
    <d v="1899-12-30T12:05:00"/>
    <x v="242"/>
    <n v="10049886"/>
    <s v="PI-TH-7151-FA-PK-02"/>
    <s v="Inspection"/>
  </r>
  <r>
    <m/>
    <n v="3024404"/>
    <s v="13.01.2020"/>
    <n v="1"/>
    <s v="PAC002"/>
    <x v="8"/>
    <n v="5"/>
    <s v="MIN"/>
    <n v="8.3333333333333329E-2"/>
    <x v="0"/>
    <s v="09.01.2020"/>
    <s v="09.01.2020"/>
    <d v="1899-12-30T12:00:00"/>
    <d v="1899-12-30T12:05:00"/>
    <x v="242"/>
    <n v="10049886"/>
    <s v="PI-TH-7151-FA-PK-02"/>
    <s v="Inspection"/>
  </r>
  <r>
    <m/>
    <n v="3024405"/>
    <s v="13.01.2020"/>
    <n v="1"/>
    <s v="PAC002"/>
    <x v="8"/>
    <n v="5"/>
    <s v="MIN"/>
    <n v="8.3333333333333329E-2"/>
    <x v="0"/>
    <s v="09.01.2020"/>
    <s v="09.01.2020"/>
    <d v="1899-12-30T12:10:00"/>
    <d v="1899-12-30T12:15:00"/>
    <x v="243"/>
    <n v="10049882"/>
    <s v="PI-TH-7151-FA-PK-02"/>
    <s v="Inspection"/>
  </r>
  <r>
    <m/>
    <n v="3024406"/>
    <s v="13.01.2020"/>
    <n v="1"/>
    <s v="PAC002"/>
    <x v="8"/>
    <n v="15"/>
    <s v="MIN"/>
    <n v="0.25"/>
    <x v="0"/>
    <s v="09.01.2020"/>
    <s v="09.01.2020"/>
    <d v="1899-12-30T12:15:00"/>
    <d v="1899-12-30T12:30:00"/>
    <x v="243"/>
    <n v="10049882"/>
    <s v="PI-TH-7151-FA-PK-02"/>
    <s v="Inspection"/>
  </r>
  <r>
    <m/>
    <n v="3024414"/>
    <s v="13.01.2020"/>
    <n v="1"/>
    <s v="PAC002"/>
    <x v="8"/>
    <n v="5"/>
    <s v="MIN"/>
    <n v="8.3333333333333329E-2"/>
    <x v="0"/>
    <s v="09.01.2020"/>
    <s v="09.01.2020"/>
    <d v="1899-12-30T12:40:00"/>
    <d v="1899-12-30T12:45:00"/>
    <x v="244"/>
    <n v="10053799"/>
    <s v="PI-TH-7151-FA-PK-02"/>
    <s v="Inspection"/>
  </r>
  <r>
    <m/>
    <n v="3024415"/>
    <s v="13.01.2020"/>
    <n v="1"/>
    <s v="PAC002"/>
    <x v="8"/>
    <n v="15"/>
    <s v="MIN"/>
    <n v="0.25"/>
    <x v="0"/>
    <s v="09.01.2020"/>
    <s v="09.01.2020"/>
    <d v="1899-12-30T12:45:00"/>
    <d v="1899-12-30T13:00:00"/>
    <x v="244"/>
    <n v="10053799"/>
    <s v="PI-TH-7151-FA-PK-02"/>
    <s v="Inspection"/>
  </r>
  <r>
    <m/>
    <n v="3122034"/>
    <s v="12.01.2020"/>
    <n v="1"/>
    <s v="PAC002"/>
    <x v="8"/>
    <n v="20"/>
    <s v="MIN"/>
    <n v="0.33333333333333331"/>
    <x v="0"/>
    <s v="09.01.2020"/>
    <s v="09.01.2020"/>
    <d v="1899-12-30T11:25:00"/>
    <d v="1899-12-30T11:45:00"/>
    <x v="245"/>
    <n v="10050867"/>
    <s v="PI-TH-7151-FA-PK-ST"/>
    <s v="ตรวจสอบสภาพ Cutter"/>
  </r>
  <r>
    <m/>
    <n v="3122037"/>
    <s v="12.01.2020"/>
    <n v="1"/>
    <s v="PAC002"/>
    <x v="8"/>
    <n v="15"/>
    <s v="MIN"/>
    <n v="0.25"/>
    <x v="0"/>
    <s v="09.01.2020"/>
    <s v="09.01.2020"/>
    <d v="1899-12-30T11:10:00"/>
    <d v="1899-12-30T11:25:00"/>
    <x v="246"/>
    <n v="10070533"/>
    <s v="PI-TH-7151-FA-PK-03"/>
    <s v="ตรวจสอบสภาพ Cutter"/>
  </r>
  <r>
    <m/>
    <n v="3122038"/>
    <s v="12.01.2020"/>
    <n v="1"/>
    <s v="PAC002"/>
    <x v="8"/>
    <n v="20"/>
    <s v="MIN"/>
    <n v="0.33333333333333331"/>
    <x v="0"/>
    <s v="09.01.2020"/>
    <s v="09.01.2020"/>
    <d v="1899-12-30T11:15:00"/>
    <d v="1899-12-30T11:40:00"/>
    <x v="247"/>
    <n v="10070534"/>
    <s v="PI-TH-7151-FA-PK-03"/>
    <s v="ตรวจสอบสภาพ Cutter"/>
  </r>
  <r>
    <m/>
    <n v="3122046"/>
    <s v="12.01.2020"/>
    <n v="1"/>
    <s v="PAC002"/>
    <x v="8"/>
    <n v="10"/>
    <s v="MIN"/>
    <n v="0.16666666666666666"/>
    <x v="0"/>
    <s v="09.01.2020"/>
    <s v="09.01.2020"/>
    <d v="1899-12-30T10:40:00"/>
    <d v="1899-12-30T10:50:00"/>
    <x v="248"/>
    <n v="10051091"/>
    <s v="PI-TH-7151-FA-PK-02"/>
    <s v="สภาพปกติทั่วไปดี/ทำความสะอาด"/>
  </r>
  <r>
    <m/>
    <n v="3122048"/>
    <s v="12.01.2020"/>
    <n v="1"/>
    <s v="PAC002"/>
    <x v="8"/>
    <n v="20"/>
    <s v="MIN"/>
    <n v="0.33333333333333331"/>
    <x v="0"/>
    <s v="09.01.2020"/>
    <s v="09.01.2020"/>
    <d v="1899-12-30T16:00:00"/>
    <d v="1899-12-30T16:20:00"/>
    <x v="249"/>
    <n v="10049799"/>
    <s v="PI-TH-7151-FA-PK-01"/>
    <s v="Divider gate OK"/>
  </r>
  <r>
    <m/>
    <n v="3122061"/>
    <s v="12.01.2020"/>
    <n v="1"/>
    <s v="PAC002"/>
    <x v="8"/>
    <n v="25"/>
    <s v="MIN"/>
    <n v="0.41666666666666669"/>
    <x v="0"/>
    <s v="09.01.2020"/>
    <s v="09.01.2020"/>
    <d v="1899-12-30T11:00:00"/>
    <d v="1899-12-30T11:25:00"/>
    <x v="250"/>
    <n v="10070531"/>
    <s v="PI-TH-7151-FA-PK-03"/>
    <s v="ตรวจสอบสภาพ Cutter"/>
  </r>
  <r>
    <m/>
    <n v="3122062"/>
    <s v="12.01.2020"/>
    <n v="1"/>
    <s v="PAC002"/>
    <x v="8"/>
    <n v="20"/>
    <s v="MIN"/>
    <n v="0.33333333333333331"/>
    <x v="0"/>
    <s v="09.01.2020"/>
    <s v="09.01.2020"/>
    <d v="1899-12-30T15:40:00"/>
    <d v="1899-12-30T16:00:00"/>
    <x v="251"/>
    <n v="10049759"/>
    <s v="PI-TH-7151-FA-PK-01"/>
    <s v="Divider gate OK"/>
  </r>
  <r>
    <m/>
    <n v="3122063"/>
    <s v="12.01.2020"/>
    <n v="1"/>
    <s v="PAC002"/>
    <x v="8"/>
    <n v="40"/>
    <s v="MIN"/>
    <n v="0.66666666666666663"/>
    <x v="0"/>
    <s v="09.01.2020"/>
    <s v="09.01.2020"/>
    <d v="1899-12-30T08:00:00"/>
    <d v="1899-12-30T08:40:00"/>
    <x v="252"/>
    <n v="10049824"/>
    <s v="PI-TH-7151-FA-PK-02"/>
    <s v="ตรวจสอบสภาพ PAN"/>
  </r>
  <r>
    <m/>
    <n v="3122064"/>
    <s v="12.01.2020"/>
    <n v="1"/>
    <s v="PAC002"/>
    <x v="8"/>
    <n v="30"/>
    <s v="MIN"/>
    <n v="0.5"/>
    <x v="0"/>
    <s v="09.01.2020"/>
    <s v="09.01.2020"/>
    <d v="1899-12-30T10:00:00"/>
    <d v="1899-12-30T10:30:00"/>
    <x v="253"/>
    <n v="10051085"/>
    <s v="PI-TH-7151-FA-PK-02"/>
    <s v="สภาพปกติทั่วไปดี/ทำความสะอาด"/>
  </r>
  <r>
    <m/>
    <n v="3122069"/>
    <s v="12.01.2020"/>
    <n v="1"/>
    <s v="PAC002"/>
    <x v="8"/>
    <n v="30"/>
    <s v="MIN"/>
    <n v="0.5"/>
    <x v="0"/>
    <s v="09.01.2020"/>
    <s v="09.01.2020"/>
    <d v="1899-12-30T10:00:00"/>
    <d v="1899-12-30T10:30:00"/>
    <x v="254"/>
    <n v="10049882"/>
    <s v="PI-TH-7151-FA-PK-02"/>
    <s v="สภาพปกติทั่วไปดี/ทำความสะอาด"/>
  </r>
  <r>
    <m/>
    <n v="3122073"/>
    <s v="12.01.2020"/>
    <n v="1"/>
    <s v="PAC002"/>
    <x v="8"/>
    <n v="30"/>
    <s v="MIN"/>
    <n v="0.5"/>
    <x v="0"/>
    <s v="09.01.2020"/>
    <s v="09.01.2020"/>
    <d v="1899-12-30T17:00:00"/>
    <d v="1899-12-30T17:40:00"/>
    <x v="210"/>
    <n v="10051710"/>
    <s v="PI-TH-7151-FA-PK-05"/>
    <s v="ตรวจสอบสภาพ Cutter"/>
  </r>
  <r>
    <m/>
    <n v="3122084"/>
    <s v="12.01.2020"/>
    <n v="1"/>
    <s v="PAC002"/>
    <x v="8"/>
    <n v="5"/>
    <s v="MIN"/>
    <n v="8.3333333333333329E-2"/>
    <x v="0"/>
    <s v="09.01.2020"/>
    <s v="09.01.2020"/>
    <d v="1899-12-30T13:20:00"/>
    <d v="1899-12-30T13:25:00"/>
    <x v="255"/>
    <n v="10051035"/>
    <s v="PI-TH-7151-FA-PK-01"/>
    <s v="ตรวจสอบสภาพ End seal Bar."/>
  </r>
  <r>
    <m/>
    <n v="3122087"/>
    <s v="12.01.2020"/>
    <n v="1"/>
    <s v="PAC002"/>
    <x v="8"/>
    <n v="25"/>
    <s v="MIN"/>
    <n v="0.41666666666666669"/>
    <x v="0"/>
    <s v="09.01.2020"/>
    <s v="09.01.2020"/>
    <d v="1899-12-30T11:05:00"/>
    <d v="1899-12-30T11:20:00"/>
    <x v="256"/>
    <n v="10070532"/>
    <s v="PI-TH-7151-FA-PK-03"/>
    <s v="ตรวจสอบสภาพ Cutter"/>
  </r>
  <r>
    <m/>
    <n v="3122088"/>
    <s v="12.01.2020"/>
    <n v="1"/>
    <s v="PAC002"/>
    <x v="8"/>
    <n v="30"/>
    <s v="MIN"/>
    <n v="0.5"/>
    <x v="0"/>
    <s v="09.01.2020"/>
    <s v="09.01.2020"/>
    <d v="1899-12-30T16:50:00"/>
    <d v="1899-12-30T17:20:00"/>
    <x v="257"/>
    <n v="10049797"/>
    <s v="PI-TH-7151-FA-PK-01"/>
    <s v="Divider gate OK"/>
  </r>
  <r>
    <m/>
    <n v="3122090"/>
    <s v="12.01.2020"/>
    <n v="1"/>
    <s v="PAC002"/>
    <x v="8"/>
    <n v="30"/>
    <s v="MIN"/>
    <n v="0.5"/>
    <x v="0"/>
    <s v="09.01.2020"/>
    <s v="09.01.2020"/>
    <d v="1899-12-30T10:00:00"/>
    <d v="1899-12-30T10:30:00"/>
    <x v="258"/>
    <n v="10049886"/>
    <s v="PI-TH-7151-FA-PK-02"/>
    <s v="สภาพปกติทั่วไปดี/ทำความสะอาด"/>
  </r>
  <r>
    <m/>
    <n v="3122091"/>
    <s v="12.01.2020"/>
    <n v="1"/>
    <s v="PAC002"/>
    <x v="8"/>
    <n v="25"/>
    <s v="MIN"/>
    <n v="0.41666666666666669"/>
    <x v="0"/>
    <s v="09.01.2020"/>
    <s v="09.01.2020"/>
    <d v="1899-12-30T10:35:00"/>
    <d v="1899-12-30T10:50:00"/>
    <x v="259"/>
    <n v="10053799"/>
    <s v="PI-TH-7151-FA-PK-02"/>
    <s v="สภาพปกติทั่วไปดี/ทำความสะอาด"/>
  </r>
  <r>
    <m/>
    <n v="3122092"/>
    <s v="12.01.2020"/>
    <n v="1"/>
    <s v="PAC002"/>
    <x v="8"/>
    <n v="10"/>
    <s v="MIN"/>
    <n v="0.16666666666666666"/>
    <x v="0"/>
    <s v="09.01.2020"/>
    <s v="09.01.2020"/>
    <d v="1899-12-30T10:40:00"/>
    <d v="1899-12-30T10:50:00"/>
    <x v="260"/>
    <n v="10051716"/>
    <s v="PI-TH-7151-FA-PK-02"/>
    <s v="สภาพปกติทั่วไปดี/ทำความสะอาด"/>
  </r>
  <r>
    <m/>
    <n v="3122101"/>
    <s v="12.01.2020"/>
    <n v="1"/>
    <s v="PAC002"/>
    <x v="8"/>
    <n v="10"/>
    <s v="MIN"/>
    <n v="0.16666666666666666"/>
    <x v="0"/>
    <s v="09.01.2020"/>
    <s v="09.01.2020"/>
    <d v="1899-12-30T10:40:00"/>
    <d v="1899-12-30T10:50:00"/>
    <x v="261"/>
    <n v="10051715"/>
    <s v="PI-TH-7151-FA-PK-02"/>
    <s v="สภาพปกติทั่วไปดี/ทำความสะอาด"/>
  </r>
  <r>
    <m/>
    <n v="3122105"/>
    <s v="12.01.2020"/>
    <n v="1"/>
    <s v="PAC002"/>
    <x v="8"/>
    <n v="25"/>
    <s v="MIN"/>
    <n v="0.41666666666666669"/>
    <x v="0"/>
    <s v="09.01.2020"/>
    <s v="09.01.2020"/>
    <d v="1899-12-30T11:20:00"/>
    <d v="1899-12-30T11:45:00"/>
    <x v="262"/>
    <n v="10064074"/>
    <s v="PI-TH-7151-FA-PK-ST"/>
    <s v="ตรวจสอบสภาพ Belt in feed."/>
  </r>
  <r>
    <m/>
    <n v="3122121"/>
    <s v="12.01.2020"/>
    <n v="1"/>
    <s v="PAC002"/>
    <x v="8"/>
    <n v="20"/>
    <s v="MIN"/>
    <n v="0.33333333333333331"/>
    <x v="0"/>
    <s v="09.01.2020"/>
    <s v="09.01.2020"/>
    <d v="1899-12-30T15:20:00"/>
    <d v="1899-12-30T15:40:00"/>
    <x v="263"/>
    <n v="10049795"/>
    <s v="PI-TH-7151-FA-PK-01"/>
    <s v="Divider gate OK"/>
  </r>
  <r>
    <m/>
    <n v="3122126"/>
    <s v="12.01.2020"/>
    <n v="1"/>
    <s v="PAC002"/>
    <x v="8"/>
    <n v="45"/>
    <s v="MIN"/>
    <n v="0.75"/>
    <x v="0"/>
    <s v="09.01.2020"/>
    <s v="09.01.2020"/>
    <d v="1899-12-30T13:10:00"/>
    <d v="1899-12-30T13:45:00"/>
    <x v="264"/>
    <n v="10049850"/>
    <s v="PI-TH-7151-FA-PK-02"/>
    <s v="ตรวจสอบสภาพ End seal Bar."/>
  </r>
  <r>
    <m/>
    <n v="3122128"/>
    <s v="12.01.2020"/>
    <n v="1"/>
    <s v="PAC002"/>
    <x v="8"/>
    <n v="25"/>
    <s v="MIN"/>
    <n v="0.41666666666666669"/>
    <x v="0"/>
    <s v="09.01.2020"/>
    <s v="09.01.2020"/>
    <d v="1899-12-30T10:00:00"/>
    <d v="1899-12-30T10:25:00"/>
    <x v="265"/>
    <n v="10051083"/>
    <s v="PI-TH-7151-FA-PK-02"/>
    <s v="สภาพปกติทั่วไปดี/ทำความสะอาด"/>
  </r>
  <r>
    <m/>
    <n v="3122129"/>
    <s v="12.01.2020"/>
    <n v="1"/>
    <s v="PAC002"/>
    <x v="8"/>
    <n v="30"/>
    <s v="MIN"/>
    <n v="0.5"/>
    <x v="0"/>
    <s v="09.01.2020"/>
    <s v="09.01.2020"/>
    <d v="1899-12-30T16:20:00"/>
    <d v="1899-12-30T16:50:00"/>
    <x v="266"/>
    <n v="10049800"/>
    <s v="PI-TH-7151-FA-PK-01"/>
    <s v="Divider gate OK"/>
  </r>
  <r>
    <m/>
    <n v="3122108"/>
    <s v="12.01.2020"/>
    <n v="1"/>
    <s v="PAC002"/>
    <x v="8"/>
    <n v="25"/>
    <s v="MIN"/>
    <n v="0.41666666666666669"/>
    <x v="0"/>
    <s v="10.01.2020"/>
    <s v="12.01.2020"/>
    <d v="1899-12-30T10:25:00"/>
    <d v="1899-12-30T10:40:00"/>
    <x v="267"/>
    <n v="10049881"/>
    <s v="PI-TH-7151-FA-PK-02"/>
    <s v="สภาพปกติทั่วไปดี/ทำความสะอาด"/>
  </r>
  <r>
    <m/>
    <n v="3021734"/>
    <s v="13.01.2020"/>
    <n v="2"/>
    <s v="PAC002"/>
    <x v="8"/>
    <n v="0"/>
    <s v="MIN"/>
    <n v="0"/>
    <x v="0"/>
    <s v="13.01.2020"/>
    <s v="13.01.2020"/>
    <d v="1899-12-30T08:44:48"/>
    <d v="1899-12-30T13:44:20"/>
    <x v="0"/>
    <n v="10051083"/>
    <s v="PI-TH-7151-FA-PK-02"/>
    <m/>
  </r>
  <r>
    <m/>
    <n v="3028660"/>
    <s v="16.01.2020"/>
    <n v="1"/>
    <s v="PAC002"/>
    <x v="8"/>
    <n v="10"/>
    <s v="MIN"/>
    <n v="0.16666666666666666"/>
    <x v="0"/>
    <s v="14.01.2020"/>
    <s v="14.01.2020"/>
    <d v="1899-12-30T20:30:00"/>
    <d v="1899-12-30T20:40:00"/>
    <x v="268"/>
    <n v="10051091"/>
    <s v="PI-TH-7151-FA-PK-02"/>
    <s v="ตรวจสอบสภาพทั่วไป+Bearing ใช้งานได้อยู่"/>
  </r>
  <r>
    <m/>
    <n v="3028661"/>
    <s v="16.01.2020"/>
    <n v="1"/>
    <s v="PAC002"/>
    <x v="8"/>
    <n v="10"/>
    <s v="MIN"/>
    <n v="0.16666666666666666"/>
    <x v="0"/>
    <s v="14.01.2020"/>
    <s v="14.01.2020"/>
    <d v="1899-12-30T20:30:00"/>
    <d v="1899-12-30T20:40:00"/>
    <x v="268"/>
    <n v="10051091"/>
    <s v="PI-TH-7151-FA-PK-02"/>
    <s v="ตรวจสอบสภาพทั่วไป+Bearing ใช้งานได้อยู่"/>
  </r>
  <r>
    <m/>
    <n v="3028687"/>
    <s v="16.01.2020"/>
    <n v="1"/>
    <s v="PAC002"/>
    <x v="8"/>
    <n v="20"/>
    <s v="MIN"/>
    <n v="0.33333333333333331"/>
    <x v="0"/>
    <s v="14.01.2020"/>
    <s v="14.01.2020"/>
    <d v="1899-12-30T20:30:00"/>
    <d v="1899-12-30T20:50:00"/>
    <x v="78"/>
    <n v="10051091"/>
    <s v="PI-TH-7151-FA-PK-02"/>
    <s v="ตรวจสอบสภาพทั่วไป+Bearing ใช้งานได้อยู่"/>
  </r>
  <r>
    <m/>
    <n v="3028687"/>
    <s v="16.01.2020"/>
    <n v="2"/>
    <s v="PAC002"/>
    <x v="8"/>
    <n v="20"/>
    <s v="MIN"/>
    <n v="0.33333333333333331"/>
    <x v="0"/>
    <s v="14.01.2020"/>
    <s v="14.01.2020"/>
    <d v="1899-12-30T20:30:00"/>
    <d v="1899-12-30T20:50:00"/>
    <x v="78"/>
    <n v="10051091"/>
    <s v="PI-TH-7151-FA-PK-02"/>
    <s v="ตรวจสอบสภาพทั่วไป+Bearing ใช้งานได้อยู่"/>
  </r>
  <r>
    <m/>
    <n v="3028687"/>
    <s v="16.01.2020"/>
    <n v="3"/>
    <s v="PAC002"/>
    <x v="8"/>
    <n v="20"/>
    <s v="MIN"/>
    <n v="0.33333333333333331"/>
    <x v="0"/>
    <s v="14.01.2020"/>
    <s v="14.01.2020"/>
    <d v="1899-12-30T20:30:00"/>
    <d v="1899-12-30T20:50:00"/>
    <x v="78"/>
    <n v="10051091"/>
    <s v="PI-TH-7151-FA-PK-02"/>
    <s v="ตรวจสอบสภาพทั่วไป+Bearing ใช้งานได้อยู่"/>
  </r>
  <r>
    <m/>
    <n v="3028656"/>
    <s v="16.01.2020"/>
    <n v="1"/>
    <s v="PAC002"/>
    <x v="8"/>
    <n v="10"/>
    <s v="MIN"/>
    <n v="0.16666666666666666"/>
    <x v="0"/>
    <s v="15.01.2020"/>
    <s v="15.01.2020"/>
    <d v="1899-12-30T21:40:00"/>
    <d v="1899-12-30T21:50:00"/>
    <x v="80"/>
    <n v="10051715"/>
    <s v="PI-TH-7151-FA-PK-02"/>
    <s v="Bearing ไม่มีของ"/>
  </r>
  <r>
    <m/>
    <n v="3028657"/>
    <s v="16.01.2020"/>
    <n v="1"/>
    <s v="PAC002"/>
    <x v="8"/>
    <n v="10"/>
    <s v="MIN"/>
    <n v="0.16666666666666666"/>
    <x v="0"/>
    <s v="15.01.2020"/>
    <s v="15.01.2020"/>
    <d v="1899-12-30T21:40:00"/>
    <d v="1899-12-30T21:50:00"/>
    <x v="80"/>
    <n v="10051715"/>
    <s v="PI-TH-7151-FA-PK-02"/>
    <s v="Bearing ไม่มีของ"/>
  </r>
  <r>
    <m/>
    <n v="3028682"/>
    <s v="16.01.2020"/>
    <n v="1"/>
    <s v="PAC002"/>
    <x v="8"/>
    <n v="10"/>
    <s v="MIN"/>
    <n v="0.16666666666666666"/>
    <x v="0"/>
    <s v="15.01.2020"/>
    <s v="15.01.2020"/>
    <d v="1899-12-30T22:10:00"/>
    <d v="1899-12-30T22:20:00"/>
    <x v="81"/>
    <n v="10051716"/>
    <s v="PI-TH-7151-FA-PK-02"/>
    <s v="Bearing ไม่มีของ"/>
  </r>
  <r>
    <m/>
    <n v="3028683"/>
    <s v="16.01.2020"/>
    <n v="1"/>
    <s v="PAC002"/>
    <x v="8"/>
    <n v="10"/>
    <s v="MIN"/>
    <n v="0.16666666666666666"/>
    <x v="0"/>
    <s v="15.01.2020"/>
    <s v="15.01.2020"/>
    <d v="1899-12-30T22:10:00"/>
    <d v="1899-12-30T22:20:00"/>
    <x v="81"/>
    <n v="10051716"/>
    <s v="PI-TH-7151-FA-PK-02"/>
    <s v="Bearing ไม่มีของ"/>
  </r>
  <r>
    <m/>
    <n v="3028688"/>
    <s v="16.01.2020"/>
    <n v="1"/>
    <s v="PAC002"/>
    <x v="8"/>
    <n v="10"/>
    <s v="MIN"/>
    <n v="0.16666666666666666"/>
    <x v="0"/>
    <s v="15.01.2020"/>
    <s v="15.01.2020"/>
    <d v="1899-12-30T21:50:00"/>
    <d v="1899-12-30T22:00:00"/>
    <x v="82"/>
    <n v="10051715"/>
    <s v="PI-TH-7151-FA-PK-02"/>
    <s v="Bearing ไม่มีของ"/>
  </r>
  <r>
    <m/>
    <n v="3028689"/>
    <s v="16.01.2020"/>
    <n v="1"/>
    <s v="PAC002"/>
    <x v="8"/>
    <n v="10"/>
    <s v="MIN"/>
    <n v="0.16666666666666666"/>
    <x v="0"/>
    <s v="15.01.2020"/>
    <s v="15.01.2020"/>
    <d v="1899-12-30T21:50:00"/>
    <d v="1899-12-30T22:00:00"/>
    <x v="82"/>
    <n v="10051715"/>
    <s v="PI-TH-7151-FA-PK-02"/>
    <s v="Bearing ไม่มีของ"/>
  </r>
  <r>
    <m/>
    <n v="3028690"/>
    <s v="16.01.2020"/>
    <n v="1"/>
    <s v="PAC002"/>
    <x v="8"/>
    <n v="10"/>
    <s v="MIN"/>
    <n v="0.16666666666666666"/>
    <x v="0"/>
    <s v="15.01.2020"/>
    <s v="15.01.2020"/>
    <d v="1899-12-30T22:00:00"/>
    <d v="1899-12-30T22:10:00"/>
    <x v="83"/>
    <n v="10051716"/>
    <s v="PI-TH-7151-FA-PK-02"/>
    <s v="Bearing ไม่มีของ"/>
  </r>
  <r>
    <m/>
    <n v="3028691"/>
    <s v="16.01.2020"/>
    <n v="2"/>
    <s v="PAC002"/>
    <x v="8"/>
    <n v="10"/>
    <s v="MIN"/>
    <n v="0.16666666666666666"/>
    <x v="0"/>
    <s v="15.01.2020"/>
    <s v="15.01.2020"/>
    <d v="1899-12-30T22:00:00"/>
    <d v="1899-12-30T22:10:00"/>
    <x v="83"/>
    <n v="10051716"/>
    <s v="PI-TH-7151-FA-PK-02"/>
    <s v="Bearing ไม่มีของ"/>
  </r>
  <r>
    <m/>
    <n v="3134789"/>
    <s v="15.01.2020"/>
    <n v="2"/>
    <s v="PAC011"/>
    <x v="8"/>
    <n v="2"/>
    <s v="H"/>
    <n v="120"/>
    <x v="0"/>
    <s v="09.01.2020"/>
    <s v="09.01.2020"/>
    <d v="1899-12-30T11:00:00"/>
    <d v="1899-12-30T13:00:00"/>
    <x v="168"/>
    <n v="10049809"/>
    <s v="PI-TH-7151-FA-PK-01"/>
    <s v="Replace Eye mark sensor optex."/>
  </r>
  <r>
    <m/>
    <n v="3132496"/>
    <s v="14.01.2020"/>
    <n v="1"/>
    <s v="PRO000"/>
    <x v="8"/>
    <n v="30"/>
    <s v="MIN"/>
    <n v="0.5"/>
    <x v="0"/>
    <s v="12.01.2020"/>
    <s v="12.01.2020"/>
    <d v="1899-12-30T20:00:00"/>
    <d v="1899-12-30T20:30:00"/>
    <x v="269"/>
    <n v="10051738"/>
    <s v="PI-TH-7151-FA-F1-ST"/>
    <m/>
  </r>
  <r>
    <m/>
    <n v="3119992"/>
    <s v="12.01.2020"/>
    <n v="3"/>
    <s v="PRO001"/>
    <x v="8"/>
    <n v="10"/>
    <s v="MIN"/>
    <n v="0.16666666666666666"/>
    <x v="0"/>
    <s v="08.01.2020"/>
    <s v="08.01.2020"/>
    <d v="1899-12-30T09:50:00"/>
    <d v="1899-12-30T10:00:00"/>
    <x v="189"/>
    <n v="10049399"/>
    <s v="PI-TH-7151-FA-F2-PL"/>
    <s v="ตรวจวัดและบันทึกค่า"/>
  </r>
  <r>
    <m/>
    <n v="3132488"/>
    <s v="14.01.2020"/>
    <n v="1"/>
    <s v="PRO001"/>
    <x v="8"/>
    <n v="30"/>
    <s v="MIN"/>
    <n v="0.5"/>
    <x v="0"/>
    <s v="12.01.2020"/>
    <s v="12.01.2020"/>
    <d v="1899-12-30T20:30:00"/>
    <d v="1899-12-30T21:00:00"/>
    <x v="270"/>
    <n v="10051555"/>
    <s v="PI-TH-7151-FA-F1-FP"/>
    <s v="อัดจารบี+ทำความสะอาด"/>
  </r>
  <r>
    <m/>
    <n v="3132471"/>
    <s v="16.01.2020"/>
    <n v="2"/>
    <s v="PRO001"/>
    <x v="8"/>
    <n v="10"/>
    <s v="MIN"/>
    <n v="0.16666666666666666"/>
    <x v="0"/>
    <s v="14.01.2020"/>
    <s v="14.01.2020"/>
    <d v="1899-12-30T20:10:00"/>
    <d v="1899-12-30T20:20:00"/>
    <x v="84"/>
    <n v="10049350"/>
    <s v="PI-TH-7151-FA-F1-P1"/>
    <s v="อัดจารบีเรียบร้อย"/>
  </r>
  <r>
    <m/>
    <n v="3134115"/>
    <s v="16.01.2020"/>
    <n v="1"/>
    <s v="PRO001"/>
    <x v="8"/>
    <n v="30"/>
    <s v="MIN"/>
    <n v="0.5"/>
    <x v="0"/>
    <s v="14.01.2020"/>
    <s v="14.01.2020"/>
    <d v="1899-12-30T19:30:00"/>
    <d v="1899-12-30T20:00:00"/>
    <x v="85"/>
    <n v="10049663"/>
    <s v="PI-TH-7151-FA-F1-SC"/>
    <s v="อัดจารบีเรียบร้อย"/>
  </r>
  <r>
    <m/>
    <n v="3134139"/>
    <s v="16.01.2020"/>
    <n v="1"/>
    <s v="PRO001"/>
    <x v="8"/>
    <n v="30"/>
    <s v="MIN"/>
    <n v="0.5"/>
    <x v="0"/>
    <s v="14.01.2020"/>
    <s v="14.01.2020"/>
    <d v="1899-12-30T19:30:00"/>
    <d v="1899-12-30T20:00:00"/>
    <x v="86"/>
    <n v="10049652"/>
    <s v="PI-TH-7151-FA-F1-SC"/>
    <s v="ตรวจเช็คการรั่วของปั๊ม"/>
  </r>
  <r>
    <m/>
    <n v="3134140"/>
    <s v="16.01.2020"/>
    <n v="1"/>
    <s v="PRO001"/>
    <x v="8"/>
    <n v="30"/>
    <s v="MIN"/>
    <n v="0.5"/>
    <x v="0"/>
    <s v="14.01.2020"/>
    <s v="14.01.2020"/>
    <d v="1899-12-30T19:30:00"/>
    <d v="1899-12-30T20:00:00"/>
    <x v="87"/>
    <n v="10049663"/>
    <s v="PI-TH-7151-FA-F1-SC"/>
    <s v="ตรวจเช็คความตึง-หย่อนของโซ่สายพาน"/>
  </r>
  <r>
    <m/>
    <n v="3134176"/>
    <s v="16.01.2020"/>
    <n v="2"/>
    <s v="PRO001"/>
    <x v="8"/>
    <n v="30"/>
    <s v="MIN"/>
    <n v="0.5"/>
    <x v="0"/>
    <s v="14.01.2020"/>
    <s v="14.01.2020"/>
    <d v="1899-12-30T20:00:00"/>
    <d v="1899-12-30T20:30:00"/>
    <x v="88"/>
    <n v="10049461"/>
    <s v="PI-TH-7151-FA-F1-FP"/>
    <s v="ตรวจเช็ค Stroke ของรางสั่น"/>
  </r>
  <r>
    <m/>
    <n v="3134183"/>
    <s v="16.01.2020"/>
    <n v="2"/>
    <s v="PRO001"/>
    <x v="8"/>
    <n v="30"/>
    <s v="MIN"/>
    <n v="0.5"/>
    <x v="0"/>
    <s v="14.01.2020"/>
    <s v="14.01.2020"/>
    <d v="1899-12-30T20:00:00"/>
    <d v="1899-12-30T20:30:00"/>
    <x v="89"/>
    <n v="10051218"/>
    <s v="PI-TH-7151-FA-F1-BC"/>
    <s v="อัดจารบีเรียบร้อย"/>
  </r>
  <r>
    <m/>
    <n v="3134213"/>
    <s v="16.01.2020"/>
    <n v="2"/>
    <s v="PRO001"/>
    <x v="8"/>
    <n v="30"/>
    <s v="MIN"/>
    <n v="0.5"/>
    <x v="0"/>
    <s v="14.01.2020"/>
    <s v="14.01.2020"/>
    <d v="1899-12-30T20:00:00"/>
    <d v="1899-12-30T20:30:00"/>
    <x v="90"/>
    <n v="10049451"/>
    <s v="PI-TH-7151-FA-F1-FP"/>
    <s v="ตรวจวัดค่า Vibration main Oil pump"/>
  </r>
  <r>
    <m/>
    <n v="3134233"/>
    <s v="16.01.2020"/>
    <n v="2"/>
    <s v="PRO001"/>
    <x v="8"/>
    <n v="30"/>
    <s v="MIN"/>
    <n v="0.5"/>
    <x v="0"/>
    <s v="14.01.2020"/>
    <s v="14.01.2020"/>
    <d v="1899-12-30T20:00:00"/>
    <d v="1899-12-30T20:30:00"/>
    <x v="91"/>
    <n v="10049451"/>
    <s v="PI-TH-7151-FA-F1-FP"/>
    <s v="อัดจารบีเรียบร้อย"/>
  </r>
  <r>
    <m/>
    <n v="3120256"/>
    <s v="16.01.2020"/>
    <n v="1"/>
    <s v="PRO001"/>
    <x v="8"/>
    <n v="20"/>
    <s v="MIN"/>
    <n v="0.33333333333333331"/>
    <x v="0"/>
    <s v="15.01.2020"/>
    <s v="15.01.2020"/>
    <d v="1899-12-30T20:40:00"/>
    <d v="1899-12-30T21:00:00"/>
    <x v="92"/>
    <n v="10049540"/>
    <s v="PI-TH-7151-FA-F1-ST"/>
    <s v="อัดจารบีเรียบร้อย"/>
  </r>
  <r>
    <m/>
    <n v="3120257"/>
    <s v="16.01.2020"/>
    <n v="1"/>
    <s v="PRO001"/>
    <x v="8"/>
    <n v="15"/>
    <s v="MIN"/>
    <n v="0.25"/>
    <x v="0"/>
    <s v="15.01.2020"/>
    <s v="15.01.2020"/>
    <d v="1899-12-30T20:20:00"/>
    <d v="1899-12-30T20:35:00"/>
    <x v="93"/>
    <n v="10049549"/>
    <s v="PI-TH-7151-FA-F1-ST"/>
    <s v="อัดจารบีเรียบร้อย"/>
  </r>
  <r>
    <m/>
    <n v="3132709"/>
    <s v="16.01.2020"/>
    <n v="1"/>
    <s v="PRO001"/>
    <x v="8"/>
    <n v="10"/>
    <s v="MIN"/>
    <n v="0.16666666666666666"/>
    <x v="0"/>
    <s v="15.01.2020"/>
    <s v="15.01.2020"/>
    <d v="1899-12-30T20:20:00"/>
    <d v="1899-12-30T20:30:00"/>
    <x v="94"/>
    <n v="10049540"/>
    <s v="PI-TH-7151-FA-F1-ST"/>
    <s v="ตรวจเช็คปรับตั้งความตึง/สายพาน"/>
  </r>
  <r>
    <m/>
    <n v="3132716"/>
    <s v="16.01.2020"/>
    <n v="1"/>
    <s v="PRO001"/>
    <x v="8"/>
    <n v="30"/>
    <s v="MIN"/>
    <n v="0.5"/>
    <x v="0"/>
    <s v="15.01.2020"/>
    <s v="15.01.2020"/>
    <d v="1899-12-30T20:00:00"/>
    <d v="1899-12-30T20:30:00"/>
    <x v="95"/>
    <n v="10051704"/>
    <s v="PI-TH-7151-FA-F1-ST"/>
    <s v="ตรวจเช็คการรั่วของแป้ง"/>
  </r>
  <r>
    <m/>
    <n v="3132717"/>
    <s v="16.01.2020"/>
    <n v="1"/>
    <s v="PRO001"/>
    <x v="8"/>
    <n v="30"/>
    <s v="MIN"/>
    <n v="0.5"/>
    <x v="0"/>
    <s v="15.01.2020"/>
    <s v="15.01.2020"/>
    <d v="1899-12-30T20:00:00"/>
    <d v="1899-12-30T20:30:00"/>
    <x v="96"/>
    <n v="10051704"/>
    <s v="PI-TH-7151-FA-F1-ST"/>
    <s v="อัดจารบีเรียบร้อย"/>
  </r>
  <r>
    <m/>
    <n v="3134276"/>
    <s v="16.01.2020"/>
    <n v="1"/>
    <s v="PRO001"/>
    <x v="8"/>
    <n v="20"/>
    <s v="MIN"/>
    <n v="0.33333333333333331"/>
    <x v="0"/>
    <s v="15.01.2020"/>
    <s v="15.01.2020"/>
    <d v="1899-12-30T21:00:00"/>
    <d v="1899-12-30T21:20:00"/>
    <x v="97"/>
    <n v="10049578"/>
    <s v="PI-TH-7151-FA-F1-ST"/>
    <s v="อัดจารบีเรียบร้อย"/>
  </r>
  <r>
    <m/>
    <n v="3134299"/>
    <s v="16.01.2020"/>
    <n v="1"/>
    <s v="PRO001"/>
    <x v="8"/>
    <n v="20"/>
    <s v="MIN"/>
    <n v="0.33333333333333331"/>
    <x v="0"/>
    <s v="15.01.2020"/>
    <s v="15.01.2020"/>
    <d v="1899-12-30T21:20:00"/>
    <d v="1899-12-30T21:40:00"/>
    <x v="98"/>
    <n v="10049565"/>
    <s v="PI-TH-7151-FA-F1-ST"/>
    <s v="อัดจารบีเรียบร้อย"/>
  </r>
  <r>
    <m/>
    <n v="3134300"/>
    <s v="16.01.2020"/>
    <n v="1"/>
    <s v="PRO001"/>
    <x v="8"/>
    <n v="10"/>
    <s v="MIN"/>
    <n v="0.16666666666666666"/>
    <x v="0"/>
    <s v="15.01.2020"/>
    <s v="15.01.2020"/>
    <d v="1899-12-30T21:10:00"/>
    <d v="1899-12-30T21:20:00"/>
    <x v="99"/>
    <n v="10049540"/>
    <s v="PI-TH-7151-FA-F1-ST"/>
    <s v="ตรวจเช็คค่า Vibration Wet mixer"/>
  </r>
  <r>
    <m/>
    <n v="3134305"/>
    <s v="16.01.2020"/>
    <n v="2"/>
    <s v="PRO001"/>
    <x v="8"/>
    <n v="25"/>
    <s v="MIN"/>
    <n v="0.41666666666666669"/>
    <x v="0"/>
    <s v="15.01.2020"/>
    <s v="15.01.2020"/>
    <d v="1899-12-30T20:35:00"/>
    <d v="1899-12-30T21:00:00"/>
    <x v="100"/>
    <n v="10051174"/>
    <s v="PI-TH-7151-FA-F1-ST"/>
    <s v="อัดจารบีเรียบร้อย"/>
  </r>
  <r>
    <m/>
    <n v="3134306"/>
    <s v="16.01.2020"/>
    <n v="1"/>
    <s v="PRO001"/>
    <x v="8"/>
    <n v="10"/>
    <s v="MIN"/>
    <n v="0.16666666666666666"/>
    <x v="0"/>
    <s v="15.01.2020"/>
    <s v="15.01.2020"/>
    <d v="1899-12-30T20:10:00"/>
    <d v="1899-12-30T20:20:00"/>
    <x v="101"/>
    <n v="10051704"/>
    <s v="PI-TH-7151-FA-F1-ST"/>
    <m/>
  </r>
  <r>
    <m/>
    <n v="3134307"/>
    <s v="16.01.2020"/>
    <n v="1"/>
    <s v="PRO001"/>
    <x v="8"/>
    <n v="20"/>
    <s v="MIN"/>
    <n v="0.33333333333333331"/>
    <x v="0"/>
    <s v="15.01.2020"/>
    <s v="15.01.2020"/>
    <d v="1899-12-30T21:00:00"/>
    <d v="1899-12-30T21:20:00"/>
    <x v="102"/>
    <n v="10049549"/>
    <s v="PI-TH-7151-FA-F1-ST"/>
    <s v="ตรวจเช็คการรั่วซึมของนำ Cooling"/>
  </r>
  <r>
    <m/>
    <n v="3134310"/>
    <s v="16.01.2020"/>
    <n v="1"/>
    <s v="PRO001"/>
    <x v="8"/>
    <n v="10"/>
    <s v="MIN"/>
    <n v="0.16666666666666666"/>
    <x v="0"/>
    <s v="15.01.2020"/>
    <s v="15.01.2020"/>
    <d v="1899-12-30T21:20:00"/>
    <d v="1899-12-30T21:30:00"/>
    <x v="103"/>
    <n v="10049549"/>
    <s v="PI-TH-7151-FA-F1-ST"/>
    <s v="ตรวจเช็คค่า Vibration"/>
  </r>
  <r>
    <m/>
    <n v="3134172"/>
    <s v="20.01.2020"/>
    <n v="1"/>
    <s v="PRO001"/>
    <x v="8"/>
    <n v="15"/>
    <s v="MIN"/>
    <n v="0.25"/>
    <x v="0"/>
    <s v="18.01.2020"/>
    <s v="18.01.2020"/>
    <d v="1899-12-30T10:30:00"/>
    <d v="1899-12-30T10:45:00"/>
    <x v="104"/>
    <n v="10051555"/>
    <s v="PI-TH-7151-FA-F1-FP"/>
    <s v="อัดจารบี"/>
  </r>
  <r>
    <m/>
    <n v="3134173"/>
    <s v="20.01.2020"/>
    <n v="1"/>
    <s v="PRO001"/>
    <x v="8"/>
    <n v="30"/>
    <s v="MIN"/>
    <n v="0.5"/>
    <x v="0"/>
    <s v="18.01.2020"/>
    <s v="18.01.2020"/>
    <d v="1899-12-30T12:00:00"/>
    <d v="1899-12-30T12:30:00"/>
    <x v="105"/>
    <n v="10051555"/>
    <s v="PI-TH-7151-FA-F1-FP"/>
    <s v="ตรวจเช็คระดับนำมันเกียร์"/>
  </r>
  <r>
    <m/>
    <n v="3134175"/>
    <s v="20.01.2020"/>
    <n v="1"/>
    <s v="PRO001"/>
    <x v="8"/>
    <n v="25"/>
    <s v="MIN"/>
    <n v="0.41666666666666669"/>
    <x v="0"/>
    <s v="18.01.2020"/>
    <s v="18.01.2020"/>
    <d v="1899-12-30T10:15:00"/>
    <d v="1899-12-30T10:30:00"/>
    <x v="106"/>
    <n v="10049451"/>
    <s v="PI-TH-7151-FA-F1-FP"/>
    <s v="ตรสจเช็คนํ้ามันหล่อลื่น"/>
  </r>
  <r>
    <m/>
    <n v="3134177"/>
    <s v="20.01.2020"/>
    <n v="1"/>
    <s v="PRO001"/>
    <x v="8"/>
    <n v="5"/>
    <s v="MIN"/>
    <n v="8.3333333333333329E-2"/>
    <x v="0"/>
    <s v="18.01.2020"/>
    <s v="18.01.2020"/>
    <d v="1899-12-30T10:25:00"/>
    <d v="1899-12-30T10:30:00"/>
    <x v="107"/>
    <n v="10049461"/>
    <s v="PI-TH-7151-FA-F1-FP"/>
    <s v="อัดจารบี"/>
  </r>
  <r>
    <m/>
    <n v="3134212"/>
    <s v="20.01.2020"/>
    <n v="1"/>
    <s v="PRO001"/>
    <x v="8"/>
    <n v="20"/>
    <s v="MIN"/>
    <n v="0.33333333333333331"/>
    <x v="0"/>
    <s v="18.01.2020"/>
    <s v="18.01.2020"/>
    <d v="1899-12-30T10:00:00"/>
    <d v="1899-12-30T10:20:00"/>
    <x v="108"/>
    <n v="10051555"/>
    <s v="PI-TH-7151-FA-F1-FP"/>
    <s v="ตรวจสอบเช็๕สายพานขับทั้งสองเส้น"/>
  </r>
  <r>
    <m/>
    <n v="3134214"/>
    <s v="20.01.2020"/>
    <n v="2"/>
    <s v="PRO001"/>
    <x v="8"/>
    <n v="10"/>
    <s v="MIN"/>
    <n v="0.16666666666666666"/>
    <x v="0"/>
    <s v="18.01.2020"/>
    <s v="18.01.2020"/>
    <d v="1899-12-30T11:00:00"/>
    <d v="1899-12-30T11:10:00"/>
    <x v="109"/>
    <n v="10049461"/>
    <s v="PI-TH-7151-FA-F1-FP"/>
    <s v="ไม่ได้ใช้งานแล้ว"/>
  </r>
  <r>
    <m/>
    <n v="3134250"/>
    <s v="20.01.2020"/>
    <n v="2"/>
    <s v="PRO001"/>
    <x v="8"/>
    <n v="50"/>
    <s v="MIN"/>
    <n v="0.83333333333333337"/>
    <x v="0"/>
    <s v="18.01.2020"/>
    <s v="18.01.2020"/>
    <d v="1899-12-30T08:00:00"/>
    <d v="1899-12-30T08:50:00"/>
    <x v="110"/>
    <n v="10049465"/>
    <s v="PI-TH-7151-FA-F1-FP"/>
    <s v="เปลี่ยนประเก็นเชือก"/>
  </r>
  <r>
    <m/>
    <n v="3134253"/>
    <s v="20.01.2020"/>
    <n v="1"/>
    <s v="PRO001"/>
    <x v="8"/>
    <n v="40"/>
    <s v="MIN"/>
    <n v="0.66666666666666663"/>
    <x v="0"/>
    <s v="18.01.2020"/>
    <s v="18.01.2020"/>
    <d v="1899-12-30T10:00:00"/>
    <d v="1899-12-30T10:40:00"/>
    <x v="111"/>
    <n v="10049549"/>
    <s v="PI-TH-7151-FA-F1-ST"/>
    <s v="ถอดล้างทำความสะอาด"/>
  </r>
  <r>
    <m/>
    <n v="3137627"/>
    <s v="20.01.2020"/>
    <n v="1"/>
    <s v="PRO001"/>
    <x v="8"/>
    <n v="20"/>
    <s v="MIN"/>
    <n v="0.33333333333333331"/>
    <x v="0"/>
    <s v="18.01.2020"/>
    <s v="18.01.2020"/>
    <d v="1899-12-30T10:00:00"/>
    <d v="1899-12-30T10:20:00"/>
    <x v="112"/>
    <n v="10051555"/>
    <s v="PI-TH-7151-FA-F1-FP"/>
    <s v="อัดจารบี"/>
  </r>
  <r>
    <m/>
    <n v="3122047"/>
    <s v="16.01.2020"/>
    <n v="1"/>
    <s v="PAC002"/>
    <x v="9"/>
    <n v="30"/>
    <s v="MIN"/>
    <n v="0.5"/>
    <x v="0"/>
    <s v="09.01.2020"/>
    <s v="09.01.2020"/>
    <d v="1899-12-30T22:30:00"/>
    <d v="1899-12-30T23:00:00"/>
    <x v="207"/>
    <n v="10055740"/>
    <s v="PI-TH-7151-FA-PK-05"/>
    <s v="Strip guide สกปรก"/>
  </r>
  <r>
    <m/>
    <n v="3122103"/>
    <s v="16.01.2020"/>
    <n v="2"/>
    <s v="PAC002"/>
    <x v="9"/>
    <n v="30"/>
    <s v="MIN"/>
    <n v="0.5"/>
    <x v="0"/>
    <s v="11.01.2020"/>
    <s v="15.01.2020"/>
    <d v="1899-12-30T11:00:00"/>
    <d v="1899-12-30T11:30:00"/>
    <x v="1"/>
    <n v="10070472"/>
    <s v="PI-TH-7151-FA-PK-05"/>
    <s v="ตรวจเช็คทำความสะอาดเรียบร้อย"/>
  </r>
  <r>
    <m/>
    <n v="3134107"/>
    <s v="20.01.2020"/>
    <n v="1"/>
    <s v="PRO001"/>
    <x v="9"/>
    <n v="30"/>
    <s v="MIN"/>
    <n v="0.5"/>
    <x v="0"/>
    <s v="08.01.2020"/>
    <s v="08.01.2020"/>
    <d v="1899-12-30T10:00:00"/>
    <d v="1899-12-30T10:30:00"/>
    <x v="2"/>
    <n v="10051218"/>
    <s v="PI-TH-7151-FA-F1-BC"/>
    <s v="ทำความสะอาด"/>
  </r>
  <r>
    <m/>
    <n v="3122009"/>
    <s v="14.01.2020"/>
    <n v="1"/>
    <s v="PRO001"/>
    <x v="9"/>
    <n v="30"/>
    <s v="MIN"/>
    <n v="0.5"/>
    <x v="0"/>
    <s v="10.01.2020"/>
    <s v="10.01.2020"/>
    <d v="1899-12-30T22:30:00"/>
    <d v="1899-12-31T00:00:00"/>
    <x v="271"/>
    <n v="10049465"/>
    <s v="PI-TH-7151-FA-F1-FP"/>
    <s v="อัดจารบีแล้สเปลี่ยน Bearing ปกติดี"/>
  </r>
  <r>
    <m/>
    <n v="3134248"/>
    <s v="20.01.2020"/>
    <n v="1"/>
    <s v="PRO001"/>
    <x v="9"/>
    <n v="30"/>
    <s v="MIN"/>
    <n v="0.5"/>
    <x v="0"/>
    <s v="14.01.2020"/>
    <s v="14.01.2020"/>
    <d v="1899-12-30T13:30:00"/>
    <d v="1899-12-30T14:00:00"/>
    <x v="139"/>
    <n v="10051541"/>
    <s v="PI-TH-7151-FA-F1-FP"/>
    <s v="ตรวจเช็คสภาพความสึกหรอ"/>
  </r>
  <r>
    <m/>
    <n v="3110471"/>
    <s v="12.01.2020"/>
    <n v="2"/>
    <s v="PRO002"/>
    <x v="9"/>
    <n v="30"/>
    <s v="MIN"/>
    <n v="0.5"/>
    <x v="0"/>
    <s v="02.01.2020"/>
    <s v="02.01.2020"/>
    <d v="1899-12-30T08:00:00"/>
    <d v="1899-12-30T08:30:00"/>
    <x v="3"/>
    <n v="10051396"/>
    <s v="PI-TH-7151-FA-F1-P1"/>
    <s v="ทำความสะอาดแล้ว"/>
  </r>
  <r>
    <m/>
    <n v="3118352"/>
    <s v="12.01.2020"/>
    <n v="1"/>
    <s v="PRO002"/>
    <x v="9"/>
    <n v="20"/>
    <s v="MIN"/>
    <n v="0.33333333333333331"/>
    <x v="0"/>
    <s v="02.01.2020"/>
    <s v="02.01.2020"/>
    <d v="1899-12-30T08:00:00"/>
    <d v="1899-12-30T08:20:00"/>
    <x v="4"/>
    <n v="10051763"/>
    <s v="PI-TH-7151-FA-F1-P1"/>
    <s v="ทำความสะอาดแล้ว"/>
  </r>
  <r>
    <m/>
    <n v="3122722"/>
    <s v="12.01.2020"/>
    <n v="1"/>
    <s v="PRO002"/>
    <x v="9"/>
    <n v="20"/>
    <s v="MIN"/>
    <n v="0.33333333333333331"/>
    <x v="0"/>
    <s v="02.01.2020"/>
    <s v="02.01.2020"/>
    <d v="1899-12-30T09:20:00"/>
    <d v="1899-12-30T09:40:00"/>
    <x v="5"/>
    <n v="10049663"/>
    <s v="PI-TH-7151-FA-F1-SC"/>
    <s v="ตรวจเช็คค่ากระแสไฟทั้ง 3 เฟส"/>
  </r>
  <r>
    <m/>
    <n v="3122759"/>
    <s v="12.01.2020"/>
    <n v="2"/>
    <s v="PRO002"/>
    <x v="9"/>
    <n v="20"/>
    <s v="MIN"/>
    <n v="0.33333333333333331"/>
    <x v="0"/>
    <s v="02.01.2020"/>
    <s v="02.01.2020"/>
    <d v="1899-12-30T09:00:00"/>
    <d v="1899-12-30T09:20:00"/>
    <x v="6"/>
    <n v="10049598"/>
    <s v="PI-TH-7151-FA-F1-BC"/>
    <s v="ตรวจเช็คค่ากระแสไฟทั้ง 3 เฟส"/>
  </r>
  <r>
    <m/>
    <n v="3122772"/>
    <s v="12.01.2020"/>
    <n v="1"/>
    <s v="PRO002"/>
    <x v="9"/>
    <n v="20"/>
    <s v="MIN"/>
    <n v="0.33333333333333331"/>
    <x v="0"/>
    <s v="02.01.2020"/>
    <s v="02.01.2020"/>
    <d v="1899-12-30T19:00:00"/>
    <d v="1899-12-30T19:20:00"/>
    <x v="7"/>
    <n v="10049640"/>
    <s v="PI-TH-7151-FA-F1-SC"/>
    <s v="ตรวจเช็คค่ากระแสไฟทั้ง 3 เฟส"/>
  </r>
  <r>
    <m/>
    <n v="3088991"/>
    <s v="12.01.2020"/>
    <n v="1"/>
    <s v="PRO002"/>
    <x v="9"/>
    <n v="60"/>
    <s v="MIN"/>
    <n v="1"/>
    <x v="0"/>
    <s v="04.01.2020"/>
    <s v="04.01.2020"/>
    <d v="1899-12-30T08:00:00"/>
    <d v="1899-12-30T08:30:00"/>
    <x v="272"/>
    <n v="10051704"/>
    <s v="PI-TH-7151-FA-F1-ST"/>
    <s v="ทำความสะอาดแล้ว"/>
  </r>
  <r>
    <m/>
    <n v="3119959"/>
    <s v="12.01.2020"/>
    <n v="1"/>
    <s v="PRO002"/>
    <x v="9"/>
    <n v="60"/>
    <s v="MIN"/>
    <n v="1"/>
    <x v="0"/>
    <s v="04.01.2020"/>
    <s v="04.01.2020"/>
    <d v="1899-12-30T08:00:00"/>
    <d v="1899-12-30T08:30:00"/>
    <x v="273"/>
    <n v="10051548"/>
    <s v="PI-TH-7151-FA-F1-FP"/>
    <s v="ทำความสะอาดแล้ว"/>
  </r>
  <r>
    <m/>
    <n v="3112636"/>
    <s v="13.01.2020"/>
    <n v="1"/>
    <s v="PRO002"/>
    <x v="9"/>
    <n v="240"/>
    <s v="MIN"/>
    <n v="4"/>
    <x v="0"/>
    <s v="06.01.2020"/>
    <s v="06.01.2020"/>
    <d v="1899-12-30T08:00:00"/>
    <d v="1899-12-30T12:00:00"/>
    <x v="8"/>
    <n v="10051386"/>
    <s v="PI-TH-7151-FA-F1-P1"/>
    <s v="ถอดเปลี่ยน Motor Exhaust Fan"/>
  </r>
  <r>
    <m/>
    <n v="3120186"/>
    <s v="16.01.2020"/>
    <n v="1"/>
    <s v="PRO002"/>
    <x v="9"/>
    <n v="30"/>
    <s v="MIN"/>
    <n v="0.5"/>
    <x v="0"/>
    <s v="07.01.2020"/>
    <s v="07.01.2020"/>
    <d v="1899-12-30T21:00:00"/>
    <d v="1899-12-30T21:30:00"/>
    <x v="9"/>
    <n v="10049361"/>
    <s v="PI-TH-7151-FA-F1-P1"/>
    <s v="ตรวจเช็คค่ากระแสไฟฟ้าทั้ง3เฟส"/>
  </r>
  <r>
    <m/>
    <n v="3122008"/>
    <s v="16.01.2020"/>
    <n v="2"/>
    <s v="PRO002"/>
    <x v="9"/>
    <n v="30"/>
    <s v="MIN"/>
    <n v="0.5"/>
    <x v="0"/>
    <s v="07.01.2020"/>
    <s v="07.01.2020"/>
    <d v="1899-12-30T23:00:00"/>
    <d v="1899-12-30T23:30:00"/>
    <x v="10"/>
    <n v="10051443"/>
    <s v="PI-TH-7151-FA-F1-P1"/>
    <s v="Vib con.ถ่ายรูป Thermal ที่ Terminal"/>
  </r>
  <r>
    <m/>
    <n v="3122025"/>
    <s v="16.01.2020"/>
    <n v="2"/>
    <s v="PRO002"/>
    <x v="9"/>
    <n v="30"/>
    <s v="MIN"/>
    <n v="0.5"/>
    <x v="0"/>
    <s v="07.01.2020"/>
    <s v="07.01.2020"/>
    <d v="1899-12-30T21:30:00"/>
    <d v="1899-12-30T22:00:00"/>
    <x v="11"/>
    <n v="10051386"/>
    <s v="PI-TH-7151-FA-F1-P1"/>
    <s v="ตรวจเช็คค่ากระแสไฟฟ้าทั้ง3เฟส"/>
  </r>
  <r>
    <m/>
    <n v="3134113"/>
    <s v="20.01.2020"/>
    <n v="1"/>
    <s v="PRO002"/>
    <x v="9"/>
    <n v="30"/>
    <s v="MIN"/>
    <n v="0.5"/>
    <x v="0"/>
    <s v="08.01.2020"/>
    <s v="08.01.2020"/>
    <d v="1899-12-30T08:30:00"/>
    <d v="1899-12-30T09:00:00"/>
    <x v="12"/>
    <n v="10051218"/>
    <s v="PI-TH-7151-FA-F1-BC"/>
    <s v="ทำการวัดค่า"/>
  </r>
  <r>
    <m/>
    <n v="3134116"/>
    <s v="16.01.2020"/>
    <n v="2"/>
    <s v="PRO002"/>
    <x v="9"/>
    <n v="30"/>
    <s v="MIN"/>
    <n v="0.5"/>
    <x v="0"/>
    <s v="08.01.2020"/>
    <s v="08.01.2020"/>
    <d v="1899-12-30T13:00:00"/>
    <d v="1899-12-30T13:30:00"/>
    <x v="13"/>
    <n v="10049640"/>
    <s v="PI-TH-7151-FA-F1-SC"/>
    <s v="ท่อร้อยสาย Pipe mixer หลุดแก้ไขแล้ว"/>
  </r>
  <r>
    <m/>
    <n v="3134117"/>
    <s v="16.01.2020"/>
    <n v="2"/>
    <s v="PRO002"/>
    <x v="9"/>
    <n v="20"/>
    <s v="MIN"/>
    <n v="0.33333333333333331"/>
    <x v="0"/>
    <s v="08.01.2020"/>
    <s v="08.01.2020"/>
    <d v="1899-12-30T15:50:00"/>
    <d v="1899-12-30T15:50:00"/>
    <x v="14"/>
    <n v="10049652"/>
    <s v="PI-TH-7151-FA-F1-SC"/>
    <s v="ตรวจเช็คสภาพท่อร้อยสายไฟ"/>
  </r>
  <r>
    <m/>
    <n v="3134141"/>
    <s v="16.01.2020"/>
    <n v="2"/>
    <s v="PRO002"/>
    <x v="9"/>
    <n v="20"/>
    <s v="MIN"/>
    <n v="0.33333333333333331"/>
    <x v="0"/>
    <s v="08.01.2020"/>
    <s v="08.01.2020"/>
    <d v="1899-12-30T15:50:00"/>
    <d v="1899-12-30T16:20:00"/>
    <x v="15"/>
    <n v="10049657"/>
    <s v="PI-TH-7151-FA-F1-SC"/>
    <s v="ตรวจพบว่าไม่มีท่อร้อยหลุด"/>
  </r>
  <r>
    <m/>
    <n v="3134182"/>
    <s v="16.01.2020"/>
    <n v="2"/>
    <s v="PRO002"/>
    <x v="9"/>
    <n v="30"/>
    <s v="MIN"/>
    <n v="0.5"/>
    <x v="0"/>
    <s v="08.01.2020"/>
    <s v="08.01.2020"/>
    <d v="1899-12-30T13:00:00"/>
    <d v="1899-12-30T13:30:00"/>
    <x v="16"/>
    <n v="10051218"/>
    <s v="PI-TH-7151-FA-F1-BC"/>
    <s v="ตรวจพบว่าไม่มีท่อร้อยหลุด"/>
  </r>
  <r>
    <m/>
    <n v="3134193"/>
    <s v="16.01.2020"/>
    <n v="2"/>
    <s v="PRO002"/>
    <x v="9"/>
    <n v="30"/>
    <s v="MIN"/>
    <n v="0.5"/>
    <x v="0"/>
    <s v="08.01.2020"/>
    <s v="08.01.2020"/>
    <d v="1899-12-30T13:00:00"/>
    <d v="1899-12-30T13:40:00"/>
    <x v="17"/>
    <n v="10049657"/>
    <s v="PI-TH-7151-FA-F1-SC"/>
    <s v="ตรวจพบว่าไม่มีท่อร้อยหลุด"/>
  </r>
  <r>
    <m/>
    <n v="3134199"/>
    <s v="16.01.2020"/>
    <n v="2"/>
    <s v="PRO002"/>
    <x v="9"/>
    <n v="20"/>
    <s v="MIN"/>
    <n v="0.33333333333333331"/>
    <x v="0"/>
    <s v="08.01.2020"/>
    <s v="08.01.2020"/>
    <d v="1899-12-30T11:00:00"/>
    <d v="1899-12-30T11:20:00"/>
    <x v="18"/>
    <n v="10049604"/>
    <s v="PI-TH-7151-FA-F1-BC"/>
    <s v="ตรวจพบว่าไม่มีท่อร้อยหลุด"/>
  </r>
  <r>
    <m/>
    <n v="3134200"/>
    <s v="16.01.2020"/>
    <n v="2"/>
    <s v="PRO002"/>
    <x v="9"/>
    <n v="20"/>
    <s v="MIN"/>
    <n v="0.33333333333333331"/>
    <x v="0"/>
    <s v="08.01.2020"/>
    <s v="08.01.2020"/>
    <d v="1899-12-30T11:20:00"/>
    <d v="1899-12-30T11:40:00"/>
    <x v="19"/>
    <n v="10051218"/>
    <s v="PI-TH-7151-FA-F1-BC"/>
    <s v="ตรวจเช็คทำความสะอาดเรียบร้อย"/>
  </r>
  <r>
    <m/>
    <n v="3134201"/>
    <s v="16.01.2020"/>
    <n v="2"/>
    <s v="PRO002"/>
    <x v="9"/>
    <n v="20"/>
    <s v="MIN"/>
    <n v="0.33333333333333331"/>
    <x v="0"/>
    <s v="08.01.2020"/>
    <s v="08.01.2020"/>
    <d v="1899-12-30T11:40:00"/>
    <d v="1899-12-30T12:10:00"/>
    <x v="20"/>
    <n v="10051224"/>
    <s v="PI-TH-7151-FA-F1-BC"/>
    <s v="ตรวจพบว่าไม่มีท่อร้อยหลุด"/>
  </r>
  <r>
    <m/>
    <n v="3134206"/>
    <s v="16.01.2020"/>
    <n v="2"/>
    <s v="PRO002"/>
    <x v="9"/>
    <n v="20"/>
    <s v="MIN"/>
    <n v="0.33333333333333331"/>
    <x v="0"/>
    <s v="08.01.2020"/>
    <s v="08.01.2020"/>
    <d v="1899-12-30T10:30:00"/>
    <d v="1899-12-30T10:50:00"/>
    <x v="21"/>
    <n v="10049652"/>
    <s v="PI-TH-7151-FA-F1-SC"/>
    <s v="ตรวจเช็คสภาพ"/>
  </r>
  <r>
    <m/>
    <n v="3134210"/>
    <s v="16.01.2020"/>
    <n v="2"/>
    <s v="PRO002"/>
    <x v="9"/>
    <n v="10"/>
    <s v="MIN"/>
    <n v="0.16666666666666666"/>
    <x v="0"/>
    <s v="08.01.2020"/>
    <s v="08.01.2020"/>
    <d v="1899-12-30T10:50:00"/>
    <d v="1899-12-30T11:10:00"/>
    <x v="22"/>
    <n v="10049663"/>
    <s v="PI-TH-7151-FA-F1-SC"/>
    <s v="ตรวจเช็คสภาพ"/>
  </r>
  <r>
    <m/>
    <n v="3134220"/>
    <s v="16.01.2020"/>
    <n v="1"/>
    <s v="PRO002"/>
    <x v="9"/>
    <n v="20"/>
    <s v="MIN"/>
    <n v="0.33333333333333331"/>
    <x v="0"/>
    <s v="08.01.2020"/>
    <s v="08.01.2020"/>
    <d v="1899-12-30T09:20:00"/>
    <d v="1899-12-30T09:40:00"/>
    <x v="23"/>
    <n v="10049589"/>
    <s v="PI-TH-7151-FA-F1-BC"/>
    <s v="ตรวจเช็คท่อร้อยสายไฟ"/>
  </r>
  <r>
    <m/>
    <n v="3134232"/>
    <s v="16.01.2020"/>
    <n v="2"/>
    <s v="PRO002"/>
    <x v="9"/>
    <n v="30"/>
    <s v="MIN"/>
    <n v="0.5"/>
    <x v="0"/>
    <s v="08.01.2020"/>
    <s v="08.01.2020"/>
    <d v="1899-12-30T09:00:00"/>
    <d v="1899-12-30T09:30:00"/>
    <x v="24"/>
    <n v="10051224"/>
    <s v="PI-TH-7151-FA-F1-BC"/>
    <s v="ตรวจเช็คทำความสะอาดเรียบร้อย"/>
  </r>
  <r>
    <m/>
    <n v="3134252"/>
    <s v="16.01.2020"/>
    <n v="2"/>
    <s v="PRO002"/>
    <x v="9"/>
    <n v="30"/>
    <s v="MIN"/>
    <n v="0.5"/>
    <x v="0"/>
    <s v="08.01.2020"/>
    <s v="08.01.2020"/>
    <d v="1899-12-30T10:00:00"/>
    <d v="1899-12-30T10:30:00"/>
    <x v="25"/>
    <n v="10049657"/>
    <s v="PI-TH-7151-FA-F1-SC"/>
    <s v="ตรวจเช็คทำความสะอาดเรียบร้อย"/>
  </r>
  <r>
    <m/>
    <n v="3110476"/>
    <s v="16.01.2020"/>
    <n v="1"/>
    <s v="PRO002"/>
    <x v="9"/>
    <n v="120"/>
    <s v="MIN"/>
    <n v="2"/>
    <x v="0"/>
    <s v="09.01.2020"/>
    <s v="09.01.2020"/>
    <d v="1899-12-30T19:30:00"/>
    <d v="1899-12-30T22:30:00"/>
    <x v="26"/>
    <n v="10049361"/>
    <s v="PI-TH-7151-FA-F1-P1"/>
    <s v="ทำการถอดเปลี่ยน"/>
  </r>
  <r>
    <m/>
    <n v="3120194"/>
    <s v="16.01.2020"/>
    <n v="2"/>
    <s v="PRO002"/>
    <x v="9"/>
    <n v="30"/>
    <s v="MIN"/>
    <n v="0.5"/>
    <x v="0"/>
    <s v="09.01.2020"/>
    <s v="09.01.2020"/>
    <d v="1899-12-30T19:00:00"/>
    <d v="1899-12-30T19:30:00"/>
    <x v="27"/>
    <n v="10049436"/>
    <s v="PI-TH-7151-FA-F2-PL"/>
    <s v="ทำความสะอาด"/>
  </r>
  <r>
    <m/>
    <n v="3122735"/>
    <s v="16.01.2020"/>
    <n v="2"/>
    <s v="PRO002"/>
    <x v="9"/>
    <n v="30"/>
    <s v="MIN"/>
    <n v="0.5"/>
    <x v="0"/>
    <s v="09.01.2020"/>
    <s v="09.01.2020"/>
    <d v="1899-12-30T22:30:00"/>
    <d v="1899-12-30T23:00:00"/>
    <x v="28"/>
    <n v="10049372"/>
    <s v="PI-TH-7151-FA-F1-P1"/>
    <s v="ทำความสะอาด"/>
  </r>
  <r>
    <m/>
    <n v="3122794"/>
    <s v="16.01.2020"/>
    <n v="2"/>
    <s v="PRO002"/>
    <x v="9"/>
    <n v="60"/>
    <s v="MIN"/>
    <n v="1"/>
    <x v="0"/>
    <s v="09.01.2020"/>
    <s v="09.01.2020"/>
    <d v="1899-12-30T22:00:00"/>
    <d v="1899-12-30T23:00:00"/>
    <x v="29"/>
    <n v="10049688"/>
    <s v="PI-TH-7151-FA-F2-RB"/>
    <s v="ทำความสะอาด"/>
  </r>
  <r>
    <m/>
    <n v="3114077"/>
    <s v="14.01.2020"/>
    <n v="1"/>
    <s v="PRO002"/>
    <x v="9"/>
    <n v="30"/>
    <s v="MIN"/>
    <n v="0.5"/>
    <x v="0"/>
    <s v="10.01.2020"/>
    <s v="10.01.2020"/>
    <d v="1899-12-30T09:00:00"/>
    <d v="1899-12-30T09:30:00"/>
    <x v="30"/>
    <n v="10049451"/>
    <s v="PI-TH-7151-FA-F1-FP"/>
    <s v="ทำความสะอาด"/>
  </r>
  <r>
    <m/>
    <n v="3114084"/>
    <s v="13.01.2020"/>
    <n v="1"/>
    <s v="PRO002"/>
    <x v="9"/>
    <n v="30"/>
    <s v="MIN"/>
    <n v="0.5"/>
    <x v="0"/>
    <s v="10.01.2020"/>
    <s v="10.01.2020"/>
    <d v="1899-12-30T22:00:00"/>
    <d v="1899-12-30T22:30:00"/>
    <x v="31"/>
    <n v="10051747"/>
    <s v="PI-TH-7151-FA-F1-ST"/>
    <s v="เปลี่ยน Falme sensor duel fuel burner."/>
  </r>
  <r>
    <m/>
    <n v="3122799"/>
    <s v="16.01.2020"/>
    <n v="2"/>
    <s v="PRO002"/>
    <x v="9"/>
    <n v="20"/>
    <s v="MIN"/>
    <n v="0.33333333333333331"/>
    <x v="0"/>
    <s v="10.01.2020"/>
    <s v="10.01.2020"/>
    <d v="1899-12-30T01:00:00"/>
    <d v="1899-12-30T01:20:00"/>
    <x v="32"/>
    <n v="10051778"/>
    <s v="PI-TH-7151-FA-F1-P1"/>
    <s v="ทำความสะอาด"/>
  </r>
  <r>
    <m/>
    <n v="3123127"/>
    <s v="16.01.2020"/>
    <n v="1"/>
    <s v="PRO002"/>
    <x v="9"/>
    <n v="30"/>
    <s v="MIN"/>
    <n v="0.5"/>
    <x v="0"/>
    <s v="10.01.2020"/>
    <s v="10.01.2020"/>
    <d v="1899-12-30T00:30:00"/>
    <d v="1899-12-30T01:00:00"/>
    <x v="33"/>
    <n v="10051778"/>
    <s v="PI-TH-7151-FA-F1-P1"/>
    <s v="ทำความสะอาด"/>
  </r>
  <r>
    <m/>
    <n v="3112655"/>
    <s v="13.01.2020"/>
    <n v="1"/>
    <s v="PRO002"/>
    <x v="9"/>
    <n v="60"/>
    <s v="MIN"/>
    <n v="1"/>
    <x v="0"/>
    <s v="11.01.2020"/>
    <s v="11.01.2020"/>
    <d v="1899-12-30T13:00:00"/>
    <d v="1899-12-30T14:00:00"/>
    <x v="34"/>
    <n v="10051769"/>
    <s v="PI-TH-7151-FA-F1-P1"/>
    <s v="เปลี่ยน Bindicator 2 Pcs."/>
  </r>
  <r>
    <m/>
    <n v="3118354"/>
    <s v="13.01.2020"/>
    <n v="1"/>
    <s v="PRO002"/>
    <x v="9"/>
    <n v="60"/>
    <s v="MIN"/>
    <n v="1"/>
    <x v="0"/>
    <s v="11.01.2020"/>
    <s v="11.01.2020"/>
    <d v="1899-12-30T14:00:00"/>
    <d v="1899-12-30T15:00:00"/>
    <x v="35"/>
    <n v="10049372"/>
    <s v="PI-TH-7151-FA-F1-P1"/>
    <s v="Vibrating และทำความสะอาด"/>
  </r>
  <r>
    <m/>
    <n v="3119958"/>
    <s v="13.01.2020"/>
    <n v="1"/>
    <s v="PRO002"/>
    <x v="9"/>
    <n v="60"/>
    <s v="MIN"/>
    <n v="1"/>
    <x v="0"/>
    <s v="11.01.2020"/>
    <s v="11.01.2020"/>
    <d v="1899-12-30T11:00:00"/>
    <d v="1899-12-30T12:00:00"/>
    <x v="36"/>
    <n v="10051481"/>
    <s v="PI-TH-7151-FA-F2-PL"/>
    <s v="ทำความสะอาดและตรวจเช็คสภาพปกติทั่วไป"/>
  </r>
  <r>
    <m/>
    <n v="3120191"/>
    <s v="13.01.2020"/>
    <n v="1"/>
    <s v="PRO002"/>
    <x v="9"/>
    <n v="30"/>
    <s v="MIN"/>
    <n v="0.5"/>
    <x v="0"/>
    <s v="11.01.2020"/>
    <s v="11.01.2020"/>
    <d v="1899-12-30T16:00:00"/>
    <d v="1899-12-30T17:00:00"/>
    <x v="37"/>
    <n v="10051396"/>
    <s v="PI-TH-7151-FA-F1-P1"/>
    <s v="ทำความสะอาดและตรวจเช็คสภาพปกติทั่วไป"/>
  </r>
  <r>
    <m/>
    <n v="3120195"/>
    <s v="13.01.2020"/>
    <n v="1"/>
    <s v="PRO002"/>
    <x v="9"/>
    <n v="120"/>
    <s v="MIN"/>
    <n v="2"/>
    <x v="0"/>
    <s v="11.01.2020"/>
    <s v="11.01.2020"/>
    <d v="1899-12-30T08:00:00"/>
    <d v="1899-12-30T10:00:00"/>
    <x v="38"/>
    <n v="10049436"/>
    <s v="PI-TH-7151-FA-F2-PL"/>
    <s v="ทำความสะอาดและตรวจเช็คสภาพปกติทั่วไป"/>
  </r>
  <r>
    <m/>
    <n v="3120200"/>
    <s v="13.01.2020"/>
    <n v="2"/>
    <s v="PRO002"/>
    <x v="9"/>
    <n v="60"/>
    <s v="MIN"/>
    <n v="1"/>
    <x v="0"/>
    <s v="11.01.2020"/>
    <s v="11.01.2020"/>
    <d v="1899-12-30T10:00:00"/>
    <d v="1899-12-30T11:00:00"/>
    <x v="39"/>
    <n v="10049399"/>
    <s v="PI-TH-7151-FA-F2-PL"/>
    <s v="ทำความสะอาดและตรวจเช็คสภาพปกติทั่วไป"/>
  </r>
  <r>
    <m/>
    <n v="3122016"/>
    <s v="13.01.2020"/>
    <n v="2"/>
    <s v="PRO002"/>
    <x v="9"/>
    <n v="60"/>
    <s v="MIN"/>
    <n v="1"/>
    <x v="0"/>
    <s v="11.01.2020"/>
    <s v="11.01.2020"/>
    <d v="1899-12-30T15:00:00"/>
    <d v="1899-12-30T16:00:00"/>
    <x v="40"/>
    <n v="10051386"/>
    <s v="PI-TH-7151-FA-F1-P1"/>
    <s v="ทำความสะอาดและตรวจเช็คสภาพปกติทั่วไป"/>
  </r>
  <r>
    <m/>
    <n v="3122018"/>
    <s v="13.01.2020"/>
    <n v="1"/>
    <s v="PRO002"/>
    <x v="9"/>
    <n v="60"/>
    <s v="MIN"/>
    <n v="1"/>
    <x v="0"/>
    <s v="11.01.2020"/>
    <s v="11.01.2020"/>
    <d v="1899-12-30T14:00:00"/>
    <d v="1899-12-30T15:00:00"/>
    <x v="41"/>
    <n v="10051443"/>
    <s v="PI-TH-7151-FA-F1-P1"/>
    <s v="ทำความสะอาดและตรวจเช็คสภาพปกติทั่วไป"/>
  </r>
  <r>
    <m/>
    <n v="3122752"/>
    <s v="13.01.2020"/>
    <n v="1"/>
    <s v="PRO002"/>
    <x v="9"/>
    <n v="30"/>
    <s v="MIN"/>
    <n v="0.5"/>
    <x v="0"/>
    <s v="11.01.2020"/>
    <s v="11.01.2020"/>
    <d v="1899-12-30T12:00:00"/>
    <d v="1899-12-30T12:30:00"/>
    <x v="42"/>
    <n v="10051443"/>
    <s v="PI-TH-7151-FA-F1-P1"/>
    <s v="ทำความสะอาดและตรวจเช็คสภาพปกติทั่วไป"/>
  </r>
  <r>
    <m/>
    <n v="3122756"/>
    <s v="13.01.2020"/>
    <n v="1"/>
    <s v="PRO002"/>
    <x v="9"/>
    <n v="30"/>
    <s v="MIN"/>
    <n v="0.5"/>
    <x v="0"/>
    <s v="11.01.2020"/>
    <s v="11.01.2020"/>
    <d v="1899-12-30T09:30:00"/>
    <d v="1899-12-30T10:00:00"/>
    <x v="43"/>
    <n v="10049427"/>
    <s v="PI-TH-7151-FA-F2-PL"/>
    <s v="ทำความสะอาดและตรวจเช็คสภาพปกติทั่วไ"/>
  </r>
  <r>
    <m/>
    <n v="3122767"/>
    <s v="14.01.2020"/>
    <n v="1"/>
    <s v="PRO002"/>
    <x v="9"/>
    <n v="60"/>
    <s v="MIN"/>
    <n v="1"/>
    <x v="0"/>
    <s v="11.01.2020"/>
    <s v="11.01.2020"/>
    <d v="1899-12-30T08:00:00"/>
    <d v="1899-12-30T09:00:00"/>
    <x v="44"/>
    <n v="10049451"/>
    <s v="PI-TH-7151-FA-F1-FP"/>
    <s v="ทำความสะอาด"/>
  </r>
  <r>
    <m/>
    <n v="3122785"/>
    <s v="13.01.2020"/>
    <n v="1"/>
    <s v="PRO002"/>
    <x v="9"/>
    <n v="30"/>
    <s v="MIN"/>
    <n v="0.5"/>
    <x v="0"/>
    <s v="11.01.2020"/>
    <s v="11.01.2020"/>
    <d v="1899-12-30T14:00:00"/>
    <d v="1899-12-30T14:30:00"/>
    <x v="45"/>
    <n v="10051769"/>
    <s v="PI-TH-7151-FA-F1-P1"/>
    <s v="ทำความสะอาดและตรวจเช็คสภาพปกติทั่วไป"/>
  </r>
  <r>
    <m/>
    <n v="3122789"/>
    <s v="13.01.2020"/>
    <n v="1"/>
    <s v="PRO002"/>
    <x v="9"/>
    <n v="20"/>
    <s v="MIN"/>
    <n v="0.33333333333333331"/>
    <x v="0"/>
    <s v="11.01.2020"/>
    <s v="11.01.2020"/>
    <d v="1899-12-30T14:00:00"/>
    <d v="1899-12-30T14:20:00"/>
    <x v="46"/>
    <n v="10049361"/>
    <s v="PI-TH-7151-FA-F1-P1"/>
    <s v="ทำความสะอาดและตรวจเช็คสภาพปกติทั่วไป"/>
  </r>
  <r>
    <m/>
    <n v="3134142"/>
    <s v="16.01.2020"/>
    <n v="1"/>
    <s v="PRO002"/>
    <x v="9"/>
    <n v="60"/>
    <s v="MIN"/>
    <n v="1"/>
    <x v="0"/>
    <s v="11.01.2020"/>
    <s v="11.01.2020"/>
    <d v="1899-12-30T10:00:00"/>
    <d v="1899-12-30T11:00:00"/>
    <x v="47"/>
    <n v="10051218"/>
    <s v="PI-TH-7151-FA-F1-BC"/>
    <s v="ตรวจเช็คทำความสะอาดเรียบร้อย"/>
  </r>
  <r>
    <m/>
    <n v="3137175"/>
    <s v="16.01.2020"/>
    <n v="2"/>
    <s v="PRO002"/>
    <x v="9"/>
    <n v="20"/>
    <s v="MIN"/>
    <n v="0.33333333333333331"/>
    <x v="0"/>
    <s v="11.01.2020"/>
    <s v="11.01.2020"/>
    <d v="1899-12-30T10:00:00"/>
    <d v="1899-12-30T10:20:00"/>
    <x v="48"/>
    <n v="10049663"/>
    <s v="PI-TH-7151-FA-F1-SC"/>
    <s v="ตรวจเช็คท่อร้อยสายไฟ"/>
  </r>
  <r>
    <m/>
    <n v="3118381"/>
    <s v="20.01.2020"/>
    <n v="2"/>
    <s v="PRO002"/>
    <x v="9"/>
    <n v="60"/>
    <s v="MIN"/>
    <n v="1"/>
    <x v="0"/>
    <s v="13.01.2020"/>
    <s v="13.01.2020"/>
    <d v="1899-12-30T10:00:00"/>
    <d v="1899-12-30T11:00:00"/>
    <x v="49"/>
    <n v="10051759"/>
    <s v="PI-TH-7151-FA-F1-ST"/>
    <s v="ทำความสะอาด"/>
  </r>
  <r>
    <m/>
    <n v="3122775"/>
    <s v="20.01.2020"/>
    <n v="1"/>
    <s v="PRO002"/>
    <x v="9"/>
    <n v="30"/>
    <s v="MIN"/>
    <n v="0.5"/>
    <x v="0"/>
    <s v="13.01.2020"/>
    <s v="13.01.2020"/>
    <d v="1899-12-30T08:00:00"/>
    <d v="1899-12-30T08:30:00"/>
    <x v="50"/>
    <n v="10051548"/>
    <s v="PI-TH-7151-FA-F1-FP"/>
    <s v="ทำการวัดค่า"/>
  </r>
  <r>
    <m/>
    <n v="3112704"/>
    <s v="16.01.2020"/>
    <n v="1"/>
    <s v="PRO002"/>
    <x v="9"/>
    <n v="60"/>
    <s v="MIN"/>
    <n v="1"/>
    <x v="0"/>
    <s v="14.01.2020"/>
    <s v="14.01.2020"/>
    <d v="1899-12-30T16:30:00"/>
    <d v="1899-12-30T17:30:00"/>
    <x v="51"/>
    <n v="10049372"/>
    <s v="PI-TH-7151-FA-F1-P1"/>
    <s v="เปลี่ยน Load cell ของ SSN hopper 3 Pcs."/>
  </r>
  <r>
    <m/>
    <n v="3122783"/>
    <s v="16.01.2020"/>
    <n v="1"/>
    <s v="PRO002"/>
    <x v="9"/>
    <n v="30"/>
    <s v="MIN"/>
    <n v="0.5"/>
    <x v="0"/>
    <s v="14.01.2020"/>
    <s v="14.01.2020"/>
    <d v="1899-12-30T16:00:00"/>
    <d v="1899-12-30T16:30:00"/>
    <x v="52"/>
    <n v="10049372"/>
    <s v="PI-TH-7151-FA-F1-P1"/>
    <s v="ตรวจสอบสภาพทั่วไป"/>
  </r>
  <r>
    <m/>
    <n v="3123122"/>
    <s v="16.01.2020"/>
    <n v="1"/>
    <s v="PRO002"/>
    <x v="9"/>
    <n v="30"/>
    <s v="MIN"/>
    <n v="0.5"/>
    <x v="0"/>
    <s v="14.01.2020"/>
    <s v="14.01.2020"/>
    <d v="1899-12-30T15:00:00"/>
    <d v="1899-12-30T15:30:00"/>
    <x v="53"/>
    <n v="10051704"/>
    <s v="PI-TH-7151-FA-F1-ST"/>
    <s v="ตรวจเช็คค่าความต้านทานสาย Earth bonding"/>
  </r>
  <r>
    <m/>
    <n v="3123148"/>
    <s v="16.01.2020"/>
    <n v="2"/>
    <s v="PRO002"/>
    <x v="9"/>
    <n v="20"/>
    <s v="MIN"/>
    <n v="0.33333333333333331"/>
    <x v="0"/>
    <s v="14.01.2020"/>
    <s v="14.01.2020"/>
    <d v="1899-12-30T15:30:00"/>
    <d v="1899-12-30T15:50:00"/>
    <x v="54"/>
    <n v="10051778"/>
    <s v="PI-TH-7151-FA-F1-P1"/>
    <s v="ตรวจเช็คค่ากระแสไฟฟ้าทั้ง3เฟส"/>
  </r>
  <r>
    <m/>
    <n v="3134108"/>
    <s v="16.01.2020"/>
    <n v="1"/>
    <s v="PRO002"/>
    <x v="9"/>
    <n v="30"/>
    <s v="MIN"/>
    <n v="0.5"/>
    <x v="0"/>
    <s v="14.01.2020"/>
    <s v="14.01.2020"/>
    <d v="1899-12-30T13:30:00"/>
    <d v="1899-12-30T14:00:00"/>
    <x v="55"/>
    <n v="10051230"/>
    <s v="PI-TH-7151-FA-F1-BC"/>
    <s v="ท่อร้อยสาย Pipe mixer หลุดแก้ไขแล้ว"/>
  </r>
  <r>
    <m/>
    <n v="3134111"/>
    <s v="16.01.2020"/>
    <n v="2"/>
    <s v="PRO002"/>
    <x v="9"/>
    <n v="30"/>
    <s v="MIN"/>
    <n v="0.5"/>
    <x v="0"/>
    <s v="14.01.2020"/>
    <s v="14.01.2020"/>
    <d v="1899-12-30T14:00:00"/>
    <d v="1899-12-30T14:30:00"/>
    <x v="56"/>
    <n v="10049589"/>
    <s v="PI-TH-7151-FA-F1-BC"/>
    <s v="ทำความสะอาด"/>
  </r>
  <r>
    <m/>
    <n v="3134112"/>
    <s v="16.01.2020"/>
    <n v="2"/>
    <s v="PRO002"/>
    <x v="9"/>
    <n v="20"/>
    <s v="MIN"/>
    <n v="0.33333333333333331"/>
    <x v="0"/>
    <s v="14.01.2020"/>
    <s v="14.01.2020"/>
    <d v="1899-12-30T14:30:00"/>
    <d v="1899-12-30T14:50:00"/>
    <x v="57"/>
    <n v="10049598"/>
    <s v="PI-TH-7151-FA-F1-BC"/>
    <s v="ตรวจสอบสภาพทั่วไป"/>
  </r>
  <r>
    <m/>
    <n v="3132485"/>
    <s v="20.01.2020"/>
    <n v="1"/>
    <s v="PRO002"/>
    <x v="9"/>
    <n v="20"/>
    <s v="MIN"/>
    <n v="0.33333333333333331"/>
    <x v="0"/>
    <s v="16.01.2020"/>
    <s v="16.01.2020"/>
    <d v="1899-12-30T08:00:00"/>
    <d v="1899-12-30T08:20:00"/>
    <x v="58"/>
    <n v="10051396"/>
    <s v="PI-TH-7151-FA-F1-P1"/>
    <s v="ทำความสะอาด"/>
  </r>
  <r>
    <m/>
    <n v="3112706"/>
    <s v="20.01.2020"/>
    <n v="1"/>
    <s v="PRO002"/>
    <x v="9"/>
    <n v="120"/>
    <s v="MIN"/>
    <n v="2"/>
    <x v="0"/>
    <s v="18.01.2020"/>
    <s v="18.01.2020"/>
    <d v="1899-12-30T08:00:00"/>
    <d v="1899-12-30T10:00:00"/>
    <x v="59"/>
    <n v="10049361"/>
    <s v="PI-TH-7151-FA-F1-P1"/>
    <s v="Calibrate sensor Thermal oil heater."/>
  </r>
  <r>
    <m/>
    <n v="3114091"/>
    <s v="20.01.2020"/>
    <n v="1"/>
    <s v="PRO002"/>
    <x v="9"/>
    <n v="120"/>
    <s v="MIN"/>
    <n v="2"/>
    <x v="0"/>
    <s v="18.01.2020"/>
    <s v="18.01.2020"/>
    <d v="1899-12-30T13:00:00"/>
    <d v="1899-12-30T15:00:00"/>
    <x v="60"/>
    <n v="10051443"/>
    <s v="PI-TH-7151-FA-F1-P1"/>
    <s v="ทำความสะอาดช่องระหว่าง Electro"/>
  </r>
  <r>
    <m/>
    <n v="3118388"/>
    <s v="20.01.2020"/>
    <n v="1"/>
    <s v="PRO002"/>
    <x v="9"/>
    <n v="120"/>
    <s v="MIN"/>
    <n v="2"/>
    <x v="0"/>
    <s v="18.01.2020"/>
    <s v="18.01.2020"/>
    <d v="1899-12-30T10:00:00"/>
    <d v="1899-12-30T12:00:00"/>
    <x v="61"/>
    <n v="10051778"/>
    <s v="PI-TH-7151-FA-F1-P1"/>
    <s v="Calibrate weight unit"/>
  </r>
  <r>
    <m/>
    <n v="3134132"/>
    <s v="20.01.2020"/>
    <n v="1"/>
    <s v="PRO002"/>
    <x v="9"/>
    <n v="60"/>
    <s v="MIN"/>
    <n v="1"/>
    <x v="0"/>
    <s v="18.01.2020"/>
    <s v="18.01.2020"/>
    <d v="1899-12-30T08:00:00"/>
    <d v="1899-12-30T09:00:00"/>
    <x v="62"/>
    <n v="10051548"/>
    <s v="PI-TH-7151-FA-F1-FP"/>
    <s v="ทำความสะอาด"/>
  </r>
  <r>
    <m/>
    <n v="3134133"/>
    <s v="20.01.2020"/>
    <n v="1"/>
    <s v="PRO002"/>
    <x v="9"/>
    <n v="30"/>
    <s v="MIN"/>
    <n v="0.5"/>
    <x v="0"/>
    <s v="18.01.2020"/>
    <s v="18.01.2020"/>
    <d v="1899-12-30T09:30:00"/>
    <d v="1899-12-30T10:00:00"/>
    <x v="63"/>
    <n v="10051548"/>
    <s v="PI-TH-7151-FA-F1-FP"/>
    <s v="ทำความสะอาด"/>
  </r>
  <r>
    <m/>
    <n v="3134138"/>
    <s v="20.01.2020"/>
    <n v="2"/>
    <s v="PRO002"/>
    <x v="9"/>
    <n v="30"/>
    <s v="MIN"/>
    <n v="0.5"/>
    <x v="0"/>
    <s v="18.01.2020"/>
    <s v="18.01.2020"/>
    <d v="1899-12-30T09:30:00"/>
    <d v="1899-12-30T10:00:00"/>
    <x v="64"/>
    <n v="10049465"/>
    <s v="PI-TH-7151-FA-F1-FP"/>
    <s v="ทำความสะอาด"/>
  </r>
  <r>
    <m/>
    <n v="3134255"/>
    <s v="20.01.2020"/>
    <n v="1"/>
    <s v="PRO002"/>
    <x v="9"/>
    <n v="60"/>
    <s v="MIN"/>
    <n v="1"/>
    <x v="0"/>
    <s v="18.01.2020"/>
    <s v="18.01.2020"/>
    <d v="1899-12-30T10:00:00"/>
    <d v="1899-12-30T11:00:00"/>
    <x v="65"/>
    <n v="10049372"/>
    <s v="PI-TH-7151-FA-F1-P1"/>
    <s v="ตรวจเช็ค Parametor."/>
  </r>
  <r>
    <m/>
    <n v="3134263"/>
    <s v="20.01.2020"/>
    <n v="1"/>
    <s v="PRO002"/>
    <x v="9"/>
    <n v="30"/>
    <s v="MIN"/>
    <n v="0.5"/>
    <x v="0"/>
    <s v="18.01.2020"/>
    <s v="18.01.2020"/>
    <d v="1899-12-30T09:00:00"/>
    <d v="1899-12-30T09:30:00"/>
    <x v="66"/>
    <n v="10049578"/>
    <s v="PI-TH-7151-FA-F1-ST"/>
    <s v="ตรวจสอบท่อร้อยสายไฟ"/>
  </r>
  <r>
    <m/>
    <n v="3112747"/>
    <s v="12.01.2020"/>
    <n v="2"/>
    <s v="PAC002"/>
    <x v="10"/>
    <n v="40"/>
    <s v="MIN"/>
    <n v="0.66666666666666663"/>
    <x v="0"/>
    <s v="09.01.2020"/>
    <s v="09.01.2020"/>
    <d v="1899-12-30T17:00:00"/>
    <d v="1899-12-30T17:40:00"/>
    <x v="179"/>
    <n v="10051311"/>
    <s v="PI-TH-7151-FA-PK-06"/>
    <s v="ทำความสะอาด/เช็ค Filter"/>
  </r>
  <r>
    <m/>
    <n v="3112756"/>
    <s v="12.01.2020"/>
    <n v="1"/>
    <s v="PAC002"/>
    <x v="10"/>
    <n v="1.5"/>
    <s v="H"/>
    <n v="90"/>
    <x v="0"/>
    <s v="09.01.2020"/>
    <s v="09.01.2020"/>
    <d v="1899-12-30T17:00:00"/>
    <d v="1899-12-30T17:30:00"/>
    <x v="274"/>
    <n v="10051309"/>
    <s v="PI-TH-7151-FA-PK-06"/>
    <s v="ทำความสะอาด/เช็ค Filter"/>
  </r>
  <r>
    <m/>
    <n v="3137265"/>
    <s v="16.01.2020"/>
    <n v="2"/>
    <s v="PAC012"/>
    <x v="10"/>
    <n v="20"/>
    <s v="MIN"/>
    <n v="0.33333333333333331"/>
    <x v="0"/>
    <s v="12.01.2020"/>
    <s v="12.01.2020"/>
    <d v="1899-12-30T04:30:00"/>
    <d v="1899-12-30T04:50:00"/>
    <x v="180"/>
    <n v="10055734"/>
    <s v="PI-TH-7151-FA-PK-04"/>
    <s v="Replace block b"/>
  </r>
  <r>
    <m/>
    <n v="3122793"/>
    <s v="12.01.2020"/>
    <n v="1"/>
    <s v="PRO000"/>
    <x v="10"/>
    <n v="1.9"/>
    <s v="H"/>
    <n v="114"/>
    <x v="0"/>
    <s v="05.01.2020"/>
    <s v="05.01.2020"/>
    <d v="1899-12-30T08:30:00"/>
    <d v="1899-12-30T09:20:00"/>
    <x v="181"/>
    <n v="10051503"/>
    <s v="PI-TH-7151-FA-F2-PL"/>
    <s v="ทำการตรวจสอบสายพาน/โซ่"/>
  </r>
  <r>
    <m/>
    <n v="3122793"/>
    <s v="13.01.2020"/>
    <n v="3"/>
    <s v="PRO000"/>
    <x v="10"/>
    <n v="40"/>
    <s v="MIN"/>
    <n v="0.66666666666666663"/>
    <x v="0"/>
    <s v="12.01.2020"/>
    <s v="12.01.2020"/>
    <d v="1899-12-30T21:10:00"/>
    <d v="1899-12-30T21:40:00"/>
    <x v="181"/>
    <n v="10051503"/>
    <s v="PI-TH-7151-FA-F2-PL"/>
    <s v="ตรวจเช็คสภาพปกติทั่วไป"/>
  </r>
  <r>
    <m/>
    <n v="3134254"/>
    <s v="20.01.2020"/>
    <n v="1"/>
    <s v="PRO000"/>
    <x v="10"/>
    <n v="20"/>
    <s v="MIN"/>
    <n v="0.33333333333333331"/>
    <x v="0"/>
    <s v="18.01.2020"/>
    <s v="18.01.2020"/>
    <d v="1899-12-30T11:20:00"/>
    <d v="1899-12-30T11:40:00"/>
    <x v="182"/>
    <n v="10051503"/>
    <s v="PI-TH-7151-FA-F2-PL"/>
    <s v="ทำการตรวจสอบสายพาน"/>
  </r>
  <r>
    <m/>
    <n v="3118331"/>
    <s v="12.01.2020"/>
    <n v="1"/>
    <s v="PRO001"/>
    <x v="10"/>
    <n v="20"/>
    <s v="MIN"/>
    <n v="0.33333333333333331"/>
    <x v="0"/>
    <s v="04.01.2020"/>
    <s v="04.01.2020"/>
    <d v="1899-12-30T09:00:00"/>
    <d v="1899-12-30T09:20:00"/>
    <x v="183"/>
    <n v="10049399"/>
    <s v="PI-TH-7151-FA-F2-PL"/>
    <s v="เปลี่ยนประเก็นเชือก"/>
  </r>
  <r>
    <m/>
    <n v="3118358"/>
    <s v="12.01.2020"/>
    <n v="1"/>
    <s v="PRO001"/>
    <x v="10"/>
    <n v="40"/>
    <s v="MIN"/>
    <n v="0.66666666666666663"/>
    <x v="0"/>
    <s v="04.01.2020"/>
    <s v="04.01.2020"/>
    <d v="1899-12-30T09:30:00"/>
    <d v="1899-12-30T09:50:00"/>
    <x v="184"/>
    <n v="10051481"/>
    <s v="PI-TH-7151-FA-F2-PL"/>
    <s v="ทา Silicone heat"/>
  </r>
  <r>
    <m/>
    <n v="3120243"/>
    <s v="12.01.2020"/>
    <n v="1"/>
    <s v="PRO001"/>
    <x v="10"/>
    <n v="30"/>
    <s v="MIN"/>
    <n v="0.5"/>
    <x v="0"/>
    <s v="04.01.2020"/>
    <s v="04.01.2020"/>
    <d v="1899-12-30T08:20:00"/>
    <d v="1899-12-30T08:30:00"/>
    <x v="185"/>
    <n v="10049416"/>
    <s v="PI-TH-7151-FA-F2-PL"/>
    <s v="ทำความสะอาดแล้ว"/>
  </r>
  <r>
    <m/>
    <n v="3120189"/>
    <s v="12.01.2020"/>
    <n v="1"/>
    <s v="PRO001"/>
    <x v="10"/>
    <n v="20"/>
    <s v="MIN"/>
    <n v="0.33333333333333331"/>
    <x v="0"/>
    <s v="04.01.2020"/>
    <s v="04.01.2020"/>
    <d v="1899-12-30T08:00:00"/>
    <d v="1899-12-30T08:20:00"/>
    <x v="186"/>
    <n v="10049436"/>
    <s v="PI-TH-7151-FA-F2-PL"/>
    <s v="Black Flush เรียบร้อย"/>
  </r>
  <r>
    <m/>
    <n v="3119983"/>
    <s v="12.01.2020"/>
    <n v="1"/>
    <s v="PRO001"/>
    <x v="10"/>
    <n v="10"/>
    <s v="MIN"/>
    <n v="0.16666666666666666"/>
    <x v="0"/>
    <s v="05.01.2020"/>
    <s v="05.01.2020"/>
    <d v="1899-12-30T10:00:00"/>
    <d v="1899-12-30T10:10:00"/>
    <x v="187"/>
    <n v="10049416"/>
    <s v="PI-TH-7151-FA-F2-PL"/>
    <s v="ตรวจเช็คสภาพปกติทั่วไป"/>
  </r>
  <r>
    <m/>
    <n v="3120210"/>
    <s v="12.01.2020"/>
    <n v="1"/>
    <s v="PRO001"/>
    <x v="10"/>
    <n v="20"/>
    <s v="MIN"/>
    <n v="0.33333333333333331"/>
    <x v="0"/>
    <s v="05.01.2020"/>
    <s v="05.01.2020"/>
    <d v="1899-12-30T10:10:00"/>
    <d v="1899-12-30T10:20:00"/>
    <x v="188"/>
    <n v="10049399"/>
    <s v="PI-TH-7151-FA-F2-PL"/>
    <s v="ตรวจเช็คสภาพปกติทั่วไป"/>
  </r>
  <r>
    <m/>
    <n v="3122005"/>
    <s v="16.01.2020"/>
    <n v="4"/>
    <s v="PRO001"/>
    <x v="10"/>
    <n v="20"/>
    <s v="MIN"/>
    <n v="0.33333333333333331"/>
    <x v="0"/>
    <s v="11.01.2020"/>
    <s v="11.01.2020"/>
    <d v="1899-12-30T20:20:00"/>
    <d v="1899-12-30T20:40:00"/>
    <x v="190"/>
    <n v="10049427"/>
    <s v="PI-TH-7151-FA-F2-PL"/>
    <s v="อัดจารบี+ฉัดสเปรย์"/>
  </r>
  <r>
    <m/>
    <n v="3120192"/>
    <s v="13.01.2020"/>
    <n v="1"/>
    <s v="PRO001"/>
    <x v="10"/>
    <n v="30"/>
    <s v="MIN"/>
    <n v="0.5"/>
    <x v="0"/>
    <s v="12.01.2020"/>
    <s v="12.01.2020"/>
    <d v="1899-12-30T20:00:00"/>
    <d v="1899-12-30T20:30:00"/>
    <x v="191"/>
    <n v="10051488"/>
    <s v="PI-TH-7151-FA-F2-PL"/>
    <s v="ฉีดสเปรย์/อัดจารบีแล้ว"/>
  </r>
  <r>
    <m/>
    <n v="3120198"/>
    <s v="13.01.2020"/>
    <n v="1"/>
    <s v="PRO001"/>
    <x v="10"/>
    <n v="20"/>
    <s v="MIN"/>
    <n v="0.33333333333333331"/>
    <x v="0"/>
    <s v="12.01.2020"/>
    <s v="12.01.2020"/>
    <d v="1899-12-30T19:40:00"/>
    <d v="1899-12-30T20:00:00"/>
    <x v="192"/>
    <n v="10051481"/>
    <s v="PI-TH-7151-FA-F2-PL"/>
    <s v="ฉีดสเปรย์/อัดจารบีแล้ว"/>
  </r>
  <r>
    <m/>
    <n v="3122005"/>
    <s v="13.01.2020"/>
    <n v="1"/>
    <s v="PRO001"/>
    <x v="10"/>
    <n v="25"/>
    <s v="MIN"/>
    <n v="0.41666666666666669"/>
    <x v="0"/>
    <s v="12.01.2020"/>
    <s v="12.01.2020"/>
    <d v="1899-12-30T20:30:00"/>
    <d v="1899-12-30T20:45:00"/>
    <x v="190"/>
    <n v="10049427"/>
    <s v="PI-TH-7151-FA-F2-PL"/>
    <s v="ตรวจเช็คสภาพปกติทั่วไป"/>
  </r>
  <r>
    <m/>
    <n v="3122787"/>
    <s v="13.01.2020"/>
    <n v="1"/>
    <s v="PRO001"/>
    <x v="10"/>
    <n v="10"/>
    <s v="MIN"/>
    <n v="0.16666666666666666"/>
    <x v="0"/>
    <s v="12.01.2020"/>
    <s v="12.01.2020"/>
    <d v="1899-12-30T21:00:00"/>
    <d v="1899-12-30T21:50:00"/>
    <x v="194"/>
    <n v="10051493"/>
    <s v="PI-TH-7151-FA-F2-PL"/>
    <s v="ตรวจเช็คสภาพปกติทั่วไป"/>
  </r>
  <r>
    <m/>
    <n v="3132479"/>
    <s v="16.01.2020"/>
    <n v="1"/>
    <s v="PRO001"/>
    <x v="10"/>
    <n v="10"/>
    <s v="MIN"/>
    <n v="0.16666666666666666"/>
    <x v="0"/>
    <s v="14.01.2020"/>
    <s v="14.01.2020"/>
    <d v="1899-12-30T20:00:00"/>
    <d v="1899-12-30T20:10:00"/>
    <x v="195"/>
    <n v="10049436"/>
    <s v="PI-TH-7151-FA-F2-PL"/>
    <s v="ตรวจเช็คแรงดันปกติ"/>
  </r>
  <r>
    <m/>
    <n v="3132479"/>
    <s v="16.01.2020"/>
    <n v="2"/>
    <s v="PRO001"/>
    <x v="10"/>
    <n v="5"/>
    <s v="MIN"/>
    <n v="8.3333333333333329E-2"/>
    <x v="0"/>
    <s v="14.01.2020"/>
    <s v="16.01.2020"/>
    <d v="1899-12-30T20:10:00"/>
    <d v="1899-12-30T08:39:24"/>
    <x v="195"/>
    <n v="10049436"/>
    <s v="PI-TH-7151-FA-F2-PL"/>
    <m/>
  </r>
  <r>
    <m/>
    <n v="3132480"/>
    <s v="16.01.2020"/>
    <n v="1"/>
    <s v="PRO001"/>
    <x v="10"/>
    <n v="10"/>
    <s v="MIN"/>
    <n v="0.16666666666666666"/>
    <x v="0"/>
    <s v="14.01.2020"/>
    <s v="14.01.2020"/>
    <d v="1899-12-30T19:50:00"/>
    <d v="1899-12-30T20:00:00"/>
    <x v="196"/>
    <n v="10049436"/>
    <s v="PI-TH-7151-FA-F2-PL"/>
    <s v="อัดจารบีเรียบร้อย"/>
  </r>
  <r>
    <m/>
    <n v="3132486"/>
    <s v="16.01.2020"/>
    <n v="1"/>
    <s v="PRO001"/>
    <x v="10"/>
    <n v="10"/>
    <s v="MIN"/>
    <n v="0.16666666666666666"/>
    <x v="0"/>
    <s v="14.01.2020"/>
    <s v="14.01.2020"/>
    <d v="1899-12-30T20:10:00"/>
    <d v="1899-12-30T20:20:00"/>
    <x v="197"/>
    <n v="10049436"/>
    <s v="PI-TH-7151-FA-F2-PL"/>
    <s v="เปลี่ยน Filter เรียบร้อย"/>
  </r>
  <r>
    <m/>
    <n v="3137178"/>
    <s v="16.01.2020"/>
    <n v="1"/>
    <s v="PRO001"/>
    <x v="10"/>
    <n v="20"/>
    <s v="MIN"/>
    <n v="0.33333333333333331"/>
    <x v="0"/>
    <s v="15.01.2020"/>
    <s v="15.01.2020"/>
    <d v="1899-12-30T20:00:00"/>
    <d v="1899-12-30T20:20:00"/>
    <x v="198"/>
    <n v="10049436"/>
    <s v="PI-TH-7151-FA-F2-PL"/>
    <s v="Drian นำในถังพักนำ RO ออก"/>
  </r>
  <r>
    <m/>
    <n v="3134184"/>
    <s v="16.01.2020"/>
    <n v="1"/>
    <s v="PRO001"/>
    <x v="10"/>
    <n v="10"/>
    <s v="MIN"/>
    <n v="0.16666666666666666"/>
    <x v="0"/>
    <s v="16.01.2020"/>
    <s v="16.01.2020"/>
    <d v="1899-12-30T04:30:00"/>
    <d v="1899-12-30T04:40:00"/>
    <x v="199"/>
    <n v="10049436"/>
    <s v="PI-TH-7151-FA-F2-PL"/>
    <s v="Drian ออก พร้อม Test run."/>
  </r>
  <r>
    <m/>
    <n v="3134185"/>
    <s v="16.01.2020"/>
    <n v="1"/>
    <s v="PRO001"/>
    <x v="10"/>
    <n v="30"/>
    <s v="MIN"/>
    <n v="0.5"/>
    <x v="0"/>
    <s v="16.01.2020"/>
    <s v="16.01.2020"/>
    <d v="1899-12-30T04:00:00"/>
    <d v="1899-12-30T04:30:00"/>
    <x v="200"/>
    <n v="10049416"/>
    <s v="PI-TH-7151-FA-F2-PL"/>
    <s v="ตรวจเช็คทำความสะอาดเรียบร้อย"/>
  </r>
  <r>
    <m/>
    <n v="3132472"/>
    <s v="20.01.2020"/>
    <n v="1"/>
    <s v="PRO001"/>
    <x v="10"/>
    <n v="20"/>
    <s v="MIN"/>
    <n v="0.33333333333333331"/>
    <x v="0"/>
    <s v="18.01.2020"/>
    <s v="18.01.2020"/>
    <d v="1899-12-30T10:50:00"/>
    <d v="1899-12-30T11:10:00"/>
    <x v="201"/>
    <n v="10051503"/>
    <s v="PI-TH-7151-FA-F2-PL"/>
    <s v="ตรวจเช็คสภาพการคลบายตัวยึดน๊อต"/>
  </r>
  <r>
    <m/>
    <n v="3132484"/>
    <s v="20.01.2020"/>
    <n v="1"/>
    <s v="PRO001"/>
    <x v="10"/>
    <n v="20"/>
    <s v="MIN"/>
    <n v="0.33333333333333331"/>
    <x v="0"/>
    <s v="18.01.2020"/>
    <s v="18.01.2020"/>
    <d v="1899-12-30T11:10:00"/>
    <d v="1899-12-30T11:30:00"/>
    <x v="202"/>
    <n v="10051503"/>
    <s v="PI-TH-7151-FA-F2-PL"/>
    <s v="อัดจารบี"/>
  </r>
  <r>
    <m/>
    <n v="3134174"/>
    <s v="20.01.2020"/>
    <n v="1"/>
    <s v="PRO001"/>
    <x v="10"/>
    <n v="1.5"/>
    <s v="H"/>
    <n v="90"/>
    <x v="0"/>
    <s v="18.01.2020"/>
    <s v="18.01.2020"/>
    <d v="1899-12-30T14:20:00"/>
    <d v="1899-12-30T15:45:00"/>
    <x v="203"/>
    <n v="10049416"/>
    <s v="PI-TH-7151-FA-F2-PL"/>
    <s v="ทำความสะอาด Filter ของ BoboxVC1,2"/>
  </r>
  <r>
    <m/>
    <n v="3134256"/>
    <s v="20.01.2020"/>
    <n v="1"/>
    <s v="PRO001"/>
    <x v="10"/>
    <n v="20"/>
    <s v="MIN"/>
    <n v="0.33333333333333331"/>
    <x v="0"/>
    <s v="18.01.2020"/>
    <s v="18.01.2020"/>
    <d v="1899-12-30T08:15:00"/>
    <d v="1899-12-30T08:30:00"/>
    <x v="204"/>
    <n v="10051481"/>
    <s v="PI-TH-7151-FA-F2-PL"/>
    <s v="เปลี่ยนน็อตยึด"/>
  </r>
  <r>
    <m/>
    <n v="3137177"/>
    <s v="20.01.2020"/>
    <n v="1"/>
    <s v="PRO001"/>
    <x v="10"/>
    <n v="20"/>
    <s v="MIN"/>
    <n v="0.33333333333333331"/>
    <x v="0"/>
    <s v="18.01.2020"/>
    <s v="18.01.2020"/>
    <d v="1899-12-30T10:10:00"/>
    <d v="1899-12-30T10:30:00"/>
    <x v="205"/>
    <n v="10051503"/>
    <s v="PI-TH-7151-FA-F2-PL"/>
    <s v="ทาจารบี"/>
  </r>
  <r>
    <m/>
    <n v="3028687"/>
    <s v="16.01.2020"/>
    <n v="4"/>
    <s v="PAC002"/>
    <x v="11"/>
    <n v="20"/>
    <s v="MIN"/>
    <n v="0.33333333333333331"/>
    <x v="0"/>
    <s v="14.01.2020"/>
    <s v="14.01.2020"/>
    <d v="1899-12-30T20:30:00"/>
    <d v="1899-12-30T20:50:00"/>
    <x v="78"/>
    <n v="10051091"/>
    <s v="PI-TH-7151-FA-PK-02"/>
    <s v="ตรวจสอบสภาพทั่วไป+Bearing ใช้งานได้อยู่"/>
  </r>
  <r>
    <m/>
    <n v="3028657"/>
    <s v="16.01.2020"/>
    <n v="2"/>
    <s v="PAC002"/>
    <x v="11"/>
    <n v="10"/>
    <s v="MIN"/>
    <n v="0.16666666666666666"/>
    <x v="0"/>
    <s v="15.01.2020"/>
    <s v="15.01.2020"/>
    <d v="1899-12-30T21:40:00"/>
    <d v="1899-12-30T21:50:00"/>
    <x v="80"/>
    <n v="10051715"/>
    <s v="PI-TH-7151-FA-PK-02"/>
    <s v="Bearing ไม่มีของ"/>
  </r>
  <r>
    <m/>
    <n v="3122031"/>
    <s v="12.01.2020"/>
    <n v="2"/>
    <s v="PRO000"/>
    <x v="11"/>
    <n v="30"/>
    <s v="MIN"/>
    <n v="0.5"/>
    <x v="0"/>
    <s v="04.01.2020"/>
    <s v="04.01.2020"/>
    <d v="1899-12-30T03:30:00"/>
    <d v="1899-12-30T04:00:00"/>
    <x v="114"/>
    <n v="10051738"/>
    <s v="PI-TH-7151-FA-F1-ST"/>
    <s v="อัดจารบีพร้อมทำความสะอาด"/>
  </r>
  <r>
    <m/>
    <n v="3132497"/>
    <s v="20.01.2020"/>
    <n v="1"/>
    <s v="PRO000"/>
    <x v="11"/>
    <n v="30"/>
    <s v="MIN"/>
    <n v="0.5"/>
    <x v="0"/>
    <s v="17.01.2020"/>
    <s v="17.01.2020"/>
    <d v="1899-12-30T16:00:00"/>
    <d v="1899-12-30T16:30:00"/>
    <x v="275"/>
    <n v="10049589"/>
    <s v="PI-TH-7151-FA-F1-BC"/>
    <s v="ตรวจเช็คสภาพ Filter"/>
  </r>
  <r>
    <m/>
    <n v="3137637"/>
    <s v="20.01.2020"/>
    <n v="1"/>
    <s v="PRO000"/>
    <x v="11"/>
    <n v="30"/>
    <s v="MIN"/>
    <n v="0.5"/>
    <x v="0"/>
    <s v="17.01.2020"/>
    <s v="17.01.2020"/>
    <d v="1899-12-30T17:00:00"/>
    <d v="1899-12-30T17:30:00"/>
    <x v="276"/>
    <n v="10051738"/>
    <s v="PI-TH-7151-FA-F1-ST"/>
    <s v="อัดจารบี"/>
  </r>
  <r>
    <m/>
    <n v="3118382"/>
    <s v="12.01.2020"/>
    <n v="2"/>
    <s v="PRO001"/>
    <x v="11"/>
    <n v="30"/>
    <s v="MIN"/>
    <n v="0.5"/>
    <x v="0"/>
    <s v="04.01.2020"/>
    <s v="04.01.2020"/>
    <d v="1899-12-30T03:00:00"/>
    <d v="1899-12-30T03:30:00"/>
    <x v="115"/>
    <n v="10049540"/>
    <s v="PI-TH-7151-FA-F1-ST"/>
    <s v="สภาพปกติทั่วไป"/>
  </r>
  <r>
    <m/>
    <n v="3118394"/>
    <s v="12.01.2020"/>
    <n v="1"/>
    <s v="PRO001"/>
    <x v="11"/>
    <n v="30"/>
    <s v="MIN"/>
    <n v="0.5"/>
    <x v="0"/>
    <s v="04.01.2020"/>
    <s v="04.01.2020"/>
    <d v="1899-12-30T02:30:00"/>
    <d v="1899-12-30T03:00:00"/>
    <x v="116"/>
    <n v="10051704"/>
    <s v="PI-TH-7151-FA-F1-ST"/>
    <s v="อัดจารบีพร้อมทำความสะอาด"/>
  </r>
  <r>
    <m/>
    <n v="3120245"/>
    <s v="12.01.2020"/>
    <n v="1"/>
    <s v="PRO001"/>
    <x v="11"/>
    <n v="30"/>
    <s v="MIN"/>
    <n v="0.5"/>
    <x v="0"/>
    <s v="04.01.2020"/>
    <s v="04.01.2020"/>
    <d v="1899-12-30T04:00:00"/>
    <d v="1899-12-30T04:30:00"/>
    <x v="117"/>
    <n v="10051738"/>
    <s v="PI-TH-7151-FA-F1-ST"/>
    <s v="สภาพปกติทั่วไป"/>
  </r>
  <r>
    <m/>
    <n v="3120246"/>
    <s v="12.01.2020"/>
    <n v="1"/>
    <s v="PRO001"/>
    <x v="11"/>
    <n v="30"/>
    <s v="MIN"/>
    <n v="0.5"/>
    <x v="0"/>
    <s v="04.01.2020"/>
    <s v="04.01.2020"/>
    <d v="1899-12-30T05:30:00"/>
    <d v="1899-12-30T06:00:00"/>
    <x v="118"/>
    <n v="10051759"/>
    <s v="PI-TH-7151-FA-F1-ST"/>
    <s v="อัดจารบีพร้อมทำความสะอาด"/>
  </r>
  <r>
    <m/>
    <n v="3120251"/>
    <s v="12.01.2020"/>
    <n v="1"/>
    <s v="PRO001"/>
    <x v="11"/>
    <n v="30"/>
    <s v="MIN"/>
    <n v="0.5"/>
    <x v="0"/>
    <s v="04.01.2020"/>
    <s v="04.01.2020"/>
    <d v="1899-12-30T04:00:00"/>
    <d v="1899-12-30T05:30:00"/>
    <x v="277"/>
    <n v="10051747"/>
    <s v="PI-TH-7151-FA-F1-ST"/>
    <s v="อัดจารบีพร้อมทำความสะอาด"/>
  </r>
  <r>
    <m/>
    <n v="3120258"/>
    <s v="12.01.2020"/>
    <n v="1"/>
    <s v="PRO001"/>
    <x v="11"/>
    <n v="30"/>
    <s v="MIN"/>
    <n v="0.5"/>
    <x v="0"/>
    <s v="04.01.2020"/>
    <s v="04.01.2020"/>
    <d v="1899-12-30T06:00:00"/>
    <d v="1899-12-30T06:30:00"/>
    <x v="119"/>
    <n v="10051738"/>
    <s v="PI-TH-7151-FA-F1-ST"/>
    <s v="อัดจารบีพร้อมทำความสะอาด"/>
  </r>
  <r>
    <m/>
    <n v="3120260"/>
    <s v="12.01.2020"/>
    <n v="1"/>
    <s v="PRO001"/>
    <x v="11"/>
    <n v="30"/>
    <s v="MIN"/>
    <n v="0.5"/>
    <x v="0"/>
    <s v="04.01.2020"/>
    <s v="04.01.2020"/>
    <d v="1899-12-30T05:00:00"/>
    <d v="1899-12-30T05:30:00"/>
    <x v="278"/>
    <n v="10051759"/>
    <s v="PI-TH-7151-FA-F1-ST"/>
    <s v="สภาพปกติทั่วไป"/>
  </r>
  <r>
    <m/>
    <n v="3122123"/>
    <s v="12.01.2020"/>
    <n v="1"/>
    <s v="PRO001"/>
    <x v="11"/>
    <n v="15"/>
    <s v="MIN"/>
    <n v="0.25"/>
    <x v="0"/>
    <s v="04.01.2020"/>
    <s v="04.01.2020"/>
    <d v="1899-12-30T20:30:00"/>
    <d v="1899-12-30T20:45:00"/>
    <x v="279"/>
    <n v="10049534"/>
    <s v="PI-TH-7151-FA-F1-ST"/>
    <s v="13us/cm"/>
  </r>
  <r>
    <m/>
    <n v="3120217"/>
    <s v="12.01.2020"/>
    <n v="1"/>
    <s v="PRO001"/>
    <x v="11"/>
    <n v="30"/>
    <s v="MIN"/>
    <n v="0.5"/>
    <x v="0"/>
    <s v="05.01.2020"/>
    <s v="05.01.2020"/>
    <d v="1899-12-30T20:30:00"/>
    <d v="1899-12-30T21:00:00"/>
    <x v="280"/>
    <n v="10049461"/>
    <s v="PI-TH-7151-FA-F1-FP"/>
    <s v="ทำความสะอาดแล้ว"/>
  </r>
  <r>
    <m/>
    <n v="3120252"/>
    <s v="12.01.2020"/>
    <n v="1"/>
    <s v="PRO001"/>
    <x v="11"/>
    <n v="30"/>
    <s v="MIN"/>
    <n v="0.5"/>
    <x v="0"/>
    <s v="05.01.2020"/>
    <s v="06.01.2020"/>
    <d v="1899-12-30T23:00:00"/>
    <d v="1899-12-30T23:30:00"/>
    <x v="120"/>
    <n v="10049578"/>
    <s v="PI-TH-7151-FA-F1-ST"/>
    <s v="อัดจารบีพร้อมทำความสะอาด"/>
  </r>
  <r>
    <m/>
    <n v="3120259"/>
    <s v="12.01.2020"/>
    <n v="1"/>
    <s v="PRO001"/>
    <x v="11"/>
    <n v="30"/>
    <s v="MIN"/>
    <n v="0.5"/>
    <x v="0"/>
    <s v="05.01.2020"/>
    <s v="06.01.2020"/>
    <d v="1899-12-30T23:30:00"/>
    <d v="1899-12-30T00:00:00"/>
    <x v="281"/>
    <n v="10049565"/>
    <s v="PI-TH-7151-FA-F1-ST"/>
    <s v="อัดจารบีพร้อมทำความสะอาด"/>
  </r>
  <r>
    <m/>
    <n v="3120261"/>
    <s v="12.01.2020"/>
    <n v="1"/>
    <s v="PRO001"/>
    <x v="11"/>
    <n v="30"/>
    <s v="MIN"/>
    <n v="0.5"/>
    <x v="0"/>
    <s v="05.01.2020"/>
    <s v="06.01.2020"/>
    <d v="1899-12-30T00:00:00"/>
    <d v="1899-12-30T00:30:00"/>
    <x v="121"/>
    <n v="10051174"/>
    <s v="PI-TH-7151-FA-F1-ST"/>
    <s v="อัดจารบีพร้อมทำความสะอาด"/>
  </r>
  <r>
    <m/>
    <n v="3122020"/>
    <s v="12.01.2020"/>
    <n v="1"/>
    <s v="PRO001"/>
    <x v="11"/>
    <n v="30"/>
    <s v="MIN"/>
    <n v="0.5"/>
    <x v="0"/>
    <s v="05.01.2020"/>
    <s v="05.01.2020"/>
    <d v="1899-12-30T20:00:00"/>
    <d v="1899-12-30T20:30:00"/>
    <x v="282"/>
    <n v="10051555"/>
    <s v="PI-TH-7151-FA-F1-FP"/>
    <s v="อัดจารบี Bearing ปกติดี"/>
  </r>
  <r>
    <m/>
    <n v="3122122"/>
    <s v="12.01.2020"/>
    <n v="1"/>
    <s v="PRO001"/>
    <x v="11"/>
    <n v="30"/>
    <s v="MIN"/>
    <n v="0.5"/>
    <x v="0"/>
    <s v="05.01.2020"/>
    <s v="05.01.2020"/>
    <d v="1899-12-30T20:00:00"/>
    <d v="1899-12-30T20:30:00"/>
    <x v="283"/>
    <n v="10049534"/>
    <s v="PI-TH-7151-FA-F1-ST"/>
    <s v="Back flush"/>
  </r>
  <r>
    <m/>
    <n v="3122723"/>
    <s v="12.01.2020"/>
    <n v="1"/>
    <s v="PRO001"/>
    <x v="11"/>
    <n v="30"/>
    <s v="MIN"/>
    <n v="0.5"/>
    <x v="0"/>
    <s v="05.01.2020"/>
    <s v="05.01.2020"/>
    <d v="1899-12-30T03:30:00"/>
    <d v="1899-12-30T04:00:00"/>
    <x v="284"/>
    <n v="10049589"/>
    <s v="PI-TH-7151-FA-F1-BC"/>
    <s v="สภาพปกติทั่วไปดี"/>
  </r>
  <r>
    <m/>
    <n v="3122724"/>
    <s v="12.01.2020"/>
    <n v="1"/>
    <s v="PRO001"/>
    <x v="11"/>
    <n v="30"/>
    <s v="MIN"/>
    <n v="0.5"/>
    <x v="0"/>
    <s v="05.01.2020"/>
    <s v="05.01.2020"/>
    <d v="1899-12-30T06:00:00"/>
    <d v="1899-12-30T06:30:00"/>
    <x v="285"/>
    <n v="10051224"/>
    <s v="PI-TH-7151-FA-F1-BC"/>
    <s v="สภาพปกติทั่วไปดี"/>
  </r>
  <r>
    <m/>
    <n v="3122728"/>
    <s v="12.01.2020"/>
    <n v="1"/>
    <s v="PRO001"/>
    <x v="11"/>
    <n v="30"/>
    <s v="MIN"/>
    <n v="0.5"/>
    <x v="0"/>
    <s v="05.01.2020"/>
    <s v="05.01.2020"/>
    <d v="1899-12-30T05:30:00"/>
    <d v="1899-12-30T06:00:00"/>
    <x v="286"/>
    <n v="10051224"/>
    <s v="PI-TH-7151-FA-F1-BC"/>
    <s v="อัดจารบีพร้อมทำความสะอาด"/>
  </r>
  <r>
    <m/>
    <n v="3122755"/>
    <s v="12.01.2020"/>
    <n v="1"/>
    <s v="PRO001"/>
    <x v="11"/>
    <n v="30"/>
    <s v="MIN"/>
    <n v="0.5"/>
    <x v="0"/>
    <s v="05.01.2020"/>
    <s v="05.01.2020"/>
    <d v="1899-12-30T04:00:00"/>
    <d v="1899-12-30T04:30:00"/>
    <x v="287"/>
    <n v="10049589"/>
    <s v="PI-TH-7151-FA-F1-BC"/>
    <s v="สภาพปกติทั่วไปดี"/>
  </r>
  <r>
    <m/>
    <n v="3122758"/>
    <s v="12.01.2020"/>
    <n v="1"/>
    <s v="PRO001"/>
    <x v="11"/>
    <n v="30"/>
    <s v="MIN"/>
    <n v="0.5"/>
    <x v="0"/>
    <s v="05.01.2020"/>
    <s v="05.01.2020"/>
    <d v="1899-12-30T01:30:00"/>
    <d v="1899-12-30T02:00:00"/>
    <x v="288"/>
    <n v="10049589"/>
    <s v="PI-TH-7151-FA-F1-BC"/>
    <s v="ทำความสะอาดแล้ว"/>
  </r>
  <r>
    <m/>
    <n v="3122769"/>
    <s v="12.01.2020"/>
    <n v="1"/>
    <s v="PRO001"/>
    <x v="11"/>
    <n v="30"/>
    <s v="MIN"/>
    <n v="0.5"/>
    <x v="0"/>
    <s v="05.01.2020"/>
    <s v="05.01.2020"/>
    <d v="1899-12-30T02:00:00"/>
    <d v="1899-12-30T02:30:00"/>
    <x v="289"/>
    <n v="10049589"/>
    <s v="PI-TH-7151-FA-F1-BC"/>
    <s v="สภาพปกติทั่วไป/ไม่รั่วเพราะไม่ได้ใช้งาน"/>
  </r>
  <r>
    <m/>
    <n v="3122770"/>
    <s v="12.01.2020"/>
    <n v="1"/>
    <s v="PRO001"/>
    <x v="11"/>
    <n v="30"/>
    <s v="MIN"/>
    <n v="0.5"/>
    <x v="0"/>
    <s v="05.01.2020"/>
    <s v="05.01.2020"/>
    <d v="1899-12-30T01:00:00"/>
    <d v="1899-12-30T01:30:00"/>
    <x v="290"/>
    <n v="10049589"/>
    <s v="PI-TH-7151-FA-F1-BC"/>
    <s v="Back flush"/>
  </r>
  <r>
    <m/>
    <n v="3122771"/>
    <s v="12.01.2020"/>
    <n v="1"/>
    <s v="PRO001"/>
    <x v="11"/>
    <n v="30"/>
    <s v="MIN"/>
    <n v="0.5"/>
    <x v="0"/>
    <s v="05.01.2020"/>
    <s v="05.01.2020"/>
    <d v="1899-12-30T05:00:00"/>
    <d v="1899-12-30T05:30:00"/>
    <x v="122"/>
    <n v="10049604"/>
    <s v="PI-TH-7151-FA-F1-BC"/>
    <s v="อัดจารบีพร้อมทำความสะอาด"/>
  </r>
  <r>
    <m/>
    <n v="3122777"/>
    <s v="12.01.2020"/>
    <n v="1"/>
    <s v="PRO001"/>
    <x v="11"/>
    <n v="30"/>
    <s v="MIN"/>
    <n v="0.5"/>
    <x v="0"/>
    <s v="05.01.2020"/>
    <s v="05.01.2020"/>
    <d v="1899-12-30T04:30:00"/>
    <d v="1899-12-30T05:00:00"/>
    <x v="291"/>
    <n v="10049589"/>
    <s v="PI-TH-7151-FA-F1-BC"/>
    <s v="อัดจารบีพร้อมทำความสะอาด"/>
  </r>
  <r>
    <m/>
    <n v="3122778"/>
    <s v="12.01.2020"/>
    <n v="1"/>
    <s v="PRO001"/>
    <x v="11"/>
    <n v="30"/>
    <s v="MIN"/>
    <n v="0.5"/>
    <x v="0"/>
    <s v="05.01.2020"/>
    <s v="05.01.2020"/>
    <d v="1899-12-30T06:30:00"/>
    <d v="1899-12-30T07:00:00"/>
    <x v="123"/>
    <n v="10051230"/>
    <s v="PI-TH-7151-FA-F1-BC"/>
    <s v="อัดจารบีพร้อมทำความสะอาด"/>
  </r>
  <r>
    <m/>
    <n v="3122779"/>
    <s v="12.01.2020"/>
    <n v="1"/>
    <s v="PRO001"/>
    <x v="11"/>
    <n v="15"/>
    <s v="MIN"/>
    <n v="0.25"/>
    <x v="0"/>
    <s v="05.01.2020"/>
    <s v="05.01.2020"/>
    <d v="1899-12-30T02:45:00"/>
    <d v="1899-12-30T03:00:00"/>
    <x v="124"/>
    <n v="10049598"/>
    <s v="PI-TH-7151-FA-F1-BC"/>
    <s v="ทำความสะอาดแล้ว"/>
  </r>
  <r>
    <m/>
    <n v="3122780"/>
    <s v="12.01.2020"/>
    <n v="1"/>
    <s v="PRO001"/>
    <x v="11"/>
    <n v="30"/>
    <s v="MIN"/>
    <n v="0.5"/>
    <x v="0"/>
    <s v="05.01.2020"/>
    <s v="05.01.2020"/>
    <d v="1899-12-30T03:00:00"/>
    <d v="1899-12-30T03:30:00"/>
    <x v="292"/>
    <n v="10049604"/>
    <s v="PI-TH-7151-FA-F1-BC"/>
    <s v="สภาพปกติทั่วไปดี"/>
  </r>
  <r>
    <m/>
    <n v="3122786"/>
    <s v="12.01.2020"/>
    <n v="1"/>
    <s v="PRO001"/>
    <x v="11"/>
    <n v="15"/>
    <s v="MIN"/>
    <n v="0.25"/>
    <x v="0"/>
    <s v="05.01.2020"/>
    <s v="05.01.2020"/>
    <d v="1899-12-30T02:30:00"/>
    <d v="1899-12-30T02:45:00"/>
    <x v="293"/>
    <n v="10049589"/>
    <s v="PI-TH-7151-FA-F1-BC"/>
    <s v="อัดจารบีพร้อมทำความสะอาด"/>
  </r>
  <r>
    <m/>
    <n v="3120227"/>
    <s v="12.01.2020"/>
    <n v="1"/>
    <s v="PRO001"/>
    <x v="11"/>
    <n v="30"/>
    <s v="MIN"/>
    <n v="0.5"/>
    <x v="0"/>
    <s v="06.01.2020"/>
    <s v="07.01.2020"/>
    <d v="1899-12-30T00:30:00"/>
    <d v="1899-12-30T01:00:00"/>
    <x v="125"/>
    <n v="10049451"/>
    <s v="PI-TH-7151-FA-F1-FP"/>
    <s v="อัดจารบีพร้อมทำความสะอาด"/>
  </r>
  <r>
    <m/>
    <n v="3120234"/>
    <s v="12.01.2020"/>
    <n v="2"/>
    <s v="PRO001"/>
    <x v="11"/>
    <n v="30"/>
    <s v="MIN"/>
    <n v="0.5"/>
    <x v="0"/>
    <s v="06.01.2020"/>
    <s v="07.01.2020"/>
    <d v="1899-12-30T00:00:00"/>
    <d v="1899-12-30T00:30:00"/>
    <x v="126"/>
    <n v="10051541"/>
    <s v="PI-TH-7151-FA-F1-FP"/>
    <s v="สภาพปกติทั่วไป"/>
  </r>
  <r>
    <m/>
    <n v="3119982"/>
    <s v="12.01.2020"/>
    <n v="1"/>
    <s v="PRO001"/>
    <x v="11"/>
    <n v="30"/>
    <s v="MIN"/>
    <n v="0.5"/>
    <x v="0"/>
    <s v="07.01.2020"/>
    <s v="07.01.2020"/>
    <d v="1899-12-30T06:00:00"/>
    <d v="1899-12-30T06:30:00"/>
    <x v="127"/>
    <n v="10051555"/>
    <s v="PI-TH-7151-FA-F1-FP"/>
    <m/>
  </r>
  <r>
    <m/>
    <n v="3119985"/>
    <s v="12.01.2020"/>
    <n v="1"/>
    <s v="PRO001"/>
    <x v="11"/>
    <n v="15"/>
    <s v="MIN"/>
    <n v="0.25"/>
    <x v="0"/>
    <s v="07.01.2020"/>
    <s v="07.01.2020"/>
    <d v="1899-12-30T01:00:00"/>
    <d v="1899-12-30T01:15:00"/>
    <x v="294"/>
    <n v="10049451"/>
    <s v="PI-TH-7151-FA-F1-FP"/>
    <s v="ระดับปกติดี"/>
  </r>
  <r>
    <m/>
    <n v="3119986"/>
    <s v="12.01.2020"/>
    <n v="1"/>
    <s v="PRO001"/>
    <x v="11"/>
    <n v="30"/>
    <s v="MIN"/>
    <n v="0.5"/>
    <x v="0"/>
    <s v="07.01.2020"/>
    <s v="07.01.2020"/>
    <d v="1899-12-30T02:00:00"/>
    <d v="1899-12-30T02:30:00"/>
    <x v="295"/>
    <n v="10049461"/>
    <s v="PI-TH-7151-FA-F1-FP"/>
    <s v="สภาพปกติทั่วไปดี"/>
  </r>
  <r>
    <m/>
    <n v="3119987"/>
    <s v="12.01.2020"/>
    <n v="1"/>
    <s v="PRO001"/>
    <x v="11"/>
    <n v="30"/>
    <s v="MIN"/>
    <n v="0.5"/>
    <x v="0"/>
    <s v="07.01.2020"/>
    <s v="07.01.2020"/>
    <d v="1899-12-30T02:30:00"/>
    <d v="1899-12-30T03:00:00"/>
    <x v="128"/>
    <n v="10049461"/>
    <s v="PI-TH-7151-FA-F1-FP"/>
    <s v="อัดจารบีพร้อมทำความสะอาด"/>
  </r>
  <r>
    <m/>
    <n v="3120216"/>
    <s v="12.01.2020"/>
    <n v="1"/>
    <s v="PRO001"/>
    <x v="11"/>
    <n v="30"/>
    <s v="MIN"/>
    <n v="0.5"/>
    <x v="0"/>
    <s v="07.01.2020"/>
    <s v="07.01.2020"/>
    <d v="1899-12-30T06:30:00"/>
    <d v="1899-12-30T07:00:00"/>
    <x v="296"/>
    <n v="10051555"/>
    <s v="PI-TH-7151-FA-F1-FP"/>
    <s v="สภาพปกติทั่วไปดี"/>
  </r>
  <r>
    <m/>
    <n v="3122115"/>
    <s v="16.01.2020"/>
    <n v="1"/>
    <s v="PRO001"/>
    <x v="11"/>
    <n v="30"/>
    <s v="MIN"/>
    <n v="0.5"/>
    <x v="0"/>
    <s v="09.01.2020"/>
    <s v="09.01.2020"/>
    <d v="1899-12-30T20:30:00"/>
    <d v="1899-12-30T22:00:00"/>
    <x v="129"/>
    <n v="10051759"/>
    <s v="PI-TH-7151-FA-F1-ST"/>
    <s v="เปลี่ยนประเก็นเชือก SSN"/>
  </r>
  <r>
    <m/>
    <n v="3123101"/>
    <s v="16.01.2020"/>
    <n v="1"/>
    <s v="PRO001"/>
    <x v="11"/>
    <n v="30"/>
    <s v="MIN"/>
    <n v="0.5"/>
    <x v="0"/>
    <s v="09.01.2020"/>
    <s v="09.01.2020"/>
    <d v="1899-12-30T23:00:00"/>
    <d v="1899-12-30T23:30:00"/>
    <x v="130"/>
    <n v="10049565"/>
    <s v="PI-TH-7151-FA-F1-ST"/>
    <s v="ตรวจสอบสภาพทั่วไป"/>
  </r>
  <r>
    <m/>
    <n v="3123138"/>
    <s v="16.01.2020"/>
    <n v="1"/>
    <s v="PRO001"/>
    <x v="11"/>
    <n v="30"/>
    <s v="MIN"/>
    <n v="0.5"/>
    <x v="0"/>
    <s v="09.01.2020"/>
    <s v="09.01.2020"/>
    <d v="1899-12-30T23:00:00"/>
    <d v="1899-12-30T23:30:00"/>
    <x v="131"/>
    <n v="10051747"/>
    <s v="PI-TH-7151-FA-F1-ST"/>
    <s v="ตรวจเช็คค่า ของนำมันเกียร์"/>
  </r>
  <r>
    <m/>
    <n v="3132720"/>
    <s v="16.01.2020"/>
    <n v="1"/>
    <s v="PRO001"/>
    <x v="11"/>
    <n v="30"/>
    <s v="MIN"/>
    <n v="0.5"/>
    <x v="0"/>
    <s v="09.01.2020"/>
    <s v="09.01.2020"/>
    <d v="1899-12-30T22:00:00"/>
    <d v="1899-12-30T22:30:00"/>
    <x v="132"/>
    <n v="10049534"/>
    <s v="PI-TH-7151-FA-F1-ST"/>
    <s v="ทำการ Back Flush แล้ว"/>
  </r>
  <r>
    <m/>
    <n v="3132721"/>
    <s v="16.01.2020"/>
    <n v="1"/>
    <s v="PRO001"/>
    <x v="11"/>
    <n v="30"/>
    <s v="MIN"/>
    <n v="0.5"/>
    <x v="0"/>
    <s v="09.01.2020"/>
    <s v="09.01.2020"/>
    <d v="1899-12-30T22:30:00"/>
    <d v="1899-12-30T23:00:00"/>
    <x v="133"/>
    <n v="10049534"/>
    <s v="PI-TH-7151-FA-F1-ST"/>
    <s v="ตรวจเช็คค่า Conductivity"/>
  </r>
  <r>
    <m/>
    <n v="3120190"/>
    <s v="14.01.2020"/>
    <n v="1"/>
    <s v="PRO001"/>
    <x v="11"/>
    <n v="30"/>
    <s v="MIN"/>
    <n v="0.5"/>
    <x v="0"/>
    <s v="10.01.2020"/>
    <s v="10.01.2020"/>
    <d v="1899-12-30T20:30:00"/>
    <d v="1899-12-30T21:00:00"/>
    <x v="136"/>
    <n v="10051541"/>
    <s v="PI-TH-7151-FA-F1-FP"/>
    <s v="อัดจารบีแล้สเปลี่ยน Bearing ปกติดี"/>
  </r>
  <r>
    <m/>
    <n v="3122002"/>
    <s v="14.01.2020"/>
    <n v="1"/>
    <s v="PRO001"/>
    <x v="11"/>
    <n v="30"/>
    <s v="MIN"/>
    <n v="0.5"/>
    <x v="0"/>
    <s v="10.01.2020"/>
    <s v="10.01.2020"/>
    <d v="1899-12-30T00:30:00"/>
    <d v="1899-12-30T01:30:00"/>
    <x v="297"/>
    <n v="10051581"/>
    <s v="PI-TH-7151-FA-F1-FP"/>
    <s v="สภาพปกติทั่วไปดี"/>
  </r>
  <r>
    <m/>
    <n v="3122006"/>
    <s v="14.01.2020"/>
    <n v="1"/>
    <s v="PRO001"/>
    <x v="11"/>
    <n v="30"/>
    <s v="MIN"/>
    <n v="0.5"/>
    <x v="0"/>
    <s v="10.01.2020"/>
    <s v="10.01.2020"/>
    <d v="1899-12-30T21:30:00"/>
    <d v="1899-12-30T22:00:00"/>
    <x v="137"/>
    <n v="10051548"/>
    <s v="PI-TH-7151-FA-F1-FP"/>
    <s v="อัดจารบีแล้สเปลี่ยน Bearing ปกติดี"/>
  </r>
  <r>
    <m/>
    <n v="3122019"/>
    <s v="14.01.2020"/>
    <n v="1"/>
    <s v="PRO001"/>
    <x v="11"/>
    <n v="30"/>
    <s v="MIN"/>
    <n v="0.5"/>
    <x v="0"/>
    <s v="10.01.2020"/>
    <s v="10.01.2020"/>
    <d v="1899-12-30T22:00:00"/>
    <d v="1899-12-30T22:30:00"/>
    <x v="298"/>
    <n v="10049465"/>
    <s v="PI-TH-7151-FA-F1-FP"/>
    <s v="Stroke ปกติดี"/>
  </r>
  <r>
    <m/>
    <n v="3122739"/>
    <s v="14.01.2020"/>
    <n v="1"/>
    <s v="PRO001"/>
    <x v="11"/>
    <n v="30"/>
    <s v="MIN"/>
    <n v="0.5"/>
    <x v="0"/>
    <s v="10.01.2020"/>
    <s v="10.01.2020"/>
    <d v="1899-12-30T21:00:00"/>
    <d v="1899-12-30T21:30:00"/>
    <x v="299"/>
    <n v="10051541"/>
    <s v="PI-TH-7151-FA-F1-FP"/>
    <s v="สภาพปกติทั่วไปดี"/>
  </r>
  <r>
    <m/>
    <n v="3123118"/>
    <s v="16.01.2020"/>
    <n v="1"/>
    <s v="PRO001"/>
    <x v="11"/>
    <n v="30"/>
    <s v="MIN"/>
    <n v="0.5"/>
    <x v="0"/>
    <s v="10.01.2020"/>
    <s v="10.01.2020"/>
    <d v="1899-12-30T00:00:00"/>
    <d v="1899-12-30T00:30:00"/>
    <x v="134"/>
    <n v="10049578"/>
    <s v="PI-TH-7151-FA-F1-ST"/>
    <s v="ตรวจสอบสภาพทั่วไป"/>
  </r>
  <r>
    <m/>
    <n v="3123143"/>
    <s v="16.01.2020"/>
    <n v="1"/>
    <s v="PRO001"/>
    <x v="11"/>
    <n v="30"/>
    <s v="MIN"/>
    <n v="0.5"/>
    <x v="0"/>
    <s v="10.01.2020"/>
    <s v="10.01.2020"/>
    <d v="1899-12-30T00:30:00"/>
    <d v="1899-12-30T01:00:00"/>
    <x v="135"/>
    <n v="10051174"/>
    <s v="PI-TH-7151-FA-F1-ST"/>
    <s v="ตรวจสอบสภาพทั่วไป"/>
  </r>
  <r>
    <m/>
    <n v="3120241"/>
    <s v="16.01.2020"/>
    <n v="3"/>
    <s v="PRO001"/>
    <x v="11"/>
    <n v="240"/>
    <s v="MIN"/>
    <n v="4"/>
    <x v="0"/>
    <s v="11.01.2020"/>
    <s v="11.01.2020"/>
    <d v="1899-12-30T09:00:00"/>
    <d v="1899-12-30T12:00:00"/>
    <x v="300"/>
    <n v="10051396"/>
    <s v="PI-TH-7151-FA-F1-P1"/>
    <s v="เปลี่ยนสายพาน Kromasort"/>
  </r>
  <r>
    <m/>
    <n v="3120188"/>
    <s v="14.01.2020"/>
    <n v="1"/>
    <s v="PRO001"/>
    <x v="11"/>
    <n v="30"/>
    <s v="MIN"/>
    <n v="0.5"/>
    <x v="0"/>
    <s v="11.01.2020"/>
    <s v="11.01.2020"/>
    <d v="1899-12-30T01:30:00"/>
    <d v="1899-12-30T02:00:00"/>
    <x v="301"/>
    <n v="10051218"/>
    <s v="PI-TH-7151-FA-F1-BC"/>
    <s v="สภาพปกติทั่วไปดี"/>
  </r>
  <r>
    <m/>
    <n v="3122021"/>
    <s v="14.01.2020"/>
    <n v="1"/>
    <s v="PRO001"/>
    <x v="11"/>
    <n v="30"/>
    <s v="MIN"/>
    <n v="0.5"/>
    <x v="0"/>
    <s v="11.01.2020"/>
    <s v="11.01.2020"/>
    <d v="1899-12-30T00:00:00"/>
    <d v="1899-12-30T00:30:00"/>
    <x v="302"/>
    <n v="10051581"/>
    <s v="PI-TH-7151-FA-F1-FP"/>
    <s v="อัดจารบี+ทำความสะอาด"/>
  </r>
  <r>
    <m/>
    <n v="3122798"/>
    <s v="13.01.2020"/>
    <n v="1"/>
    <s v="PRO001"/>
    <x v="11"/>
    <n v="60"/>
    <s v="MIN"/>
    <n v="1"/>
    <x v="0"/>
    <s v="11.01.2020"/>
    <s v="11.01.2020"/>
    <d v="1899-12-30T15:00:00"/>
    <d v="1899-12-30T16:00:00"/>
    <x v="303"/>
    <n v="10051704"/>
    <s v="PI-TH-7151-FA-F1-ST"/>
    <s v="ทำความสะอาด"/>
  </r>
  <r>
    <m/>
    <n v="3120190"/>
    <s v="20.01.2020"/>
    <n v="2"/>
    <s v="PRO001"/>
    <x v="11"/>
    <n v="30"/>
    <s v="MIN"/>
    <n v="0.5"/>
    <x v="0"/>
    <s v="13.01.2020"/>
    <s v="13.01.2020"/>
    <d v="1899-12-30T13:00:00"/>
    <d v="1899-12-30T13:30:00"/>
    <x v="136"/>
    <n v="10051541"/>
    <s v="PI-TH-7151-FA-F1-FP"/>
    <s v="อัดจารบี"/>
  </r>
  <r>
    <m/>
    <n v="3122006"/>
    <s v="20.01.2020"/>
    <n v="2"/>
    <s v="PRO001"/>
    <x v="11"/>
    <n v="30"/>
    <s v="MIN"/>
    <n v="0.5"/>
    <x v="0"/>
    <s v="14.01.2020"/>
    <s v="14.01.2020"/>
    <d v="1899-12-30T14:30:00"/>
    <d v="1899-12-30T15:00:00"/>
    <x v="137"/>
    <n v="10051548"/>
    <s v="PI-TH-7151-FA-F1-FP"/>
    <s v="อัดจารบี"/>
  </r>
  <r>
    <m/>
    <n v="3134178"/>
    <s v="20.01.2020"/>
    <n v="1"/>
    <s v="PRO001"/>
    <x v="11"/>
    <n v="30"/>
    <s v="MIN"/>
    <n v="0.5"/>
    <x v="0"/>
    <s v="14.01.2020"/>
    <s v="14.01.2020"/>
    <d v="1899-12-30T15:00:00"/>
    <d v="1899-12-30T15:30:00"/>
    <x v="304"/>
    <n v="10049465"/>
    <s v="PI-TH-7151-FA-F1-FP"/>
    <s v="ไม่มีรอยรั่ว"/>
  </r>
  <r>
    <m/>
    <n v="3134236"/>
    <s v="20.01.2020"/>
    <n v="1"/>
    <s v="PRO001"/>
    <x v="11"/>
    <n v="30"/>
    <s v="MIN"/>
    <n v="0.5"/>
    <x v="0"/>
    <s v="14.01.2020"/>
    <s v="14.01.2020"/>
    <d v="1899-12-30T14:30:00"/>
    <d v="1899-12-30T15:00:00"/>
    <x v="138"/>
    <n v="10051548"/>
    <s v="PI-TH-7151-FA-F1-FP"/>
    <s v="ตรวจเช็คสภาพความสึกหรอ"/>
  </r>
  <r>
    <m/>
    <n v="3134248"/>
    <s v="20.01.2020"/>
    <n v="2"/>
    <s v="PRO001"/>
    <x v="11"/>
    <n v="30"/>
    <s v="MIN"/>
    <n v="0.5"/>
    <x v="0"/>
    <s v="14.01.2020"/>
    <s v="14.01.2020"/>
    <d v="1899-12-30T13:30:00"/>
    <d v="1899-12-30T14:00:00"/>
    <x v="139"/>
    <n v="10051541"/>
    <s v="PI-TH-7151-FA-F1-FP"/>
    <s v="ตรวจเช็คสภาพความสึกหรอ"/>
  </r>
  <r>
    <m/>
    <n v="3134106"/>
    <s v="20.01.2020"/>
    <n v="1"/>
    <s v="PRO001"/>
    <x v="11"/>
    <n v="30"/>
    <s v="MIN"/>
    <n v="0.5"/>
    <x v="0"/>
    <s v="16.01.2020"/>
    <s v="16.01.2020"/>
    <d v="1899-12-30T16:30:00"/>
    <d v="1899-12-30T17:00:00"/>
    <x v="140"/>
    <n v="10049657"/>
    <s v="PI-TH-7151-FA-F1-SC"/>
    <s v="ตรวจเช็คสายพาน"/>
  </r>
  <r>
    <m/>
    <n v="3134249"/>
    <s v="20.01.2020"/>
    <n v="1"/>
    <s v="PRO001"/>
    <x v="11"/>
    <n v="30"/>
    <s v="MIN"/>
    <n v="0.5"/>
    <x v="0"/>
    <s v="16.01.2020"/>
    <s v="16.01.2020"/>
    <d v="1899-12-30T09:30:00"/>
    <d v="1899-12-30T10:00:00"/>
    <x v="141"/>
    <n v="10049640"/>
    <s v="PI-TH-7151-FA-F1-SC"/>
    <s v="ตรวจสอบการรั่วของแป้ง"/>
  </r>
  <r>
    <m/>
    <n v="3134251"/>
    <s v="20.01.2020"/>
    <n v="1"/>
    <s v="PRO001"/>
    <x v="11"/>
    <n v="30"/>
    <s v="MIN"/>
    <n v="0.5"/>
    <x v="0"/>
    <s v="16.01.2020"/>
    <s v="16.01.2020"/>
    <d v="1899-12-30T16:00:00"/>
    <d v="1899-12-30T16:30:00"/>
    <x v="142"/>
    <n v="10049657"/>
    <s v="PI-TH-7151-FA-F1-SC"/>
    <s v="ทำความสะอาด/เป่า"/>
  </r>
  <r>
    <m/>
    <n v="3137174"/>
    <s v="20.01.2020"/>
    <n v="1"/>
    <s v="PRO001"/>
    <x v="11"/>
    <n v="30"/>
    <s v="MIN"/>
    <n v="0.5"/>
    <x v="0"/>
    <s v="16.01.2020"/>
    <s v="16.01.2020"/>
    <d v="1899-12-30T16:30:00"/>
    <d v="1899-12-30T17:00:00"/>
    <x v="143"/>
    <n v="10049640"/>
    <s v="PI-TH-7151-FA-F1-SC"/>
    <s v="อัดจารบีพร้อมทำความสะอาด"/>
  </r>
  <r>
    <m/>
    <n v="3134258"/>
    <s v="20.01.2020"/>
    <n v="1"/>
    <s v="PRO001"/>
    <x v="11"/>
    <n v="30"/>
    <s v="MIN"/>
    <n v="0.5"/>
    <x v="0"/>
    <s v="17.01.2020"/>
    <s v="17.01.2020"/>
    <d v="1899-12-30T17:30:00"/>
    <d v="1899-12-30T18:00:00"/>
    <x v="305"/>
    <n v="10051738"/>
    <s v="PI-TH-7151-FA-F1-ST"/>
    <s v="ตรวจเช็คสายพานพร้อมปรับตั้ง"/>
  </r>
  <r>
    <m/>
    <n v="3134259"/>
    <s v="20.01.2020"/>
    <n v="1"/>
    <s v="PRO001"/>
    <x v="11"/>
    <n v="30"/>
    <s v="MIN"/>
    <n v="0.5"/>
    <x v="0"/>
    <s v="17.01.2020"/>
    <s v="17.01.2020"/>
    <d v="1899-12-30T11:00:00"/>
    <d v="1899-12-30T11:30:00"/>
    <x v="144"/>
    <n v="10051759"/>
    <s v="PI-TH-7151-FA-F1-ST"/>
    <s v="อัดจารบี"/>
  </r>
  <r>
    <m/>
    <n v="3134271"/>
    <s v="20.01.2020"/>
    <n v="1"/>
    <s v="PRO001"/>
    <x v="11"/>
    <n v="30"/>
    <s v="MIN"/>
    <n v="0.5"/>
    <x v="0"/>
    <s v="17.01.2020"/>
    <s v="17.01.2020"/>
    <d v="1899-12-30T10:30:00"/>
    <d v="1899-12-30T11:00:00"/>
    <x v="145"/>
    <n v="10049534"/>
    <s v="PI-TH-7151-FA-F1-ST"/>
    <s v="ตรวจสอบการรั่วซึมของข้อต่อ"/>
  </r>
  <r>
    <m/>
    <n v="3134275"/>
    <s v="20.01.2020"/>
    <n v="1"/>
    <s v="PRO001"/>
    <x v="11"/>
    <n v="60"/>
    <s v="MIN"/>
    <n v="1"/>
    <x v="0"/>
    <s v="17.01.2020"/>
    <s v="17.01.2020"/>
    <d v="1899-12-30T13:00:00"/>
    <d v="1899-12-30T14:00:00"/>
    <x v="146"/>
    <n v="10051747"/>
    <s v="PI-TH-7151-FA-F1-ST"/>
    <s v="อัดจารบี"/>
  </r>
  <r>
    <m/>
    <n v="3134277"/>
    <s v="20.01.2020"/>
    <n v="1"/>
    <s v="PRO001"/>
    <x v="11"/>
    <n v="30"/>
    <s v="MIN"/>
    <n v="0.5"/>
    <x v="0"/>
    <s v="17.01.2020"/>
    <s v="17.01.2020"/>
    <d v="1899-12-30T10:00:00"/>
    <d v="1899-12-30T10:30:00"/>
    <x v="147"/>
    <n v="10049534"/>
    <s v="PI-TH-7151-FA-F1-ST"/>
    <s v="ทำความสะอาด Water filter ขนาด 5 mc."/>
  </r>
  <r>
    <m/>
    <n v="3134278"/>
    <s v="20.01.2020"/>
    <n v="1"/>
    <s v="PRO001"/>
    <x v="11"/>
    <n v="30"/>
    <s v="MIN"/>
    <n v="0.5"/>
    <x v="0"/>
    <s v="17.01.2020"/>
    <s v="17.01.2020"/>
    <d v="1899-12-30T08:30:00"/>
    <d v="1899-12-30T09:00:00"/>
    <x v="306"/>
    <n v="10051738"/>
    <s v="PI-TH-7151-FA-F1-ST"/>
    <s v="ตรวจเช็คสายพาน"/>
  </r>
  <r>
    <m/>
    <n v="3134298"/>
    <s v="20.01.2020"/>
    <n v="1"/>
    <s v="PRO001"/>
    <x v="11"/>
    <n v="30"/>
    <s v="MIN"/>
    <n v="0.5"/>
    <x v="0"/>
    <s v="17.01.2020"/>
    <s v="17.01.2020"/>
    <d v="1899-12-30T09:00:00"/>
    <d v="1899-12-30T09:30:00"/>
    <x v="307"/>
    <n v="10051738"/>
    <s v="PI-TH-7151-FA-F1-ST"/>
    <s v="อัดจารบี"/>
  </r>
  <r>
    <m/>
    <n v="3134304"/>
    <s v="20.01.2020"/>
    <n v="1"/>
    <s v="PRO001"/>
    <x v="11"/>
    <n v="30"/>
    <s v="MIN"/>
    <n v="0.5"/>
    <x v="0"/>
    <s v="17.01.2020"/>
    <s v="17.01.2020"/>
    <d v="1899-12-30T11:30:00"/>
    <d v="1899-12-30T12:00:00"/>
    <x v="308"/>
    <n v="10051759"/>
    <s v="PI-TH-7151-FA-F1-ST"/>
    <s v="ตรวจเช็คสภาพความสึกหรอ"/>
  </r>
  <r>
    <m/>
    <n v="3134311"/>
    <s v="20.01.2020"/>
    <n v="1"/>
    <s v="PRO001"/>
    <x v="11"/>
    <n v="30"/>
    <s v="MIN"/>
    <n v="0.5"/>
    <x v="0"/>
    <s v="17.01.2020"/>
    <s v="17.01.2020"/>
    <d v="1899-12-30T13:00:00"/>
    <d v="1899-12-30T13:30:00"/>
    <x v="309"/>
    <n v="10051747"/>
    <s v="PI-TH-7151-FA-F1-ST"/>
    <s v="ตรวจวัดค่า Vibration main oil pump."/>
  </r>
  <r>
    <m/>
    <n v="3137646"/>
    <s v="20.01.2020"/>
    <n v="1"/>
    <s v="PRO001"/>
    <x v="11"/>
    <n v="30"/>
    <s v="MIN"/>
    <n v="0.5"/>
    <x v="0"/>
    <s v="17.01.2020"/>
    <s v="17.01.2020"/>
    <d v="1899-12-30T09:00:00"/>
    <d v="1899-12-30T09:30:00"/>
    <x v="148"/>
    <n v="10049534"/>
    <s v="PI-TH-7151-FA-F1-ST"/>
    <s v="ทำความสะอาดถังกรองคาร์บอน"/>
  </r>
  <r>
    <m/>
    <n v="3137647"/>
    <s v="20.01.2020"/>
    <n v="1"/>
    <s v="PRO001"/>
    <x v="11"/>
    <n v="30"/>
    <s v="MIN"/>
    <n v="0.5"/>
    <x v="0"/>
    <s v="17.01.2020"/>
    <s v="17.01.2020"/>
    <d v="1899-12-30T09:30:00"/>
    <d v="1899-12-30T10:00:00"/>
    <x v="310"/>
    <n v="10049534"/>
    <s v="PI-TH-7151-FA-F1-ST"/>
    <s v="ตรวจเช็คค่า Conductivity"/>
  </r>
  <r>
    <m/>
    <n v="3122045"/>
    <s v="20.01.2020"/>
    <n v="1"/>
    <s v="PRO001"/>
    <x v="11"/>
    <n v="120"/>
    <s v="MIN"/>
    <n v="2"/>
    <x v="0"/>
    <s v="18.01.2020"/>
    <s v="18.01.2020"/>
    <d v="1899-12-30T09:00:00"/>
    <d v="1899-12-30T11:00:00"/>
    <x v="311"/>
    <n v="10051541"/>
    <s v="PI-TH-7151-FA-F1-FP"/>
    <s v="เปลี่ยนชุดเกียร์ใหม่"/>
  </r>
  <r>
    <m/>
    <n v="3122045"/>
    <s v="20.01.2020"/>
    <n v="4"/>
    <s v="PRO001"/>
    <x v="11"/>
    <n v="110"/>
    <s v="MIN"/>
    <n v="1.8333333333333333"/>
    <x v="0"/>
    <s v="18.01.2020"/>
    <s v="18.01.2020"/>
    <d v="1899-12-30T13:00:00"/>
    <d v="1899-12-30T13:45:00"/>
    <x v="311"/>
    <n v="10051541"/>
    <s v="PI-TH-7151-FA-F1-FP"/>
    <s v="เปลี่ยนชุดเกียร์ใหม่"/>
  </r>
  <r>
    <m/>
    <n v="3122054"/>
    <s v="13.01.2020"/>
    <n v="1"/>
    <s v="PAC002"/>
    <x v="12"/>
    <n v="10"/>
    <s v="MIN"/>
    <n v="0.16666666666666666"/>
    <x v="0"/>
    <s v="10.01.2020"/>
    <s v="10.01.2020"/>
    <d v="1899-12-30T11:00:00"/>
    <d v="1899-12-30T11:10:00"/>
    <x v="149"/>
    <n v="10067262"/>
    <s v="PI-TH-7151-FA-PK-05"/>
    <s v="ตรวจเช็คสภาพปกติทั่วไป"/>
  </r>
  <r>
    <m/>
    <n v="3122078"/>
    <s v="13.01.2020"/>
    <n v="1"/>
    <s v="PAC002"/>
    <x v="12"/>
    <n v="10"/>
    <s v="MIN"/>
    <n v="0.16666666666666666"/>
    <x v="0"/>
    <s v="10.01.2020"/>
    <s v="10.01.2020"/>
    <d v="1899-12-30T10:40:00"/>
    <d v="1899-12-30T10:50:00"/>
    <x v="150"/>
    <n v="10067260"/>
    <s v="PI-TH-7151-FA-PK-05"/>
    <s v="ตรวจเช็คสภาพปกติทั่วไป"/>
  </r>
  <r>
    <m/>
    <n v="3122079"/>
    <s v="13.01.2020"/>
    <n v="1"/>
    <s v="PAC002"/>
    <x v="12"/>
    <n v="10"/>
    <s v="MIN"/>
    <n v="0.16666666666666666"/>
    <x v="0"/>
    <s v="10.01.2020"/>
    <s v="10.01.2020"/>
    <d v="1899-12-30T10:50:00"/>
    <d v="1899-12-30T11:00:00"/>
    <x v="151"/>
    <n v="10067261"/>
    <s v="PI-TH-7151-FA-PK-05"/>
    <s v="ตรวจเช็คสภาพปกติทั่วไป"/>
  </r>
  <r>
    <m/>
    <n v="3110488"/>
    <s v="13.01.2020"/>
    <n v="1"/>
    <s v="PAC002"/>
    <x v="12"/>
    <n v="10"/>
    <s v="MIN"/>
    <n v="0.16666666666666666"/>
    <x v="0"/>
    <s v="11.01.2020"/>
    <s v="11.01.2020"/>
    <d v="1899-12-30T10:30:00"/>
    <d v="1899-12-30T10:40:00"/>
    <x v="152"/>
    <n v="10067260"/>
    <s v="PI-TH-7151-FA-PK-05"/>
    <s v="ตรวจเช็คสภาพปกติทั่วไป"/>
  </r>
  <r>
    <m/>
    <n v="3122070"/>
    <s v="13.01.2020"/>
    <n v="1"/>
    <s v="PAC002"/>
    <x v="12"/>
    <n v="10"/>
    <s v="MIN"/>
    <n v="0.16666666666666666"/>
    <x v="0"/>
    <s v="11.01.2020"/>
    <s v="11.01.2020"/>
    <d v="1899-12-30T12:00:00"/>
    <d v="1899-12-30T12:10:00"/>
    <x v="153"/>
    <n v="10055720"/>
    <s v="PI-TH-7151-FA-PK-05"/>
    <s v="ตรวจเช็คสภาพปกติทั่วไป"/>
  </r>
  <r>
    <m/>
    <n v="3122071"/>
    <s v="13.01.2020"/>
    <n v="1"/>
    <s v="PAC002"/>
    <x v="12"/>
    <n v="10"/>
    <s v="MIN"/>
    <n v="0.16666666666666666"/>
    <x v="0"/>
    <s v="11.01.2020"/>
    <s v="11.01.2020"/>
    <d v="1899-12-30T12:20:00"/>
    <d v="1899-12-30T12:30:00"/>
    <x v="154"/>
    <n v="10070390"/>
    <s v="PI-TH-7151-FA-PK-05"/>
    <s v="ตรวจเช็คสภาพปกติทั่วไป"/>
  </r>
  <r>
    <m/>
    <n v="3122075"/>
    <s v="13.01.2020"/>
    <n v="1"/>
    <s v="PAC002"/>
    <x v="12"/>
    <n v="10"/>
    <s v="MIN"/>
    <n v="0.16666666666666666"/>
    <x v="0"/>
    <s v="11.01.2020"/>
    <s v="11.01.2020"/>
    <d v="1899-12-30T11:20:00"/>
    <d v="1899-12-30T11:30:00"/>
    <x v="155"/>
    <n v="10049756"/>
    <s v="PI-TH-7151-FA-PK-05"/>
    <s v="ตรวจเช็คสภาพปกติทั่วไป"/>
  </r>
  <r>
    <m/>
    <n v="3122076"/>
    <s v="13.01.2020"/>
    <n v="1"/>
    <s v="PAC002"/>
    <x v="12"/>
    <n v="10"/>
    <s v="MIN"/>
    <n v="0.16666666666666666"/>
    <x v="0"/>
    <s v="11.01.2020"/>
    <s v="11.01.2020"/>
    <d v="1899-12-30T11:30:00"/>
    <d v="1899-12-30T11:40:00"/>
    <x v="156"/>
    <n v="10049758"/>
    <s v="PI-TH-7151-FA-PK-05"/>
    <s v="ตรวจเช็คสภาพปกติทั่วไป"/>
  </r>
  <r>
    <m/>
    <n v="3122102"/>
    <s v="13.01.2020"/>
    <n v="1"/>
    <s v="PAC002"/>
    <x v="12"/>
    <n v="10"/>
    <s v="MIN"/>
    <n v="0.16666666666666666"/>
    <x v="0"/>
    <s v="11.01.2020"/>
    <s v="11.01.2020"/>
    <d v="1899-12-30T12:00:00"/>
    <d v="1899-12-30T12:10:00"/>
    <x v="157"/>
    <n v="10055719"/>
    <s v="PI-TH-7151-FA-PK-05"/>
    <s v="ตรวจเช็คสภาพปกติทั่วไป"/>
  </r>
  <r>
    <m/>
    <n v="3122118"/>
    <s v="13.01.2020"/>
    <n v="1"/>
    <s v="PAC002"/>
    <x v="12"/>
    <n v="10"/>
    <s v="MIN"/>
    <n v="0.16666666666666666"/>
    <x v="0"/>
    <s v="11.01.2020"/>
    <s v="11.01.2020"/>
    <d v="1899-12-30T11:40:00"/>
    <d v="1899-12-30T11:50:00"/>
    <x v="158"/>
    <n v="10051506"/>
    <s v="PI-TH-7151-FA-PK-05"/>
    <s v="ตรวจเช็คสภาพปกติทั่วไป"/>
  </r>
  <r>
    <m/>
    <n v="3122119"/>
    <s v="13.01.2020"/>
    <n v="1"/>
    <s v="PAC002"/>
    <x v="12"/>
    <n v="10"/>
    <s v="MIN"/>
    <n v="0.16666666666666666"/>
    <x v="0"/>
    <s v="11.01.2020"/>
    <s v="11.01.2020"/>
    <d v="1899-12-30T11:10:00"/>
    <d v="1899-12-30T11:20:00"/>
    <x v="159"/>
    <n v="10049796"/>
    <s v="PI-TH-7151-FA-PK-05"/>
    <s v="ตรวจเช็คสภาพปกติทั่วไป"/>
  </r>
  <r>
    <m/>
    <n v="3122040"/>
    <s v="16.01.2020"/>
    <n v="1"/>
    <s v="PAC002"/>
    <x v="12"/>
    <n v="10"/>
    <s v="MIN"/>
    <n v="0.16666666666666666"/>
    <x v="0"/>
    <s v="15.01.2020"/>
    <s v="15.01.2020"/>
    <d v="1899-12-30T20:00:00"/>
    <d v="1899-12-30T20:10:00"/>
    <x v="160"/>
    <n v="10051200"/>
    <s v="PI-TH-7151-FA-PK-05"/>
    <s v="ทำการตรวจสอบ End seal bar"/>
  </r>
  <r>
    <m/>
    <n v="3122055"/>
    <s v="16.01.2020"/>
    <n v="1"/>
    <s v="PAC002"/>
    <x v="12"/>
    <n v="10"/>
    <s v="MIN"/>
    <n v="0.16666666666666666"/>
    <x v="0"/>
    <s v="15.01.2020"/>
    <s v="15.01.2020"/>
    <d v="1899-12-30T21:20:00"/>
    <d v="1899-12-30T21:30:00"/>
    <x v="161"/>
    <n v="10049770"/>
    <s v="PI-TH-7151-FA-PK-05"/>
    <s v="ทำการตรวจสอบ End seal bar/ปกติ"/>
  </r>
  <r>
    <m/>
    <n v="3122068"/>
    <s v="16.01.2020"/>
    <n v="1"/>
    <s v="PAC002"/>
    <x v="12"/>
    <n v="15"/>
    <s v="MIN"/>
    <n v="0.25"/>
    <x v="0"/>
    <s v="15.01.2020"/>
    <s v="15.01.2020"/>
    <d v="1899-12-30T20:55:00"/>
    <d v="1899-12-30T21:10:00"/>
    <x v="162"/>
    <n v="10056253"/>
    <s v="PI-TH-7151-FA-PK-05"/>
    <s v="ตรวจสอบ Input belt"/>
  </r>
  <r>
    <m/>
    <n v="3122111"/>
    <s v="16.01.2020"/>
    <n v="1"/>
    <s v="PAC002"/>
    <x v="12"/>
    <n v="20"/>
    <s v="MIN"/>
    <n v="0.33333333333333331"/>
    <x v="0"/>
    <s v="15.01.2020"/>
    <s v="15.01.2020"/>
    <d v="1899-12-30T20:20:00"/>
    <d v="1899-12-30T20:40:00"/>
    <x v="163"/>
    <n v="10072700"/>
    <s v="PI-TH-7151-FA-PK-05"/>
    <s v="ตรวจสอบ Input belt"/>
  </r>
  <r>
    <m/>
    <n v="3122112"/>
    <s v="16.01.2020"/>
    <n v="1"/>
    <s v="PAC002"/>
    <x v="12"/>
    <n v="10"/>
    <s v="MIN"/>
    <n v="0.16666666666666666"/>
    <x v="0"/>
    <s v="15.01.2020"/>
    <s v="15.01.2020"/>
    <d v="1899-12-30T21:10:00"/>
    <d v="1899-12-30T21:20:00"/>
    <x v="164"/>
    <n v="10049771"/>
    <s v="PI-TH-7151-FA-PK-05"/>
    <s v="ตรวจสอบ Input belt"/>
  </r>
  <r>
    <m/>
    <n v="3122116"/>
    <s v="16.01.2020"/>
    <n v="1"/>
    <s v="PAC002"/>
    <x v="12"/>
    <n v="15"/>
    <s v="MIN"/>
    <n v="0.25"/>
    <x v="0"/>
    <s v="15.01.2020"/>
    <s v="15.01.2020"/>
    <d v="1899-12-30T20:40:00"/>
    <d v="1899-12-30T20:55:00"/>
    <x v="165"/>
    <n v="10051202"/>
    <s v="PI-TH-7151-FA-PK-05"/>
    <s v="ตรวจสอบ Input belt"/>
  </r>
  <r>
    <m/>
    <n v="3122117"/>
    <s v="16.01.2020"/>
    <n v="1"/>
    <s v="PAC002"/>
    <x v="12"/>
    <n v="5"/>
    <s v="MIN"/>
    <n v="8.3333333333333329E-2"/>
    <x v="0"/>
    <s v="15.01.2020"/>
    <s v="15.01.2020"/>
    <d v="1899-12-30T21:30:00"/>
    <d v="1899-12-30T21:35:00"/>
    <x v="166"/>
    <n v="10051037"/>
    <s v="PI-TH-7151-FA-PK-05"/>
    <s v="ตรวจสอบ Input belt/ไม่ได้ใช้งาน"/>
  </r>
  <r>
    <m/>
    <n v="3137638"/>
    <s v="16.01.2020"/>
    <n v="1"/>
    <s v="PAC002"/>
    <x v="12"/>
    <n v="10"/>
    <s v="MIN"/>
    <n v="0.16666666666666666"/>
    <x v="0"/>
    <s v="15.01.2020"/>
    <s v="15.01.2020"/>
    <d v="1899-12-30T20:10:00"/>
    <d v="1899-12-30T20:20:00"/>
    <x v="167"/>
    <n v="10049719"/>
    <s v="PI-TH-7151-FA-PK-05"/>
    <s v="ทำการตรวจสอบการจับทั้งสองชนิด"/>
  </r>
  <r>
    <m/>
    <n v="3120196"/>
    <s v="12.01.2020"/>
    <n v="2"/>
    <s v="PRO001"/>
    <x v="12"/>
    <n v="20"/>
    <s v="MIN"/>
    <n v="0.33333333333333331"/>
    <x v="0"/>
    <s v="08.01.2020"/>
    <s v="08.01.2020"/>
    <d v="1899-12-30T22:00:00"/>
    <d v="1899-12-30T22:20:00"/>
    <x v="169"/>
    <n v="10049372"/>
    <s v="PI-TH-7151-FA-F1-P1"/>
    <s v="ทำความสะอาด Inlet air Filter"/>
  </r>
  <r>
    <m/>
    <n v="3120193"/>
    <s v="13.01.2020"/>
    <n v="1"/>
    <s v="PRO001"/>
    <x v="12"/>
    <n v="20"/>
    <s v="MIN"/>
    <n v="0.33333333333333331"/>
    <x v="0"/>
    <s v="10.01.2020"/>
    <s v="10.01.2020"/>
    <d v="1899-12-30T08:30:00"/>
    <d v="1899-12-30T08:50:00"/>
    <x v="170"/>
    <n v="10051386"/>
    <s v="PI-TH-7151-FA-F1-P1"/>
    <s v="ตรวจเช็คสภาพปกติทั่วไป"/>
  </r>
  <r>
    <m/>
    <n v="3122731"/>
    <s v="13.01.2020"/>
    <n v="1"/>
    <s v="PRO001"/>
    <x v="12"/>
    <n v="20"/>
    <s v="MIN"/>
    <n v="0.33333333333333331"/>
    <x v="0"/>
    <s v="10.01.2020"/>
    <s v="10.01.2020"/>
    <d v="1899-12-30T10:10:00"/>
    <d v="1899-12-30T10:30:00"/>
    <x v="171"/>
    <n v="10051443"/>
    <s v="PI-TH-7151-FA-F1-P1"/>
    <s v="ฉีดสเปรย์/อัดจารบีแล้ว"/>
  </r>
  <r>
    <m/>
    <n v="3122750"/>
    <s v="13.01.2020"/>
    <n v="1"/>
    <s v="PRO001"/>
    <x v="12"/>
    <n v="30"/>
    <s v="MIN"/>
    <n v="0.5"/>
    <x v="0"/>
    <s v="10.01.2020"/>
    <s v="10.01.2020"/>
    <d v="1899-12-30T09:30:00"/>
    <d v="1899-12-30T10:00:00"/>
    <x v="172"/>
    <n v="10049372"/>
    <s v="PI-TH-7151-FA-F1-P1"/>
    <s v="ฉีดสเปรย์/อัดจารบีแล้ว"/>
  </r>
  <r>
    <m/>
    <n v="3122768"/>
    <s v="13.01.2020"/>
    <n v="1"/>
    <s v="PRO001"/>
    <x v="12"/>
    <n v="20"/>
    <s v="MIN"/>
    <n v="0.33333333333333331"/>
    <x v="0"/>
    <s v="10.01.2020"/>
    <s v="10.01.2020"/>
    <d v="1899-12-30T08:50:00"/>
    <d v="1899-12-30T09:10:00"/>
    <x v="312"/>
    <n v="10051396"/>
    <s v="PI-TH-7151-FA-F1-P1"/>
    <s v="ตรวจเช็คสภาพปกติทั่วไป"/>
  </r>
  <r>
    <m/>
    <n v="3122782"/>
    <s v="13.01.2020"/>
    <n v="1"/>
    <s v="PRO001"/>
    <x v="12"/>
    <n v="10"/>
    <s v="MIN"/>
    <n v="0.16666666666666666"/>
    <x v="0"/>
    <s v="10.01.2020"/>
    <s v="10.01.2020"/>
    <d v="1899-12-30T10:00:00"/>
    <d v="1899-12-30T10:10:00"/>
    <x v="173"/>
    <n v="10049372"/>
    <s v="PI-TH-7151-FA-F1-P1"/>
    <s v="ตรวจสอบแล้วสายพานใช้งานได้อยู่"/>
  </r>
  <r>
    <m/>
    <n v="3120199"/>
    <s v="13.01.2020"/>
    <n v="1"/>
    <s v="PRO001"/>
    <x v="12"/>
    <n v="30"/>
    <s v="MIN"/>
    <n v="0.5"/>
    <x v="0"/>
    <s v="12.01.2020"/>
    <s v="12.01.2020"/>
    <d v="1899-12-30T08:00:00"/>
    <d v="1899-12-30T08:30:00"/>
    <x v="175"/>
    <n v="10051386"/>
    <s v="PI-TH-7151-FA-F1-P1"/>
    <s v="อัดจารบีและตรวจเช็คสภาพ"/>
  </r>
  <r>
    <m/>
    <n v="3132483"/>
    <s v="16.01.2020"/>
    <n v="1"/>
    <s v="PRO001"/>
    <x v="12"/>
    <n v="10"/>
    <s v="MIN"/>
    <n v="0.16666666666666666"/>
    <x v="0"/>
    <s v="14.01.2020"/>
    <s v="14.01.2020"/>
    <d v="1899-12-30T20:20:00"/>
    <d v="1899-12-30T20:40:00"/>
    <x v="176"/>
    <n v="10049372"/>
    <s v="PI-TH-7151-FA-F1-P1"/>
    <s v="ตรวจสอบสภาพทั่วไป"/>
  </r>
  <r>
    <m/>
    <n v="3137198"/>
    <s v="16.01.2020"/>
    <n v="2"/>
    <s v="PRO001"/>
    <x v="12"/>
    <n v="15"/>
    <s v="MIN"/>
    <n v="0.25"/>
    <x v="0"/>
    <s v="14.01.2020"/>
    <s v="14.01.2020"/>
    <d v="1899-12-30T20:30:00"/>
    <d v="1899-12-30T20:45:00"/>
    <x v="177"/>
    <n v="10049372"/>
    <s v="PI-TH-7151-FA-F1-P1"/>
    <s v="ทำความสะอาด"/>
  </r>
  <r>
    <m/>
    <n v="3122049"/>
    <s v="13.01.2020"/>
    <n v="2"/>
    <s v="PAC002"/>
    <x v="13"/>
    <n v="60"/>
    <s v="MIN"/>
    <n v="1"/>
    <x v="0"/>
    <s v="11.01.2020"/>
    <s v="11.01.2020"/>
    <d v="1899-12-30T10:00:00"/>
    <d v="1899-12-30T11:00:00"/>
    <x v="217"/>
    <n v="10070544"/>
    <s v="PI-TH-7151-FA-PK-CZ"/>
    <s v="ตรวจเช็คสภาพ Roller"/>
  </r>
  <r>
    <m/>
    <n v="3122083"/>
    <s v="13.01.2020"/>
    <n v="2"/>
    <s v="PAC002"/>
    <x v="13"/>
    <n v="60"/>
    <s v="MIN"/>
    <n v="1"/>
    <x v="0"/>
    <s v="11.01.2020"/>
    <s v="11.01.2020"/>
    <d v="1899-12-30T09:00:00"/>
    <d v="1899-12-30T10:00:00"/>
    <x v="218"/>
    <n v="10052565"/>
    <s v="PI-TH-7151-FA-PK-CZ"/>
    <s v="ตรวจเช็คสภาพ Roller"/>
  </r>
  <r>
    <m/>
    <n v="3122098"/>
    <s v="13.01.2020"/>
    <n v="2"/>
    <s v="PAC002"/>
    <x v="13"/>
    <n v="60"/>
    <s v="MIN"/>
    <n v="1"/>
    <x v="0"/>
    <s v="11.01.2020"/>
    <s v="11.01.2020"/>
    <d v="1899-12-30T08:00:00"/>
    <d v="1899-12-30T09:00:00"/>
    <x v="219"/>
    <n v="10049998"/>
    <s v="PI-TH-7151-FA-PK-CZ"/>
    <s v="ตรวจเช็คสภาพ Roller"/>
  </r>
  <r>
    <m/>
    <n v="3118333"/>
    <s v="12.01.2020"/>
    <n v="2"/>
    <s v="PRO001"/>
    <x v="13"/>
    <n v="60"/>
    <s v="MIN"/>
    <n v="1"/>
    <x v="0"/>
    <s v="03.01.2020"/>
    <s v="03.01.2020"/>
    <d v="1899-12-30T19:00:00"/>
    <d v="1899-12-30T20:00:00"/>
    <x v="220"/>
    <n v="10051481"/>
    <s v="PI-TH-7151-FA-F2-PL"/>
    <s v="ทำการเปลียนนำมันหล่อลื่น"/>
  </r>
  <r>
    <m/>
    <n v="3118357"/>
    <s v="12.01.2020"/>
    <n v="1"/>
    <s v="PRO001"/>
    <x v="13"/>
    <n v="1.5"/>
    <s v="H"/>
    <n v="90"/>
    <x v="0"/>
    <s v="03.01.2020"/>
    <s v="03.01.2020"/>
    <d v="1899-12-30T21:00:00"/>
    <d v="1899-12-30T22:30:00"/>
    <x v="221"/>
    <n v="10051481"/>
    <s v="PI-TH-7151-FA-F2-PL"/>
    <s v="ทำความสะอาดแล้ว"/>
  </r>
  <r>
    <m/>
    <n v="3119952"/>
    <s v="12.01.2020"/>
    <n v="1"/>
    <s v="PRO001"/>
    <x v="13"/>
    <n v="60"/>
    <s v="MIN"/>
    <n v="1"/>
    <x v="0"/>
    <s v="04.01.2020"/>
    <s v="04.01.2020"/>
    <d v="1899-12-30T19:30:00"/>
    <d v="1899-12-30T20:30:00"/>
    <x v="222"/>
    <n v="10049399"/>
    <s v="PI-TH-7151-FA-F2-PL"/>
    <s v="ทำความสะอาดแล้ว"/>
  </r>
  <r>
    <m/>
    <n v="3122760"/>
    <s v="12.01.2020"/>
    <n v="2"/>
    <s v="PRO001"/>
    <x v="13"/>
    <n v="30"/>
    <s v="MIN"/>
    <n v="0.5"/>
    <x v="0"/>
    <s v="04.01.2020"/>
    <s v="04.01.2020"/>
    <d v="1899-12-30T22:00:00"/>
    <d v="1899-12-30T22:30:00"/>
    <x v="223"/>
    <n v="10049436"/>
    <s v="PI-TH-7151-FA-F2-PL"/>
    <s v="Drain นำออกจาก Boiler"/>
  </r>
  <r>
    <m/>
    <n v="3122761"/>
    <s v="12.01.2020"/>
    <n v="2"/>
    <s v="PRO001"/>
    <x v="13"/>
    <n v="60"/>
    <s v="MIN"/>
    <n v="1"/>
    <x v="0"/>
    <s v="04.01.2020"/>
    <s v="04.01.2020"/>
    <d v="1899-12-30T20:30:00"/>
    <d v="1899-12-30T21:30:00"/>
    <x v="224"/>
    <n v="10049416"/>
    <s v="PI-TH-7151-FA-F2-PL"/>
    <s v="ตรวจเช็คสภาพปกติทั่วไป"/>
  </r>
  <r>
    <m/>
    <n v="3122766"/>
    <s v="12.01.2020"/>
    <n v="2"/>
    <s v="PRO001"/>
    <x v="13"/>
    <n v="30"/>
    <s v="MIN"/>
    <n v="0.5"/>
    <x v="0"/>
    <s v="04.01.2020"/>
    <s v="04.01.2020"/>
    <d v="1899-12-30T01:00:00"/>
    <d v="1899-12-30T01:30:00"/>
    <x v="225"/>
    <n v="10051337"/>
    <s v="PI-TH-7151-FA-F2-RB"/>
    <s v="ตรวจเช็คสภาพปกติทั่วไป"/>
  </r>
  <r>
    <m/>
    <n v="3120249"/>
    <s v="12.01.2020"/>
    <n v="2"/>
    <s v="PRO001"/>
    <x v="13"/>
    <n v="30"/>
    <s v="MIN"/>
    <n v="0.5"/>
    <x v="0"/>
    <s v="05.01.2020"/>
    <s v="05.01.2020"/>
    <d v="1899-12-30T22:30:00"/>
    <d v="1899-12-30T23:00:00"/>
    <x v="226"/>
    <n v="10051481"/>
    <s v="PI-TH-7151-FA-F2-PL"/>
    <s v="ไม่ได้เปลี่ยนแต่ทำความสะอาด"/>
  </r>
  <r>
    <m/>
    <n v="3122020"/>
    <s v="12.01.2020"/>
    <n v="2"/>
    <s v="PRO001"/>
    <x v="13"/>
    <n v="30"/>
    <s v="MIN"/>
    <n v="0.5"/>
    <x v="0"/>
    <s v="05.01.2020"/>
    <s v="05.01.2020"/>
    <d v="1899-12-30T20:00:00"/>
    <d v="1899-12-30T20:30:00"/>
    <x v="282"/>
    <n v="10051555"/>
    <s v="PI-TH-7151-FA-F1-FP"/>
    <s v="อัดจารบี Bearing ปกติดี"/>
  </r>
  <r>
    <m/>
    <n v="3118347"/>
    <s v="12.01.2020"/>
    <n v="2"/>
    <s v="PRO001"/>
    <x v="13"/>
    <n v="20"/>
    <s v="MIN"/>
    <n v="0.33333333333333331"/>
    <x v="0"/>
    <s v="08.01.2020"/>
    <s v="08.01.2020"/>
    <d v="1899-12-30T21:30:00"/>
    <d v="1899-12-30T21:50:00"/>
    <x v="313"/>
    <n v="10049372"/>
    <s v="PI-TH-7151-FA-F1-P1"/>
    <s v="ตรวจเช็คค่าค่าปกติ"/>
  </r>
  <r>
    <m/>
    <n v="3122798"/>
    <s v="13.01.2020"/>
    <n v="2"/>
    <s v="PRO001"/>
    <x v="13"/>
    <n v="60"/>
    <s v="MIN"/>
    <n v="1"/>
    <x v="0"/>
    <s v="11.01.2020"/>
    <s v="11.01.2020"/>
    <d v="1899-12-30T15:00:00"/>
    <d v="1899-12-30T16:00:00"/>
    <x v="303"/>
    <n v="10051704"/>
    <s v="PI-TH-7151-FA-F1-ST"/>
    <s v="ทำความสะอาด"/>
  </r>
  <r>
    <m/>
    <n v="3122736"/>
    <s v="13.01.2020"/>
    <n v="2"/>
    <s v="PRO001"/>
    <x v="13"/>
    <n v="60"/>
    <s v="MIN"/>
    <n v="1"/>
    <x v="0"/>
    <s v="12.01.2020"/>
    <s v="12.01.2020"/>
    <d v="1899-12-30T15:30:00"/>
    <d v="1899-12-30T16:30:00"/>
    <x v="193"/>
    <n v="10051493"/>
    <s v="PI-TH-7151-FA-F2-PL"/>
    <s v="อัดจารบีและตรวจเช็คสภาพ"/>
  </r>
  <r>
    <m/>
    <n v="3122784"/>
    <s v="13.01.2020"/>
    <n v="1"/>
    <s v="PRO001"/>
    <x v="13"/>
    <n v="1.5"/>
    <s v="H"/>
    <n v="90"/>
    <x v="0"/>
    <s v="12.01.2020"/>
    <s v="12.01.2020"/>
    <d v="1899-12-30T14:00:00"/>
    <d v="1899-12-30T15:30:00"/>
    <x v="229"/>
    <n v="10049416"/>
    <s v="PI-TH-7151-FA-F2-PL"/>
    <s v="Drain นำออกเพื่อทำความสะอาด"/>
  </r>
  <r>
    <m/>
    <n v="3122796"/>
    <s v="13.01.2020"/>
    <n v="2"/>
    <s v="PRO001"/>
    <x v="13"/>
    <n v="30"/>
    <s v="MIN"/>
    <n v="0.5"/>
    <x v="0"/>
    <s v="12.01.2020"/>
    <s v="12.01.2020"/>
    <d v="1899-12-30T13:00:00"/>
    <d v="1899-12-30T13:30:00"/>
    <x v="230"/>
    <n v="10049399"/>
    <s v="PI-TH-7151-FA-F2-PL"/>
    <s v="ล้างทำความสะอาด Hopper micro"/>
  </r>
  <r>
    <m/>
    <n v="3132473"/>
    <s v="13.01.2020"/>
    <n v="1"/>
    <s v="PRO001"/>
    <x v="13"/>
    <n v="30"/>
    <s v="MIN"/>
    <n v="0.5"/>
    <x v="0"/>
    <s v="12.01.2020"/>
    <s v="12.01.2020"/>
    <d v="1899-12-30T13:00:00"/>
    <d v="1899-12-30T13:30:00"/>
    <x v="231"/>
    <n v="10049436"/>
    <s v="PI-TH-7151-FA-F2-PL"/>
    <s v="Drain นำออกเพื่อทำความสะอาด"/>
  </r>
  <r>
    <m/>
    <n v="3134103"/>
    <s v="15.01.2020"/>
    <n v="1"/>
    <s v="PRO001"/>
    <x v="13"/>
    <n v="2.5"/>
    <s v="H"/>
    <n v="150"/>
    <x v="0"/>
    <s v="14.01.2020"/>
    <s v="14.01.2020"/>
    <d v="1899-12-30T09:30:00"/>
    <d v="1899-12-30T11:00:00"/>
    <x v="232"/>
    <n v="10049688"/>
    <s v="PI-TH-7151-FA-F2-RB"/>
    <s v="สายพานสภาพปกติ"/>
  </r>
  <r>
    <m/>
    <n v="3134110"/>
    <s v="15.01.2020"/>
    <n v="1"/>
    <s v="PRO001"/>
    <x v="13"/>
    <n v="30"/>
    <s v="MIN"/>
    <n v="0.5"/>
    <x v="0"/>
    <s v="14.01.2020"/>
    <s v="14.01.2020"/>
    <d v="1899-12-30T09:30:00"/>
    <d v="1899-12-30T10:00:00"/>
    <x v="233"/>
    <n v="10051337"/>
    <s v="PI-TH-7151-FA-F2-RB"/>
    <s v="สภาพปกติ"/>
  </r>
  <r>
    <m/>
    <n v="3134195"/>
    <s v="15.01.2020"/>
    <n v="1"/>
    <s v="PRO001"/>
    <x v="13"/>
    <n v="30"/>
    <s v="MIN"/>
    <n v="0.5"/>
    <x v="0"/>
    <s v="14.01.2020"/>
    <s v="14.01.2020"/>
    <d v="1899-12-30T14:00:00"/>
    <d v="1899-12-30T14:30:00"/>
    <x v="234"/>
    <n v="10051347"/>
    <s v="PI-TH-7151-FA-F2-RB"/>
    <s v="สายพานสภาพปกติ"/>
  </r>
  <r>
    <m/>
    <n v="3134203"/>
    <s v="15.01.2020"/>
    <n v="1"/>
    <s v="PRO001"/>
    <x v="13"/>
    <n v="30"/>
    <s v="MIN"/>
    <n v="0.5"/>
    <x v="0"/>
    <s v="14.01.2020"/>
    <s v="14.01.2020"/>
    <d v="1899-12-30T11:30:00"/>
    <d v="1899-12-30T12:00:00"/>
    <x v="235"/>
    <n v="10051337"/>
    <s v="PI-TH-7151-FA-F2-RB"/>
    <s v="ถอดออกมาทำความสะอาด"/>
  </r>
  <r>
    <m/>
    <n v="3134219"/>
    <s v="15.01.2020"/>
    <n v="1"/>
    <s v="PRO001"/>
    <x v="13"/>
    <n v="60"/>
    <s v="MIN"/>
    <n v="1"/>
    <x v="0"/>
    <s v="14.01.2020"/>
    <s v="14.01.2020"/>
    <d v="1899-12-30T13:00:00"/>
    <d v="1899-12-30T14:00:00"/>
    <x v="236"/>
    <n v="10051337"/>
    <s v="PI-TH-7151-FA-F2-RB"/>
    <s v="สภาพปกติ"/>
  </r>
  <r>
    <m/>
    <n v="3133500"/>
    <s v="20.01.2020"/>
    <n v="2"/>
    <s v="PRO001"/>
    <x v="13"/>
    <n v="60"/>
    <s v="MIN"/>
    <n v="1"/>
    <x v="0"/>
    <s v="17.01.2020"/>
    <s v="17.01.2020"/>
    <d v="1899-12-30T08:00:00"/>
    <d v="1899-12-30T09:00:00"/>
    <x v="237"/>
    <n v="10049667"/>
    <s v="PI-TH-7151-FA-F2-RB"/>
    <s v="ตรวจเช็คสภาพความสึกหรอและฉีกขาด"/>
  </r>
  <r>
    <m/>
    <n v="3134121"/>
    <s v="20.01.2020"/>
    <n v="2"/>
    <s v="PRO001"/>
    <x v="13"/>
    <n v="60"/>
    <s v="MIN"/>
    <n v="1"/>
    <x v="0"/>
    <s v="17.01.2020"/>
    <s v="17.01.2020"/>
    <d v="1899-12-30T09:00:00"/>
    <d v="1899-12-30T10:00:00"/>
    <x v="238"/>
    <n v="10049680"/>
    <s v="PI-TH-7151-FA-F2-RB"/>
    <s v="อัดจารบี Bearing"/>
  </r>
  <r>
    <m/>
    <n v="3134194"/>
    <s v="20.01.2020"/>
    <n v="1"/>
    <s v="PRO001"/>
    <x v="13"/>
    <n v="60"/>
    <s v="MIN"/>
    <n v="1"/>
    <x v="0"/>
    <s v="17.01.2020"/>
    <s v="17.01.2020"/>
    <d v="1899-12-30T10:00:00"/>
    <d v="1899-12-30T11:00:00"/>
    <x v="239"/>
    <n v="10049680"/>
    <s v="PI-TH-7151-FA-F2-RB"/>
    <s v="ตรวจเช็คสภาพความสึกหรอและฉีกขาด"/>
  </r>
  <r>
    <m/>
    <n v="3134257"/>
    <s v="20.01.2020"/>
    <n v="1"/>
    <s v="PRO001"/>
    <x v="13"/>
    <n v="30"/>
    <s v="MIN"/>
    <n v="0.5"/>
    <x v="0"/>
    <s v="17.01.2020"/>
    <s v="17.01.2020"/>
    <d v="1899-12-30T15:00:00"/>
    <d v="1899-12-30T15:30:00"/>
    <x v="240"/>
    <n v="10051337"/>
    <s v="PI-TH-7151-FA-F2-RB"/>
    <s v="ทำความสะอาดชุดท่อนำมัน"/>
  </r>
  <r>
    <m/>
    <n v="3134789"/>
    <s v="15.01.2020"/>
    <n v="4"/>
    <s v="PAC011"/>
    <x v="14"/>
    <n v="2"/>
    <s v="H"/>
    <n v="120"/>
    <x v="0"/>
    <s v="09.01.2020"/>
    <s v="09.01.2020"/>
    <d v="1899-12-30T11:00:00"/>
    <d v="1899-12-30T13:00:00"/>
    <x v="168"/>
    <n v="10049809"/>
    <s v="PI-TH-7151-FA-PK-01"/>
    <s v="Replace Eye mark sensor optex."/>
  </r>
  <r>
    <m/>
    <n v="3120241"/>
    <s v="16.01.2020"/>
    <n v="4"/>
    <s v="PRO001"/>
    <x v="14"/>
    <n v="240"/>
    <s v="MIN"/>
    <n v="4"/>
    <x v="0"/>
    <s v="11.01.2020"/>
    <s v="11.01.2020"/>
    <d v="1899-12-30T09:00:00"/>
    <d v="1899-12-30T12:00:00"/>
    <x v="300"/>
    <n v="10051396"/>
    <s v="PI-TH-7151-FA-F1-P1"/>
    <s v="เปลี่ยนสายพาน Kromasort"/>
  </r>
  <r>
    <m/>
    <n v="3118332"/>
    <s v="12.01.2020"/>
    <n v="1"/>
    <s v="PRO002"/>
    <x v="14"/>
    <n v="30"/>
    <s v="MIN"/>
    <n v="0.5"/>
    <x v="0"/>
    <s v="03.01.2020"/>
    <s v="03.01.2020"/>
    <d v="1899-12-30T20:30:00"/>
    <d v="1899-12-30T21:00:00"/>
    <x v="314"/>
    <n v="10051386"/>
    <s v="PI-TH-7151-FA-F1-P1"/>
    <s v="ตรวจสอบสภาพท่อร้อย+ทำความสะอาด"/>
  </r>
  <r>
    <m/>
    <n v="3118353"/>
    <s v="12.01.2020"/>
    <n v="1"/>
    <s v="PRO002"/>
    <x v="14"/>
    <n v="30"/>
    <s v="MIN"/>
    <n v="0.5"/>
    <x v="0"/>
    <s v="03.01.2020"/>
    <s v="03.01.2020"/>
    <d v="1899-12-30T20:00:00"/>
    <d v="1899-12-30T20:30:00"/>
    <x v="315"/>
    <n v="10051396"/>
    <s v="PI-TH-7151-FA-F1-P1"/>
    <s v="ตรวจสอบสภาพท่อร้อย+ทำความสะอาด"/>
  </r>
  <r>
    <m/>
    <n v="3118355"/>
    <s v="12.01.2020"/>
    <n v="1"/>
    <s v="PRO002"/>
    <x v="14"/>
    <n v="10"/>
    <s v="MIN"/>
    <n v="0.16666666666666666"/>
    <x v="0"/>
    <s v="03.01.2020"/>
    <s v="03.01.2020"/>
    <d v="1899-12-30T21:30:00"/>
    <d v="1899-12-30T21:40:00"/>
    <x v="316"/>
    <n v="10051481"/>
    <s v="PI-TH-7151-FA-F2-PL"/>
    <s v="สลับใช้ VFD"/>
  </r>
  <r>
    <m/>
    <n v="3120221"/>
    <s v="12.01.2020"/>
    <n v="1"/>
    <s v="PRO002"/>
    <x v="14"/>
    <n v="10"/>
    <s v="MIN"/>
    <n v="0.16666666666666666"/>
    <x v="0"/>
    <s v="03.01.2020"/>
    <s v="03.01.2020"/>
    <d v="1899-12-30T20:50:00"/>
    <d v="1899-12-30T21:00:00"/>
    <x v="317"/>
    <n v="10051769"/>
    <s v="PI-TH-7151-FA-F1-P1"/>
    <s v="ตรวจเช็คค่ากระแสไฟทั้ง 3 เฟส"/>
  </r>
  <r>
    <m/>
    <n v="3120239"/>
    <s v="12.01.2020"/>
    <n v="1"/>
    <s v="PRO002"/>
    <x v="14"/>
    <n v="10"/>
    <s v="MIN"/>
    <n v="0.16666666666666666"/>
    <x v="0"/>
    <s v="03.01.2020"/>
    <s v="03.01.2020"/>
    <d v="1899-12-30T20:40:00"/>
    <d v="1899-12-30T20:50:00"/>
    <x v="318"/>
    <n v="10049350"/>
    <s v="PI-TH-7151-FA-F1-P1"/>
    <s v="ตรวจเช็คค่ากระแสไฟทั้ง 3 เฟส"/>
  </r>
  <r>
    <m/>
    <n v="3088991"/>
    <s v="12.01.2020"/>
    <n v="2"/>
    <s v="PRO002"/>
    <x v="14"/>
    <n v="60"/>
    <s v="MIN"/>
    <n v="1"/>
    <x v="0"/>
    <s v="04.01.2020"/>
    <s v="04.01.2020"/>
    <d v="1899-12-30T08:00:00"/>
    <d v="1899-12-30T21:00:00"/>
    <x v="272"/>
    <n v="10051704"/>
    <s v="PI-TH-7151-FA-F1-ST"/>
    <s v="ทำความสะอาดแล้ว"/>
  </r>
  <r>
    <m/>
    <n v="3110470"/>
    <s v="12.01.2020"/>
    <n v="1"/>
    <s v="PRO002"/>
    <x v="14"/>
    <n v="4"/>
    <s v="H"/>
    <n v="240"/>
    <x v="0"/>
    <s v="04.01.2020"/>
    <s v="04.01.2020"/>
    <d v="1899-12-30T08:00:00"/>
    <d v="1899-12-30T12:00:00"/>
    <x v="319"/>
    <n v="10051218"/>
    <s v="PI-TH-7151-FA-F1-BC"/>
    <s v="Calibrate sensor Temp Oven"/>
  </r>
  <r>
    <m/>
    <n v="3119959"/>
    <s v="12.01.2020"/>
    <n v="2"/>
    <s v="PRO002"/>
    <x v="14"/>
    <n v="30"/>
    <s v="MIN"/>
    <n v="0.5"/>
    <x v="0"/>
    <s v="04.01.2020"/>
    <s v="04.01.2020"/>
    <d v="1899-12-30T08:00:00"/>
    <d v="1899-12-30T08:30:00"/>
    <x v="273"/>
    <n v="10051548"/>
    <s v="PI-TH-7151-FA-F1-FP"/>
    <s v="ทำความสะอาดแล้ว"/>
  </r>
  <r>
    <m/>
    <n v="3112636"/>
    <s v="13.01.2020"/>
    <n v="3"/>
    <s v="PRO002"/>
    <x v="14"/>
    <n v="240"/>
    <s v="MIN"/>
    <n v="4"/>
    <x v="0"/>
    <s v="06.01.2020"/>
    <s v="06.01.2020"/>
    <d v="1899-12-30T08:00:00"/>
    <d v="1899-12-30T12:00:00"/>
    <x v="8"/>
    <n v="10051386"/>
    <s v="PI-TH-7151-FA-F1-P1"/>
    <s v="ถอดเปลี่ยน Motor Exhaust Fan"/>
  </r>
  <r>
    <m/>
    <n v="3119989"/>
    <s v="12.01.2020"/>
    <n v="1"/>
    <s v="PRO002"/>
    <x v="14"/>
    <n v="25"/>
    <s v="MIN"/>
    <n v="0.41666666666666669"/>
    <x v="0"/>
    <s v="09.01.2020"/>
    <s v="09.01.2020"/>
    <d v="1899-12-30T16:50:00"/>
    <d v="1899-12-30T17:20:00"/>
    <x v="320"/>
    <n v="10051481"/>
    <s v="PI-TH-7151-FA-F2-PL"/>
    <s v="สภาพปกติทั่วไปดี"/>
  </r>
  <r>
    <m/>
    <n v="3114077"/>
    <s v="14.01.2020"/>
    <n v="3"/>
    <s v="PRO002"/>
    <x v="14"/>
    <n v="60"/>
    <s v="MIN"/>
    <n v="1"/>
    <x v="0"/>
    <s v="10.01.2020"/>
    <s v="10.01.2020"/>
    <d v="1899-12-30T09:00:00"/>
    <d v="1899-12-30T09:30:00"/>
    <x v="30"/>
    <n v="10049451"/>
    <s v="PI-TH-7151-FA-F1-FP"/>
    <s v="ทำความสะอาด"/>
  </r>
  <r>
    <m/>
    <n v="3114084"/>
    <s v="13.01.2020"/>
    <n v="3"/>
    <s v="PRO002"/>
    <x v="14"/>
    <n v="30"/>
    <s v="MIN"/>
    <n v="0.5"/>
    <x v="0"/>
    <s v="10.01.2020"/>
    <s v="10.01.2020"/>
    <d v="1899-12-30T22:00:00"/>
    <d v="1899-12-30T22:30:00"/>
    <x v="31"/>
    <n v="10051747"/>
    <s v="PI-TH-7151-FA-F1-ST"/>
    <s v="เปลี่ยน Falme sensor duel fuel burner."/>
  </r>
  <r>
    <m/>
    <n v="3100463"/>
    <s v="13.01.2020"/>
    <n v="1"/>
    <s v="PRO002"/>
    <x v="14"/>
    <n v="120"/>
    <s v="MIN"/>
    <n v="2"/>
    <x v="0"/>
    <s v="11.01.2020"/>
    <s v="11.01.2020"/>
    <d v="1899-12-30T10:00:00"/>
    <d v="1899-12-30T12:30:00"/>
    <x v="321"/>
    <n v="10051443"/>
    <s v="PI-TH-7151-FA-F1-P1"/>
    <s v="Vibrating con.Drum#1 ตรวจสอบค่า ทำความสะ"/>
  </r>
  <r>
    <m/>
    <n v="3112655"/>
    <s v="13.01.2020"/>
    <n v="3"/>
    <s v="PRO002"/>
    <x v="14"/>
    <n v="60"/>
    <s v="MIN"/>
    <n v="1"/>
    <x v="0"/>
    <s v="11.01.2020"/>
    <s v="11.01.2020"/>
    <d v="1899-12-30T13:00:00"/>
    <d v="1899-12-30T14:00:00"/>
    <x v="34"/>
    <n v="10051769"/>
    <s v="PI-TH-7151-FA-F1-P1"/>
    <s v="เปลี่ยน Bindicator 2 Pcs."/>
  </r>
  <r>
    <m/>
    <n v="3114422"/>
    <s v="13.01.2020"/>
    <n v="1"/>
    <s v="PRO002"/>
    <x v="14"/>
    <n v="120"/>
    <s v="MIN"/>
    <n v="2"/>
    <x v="0"/>
    <s v="11.01.2020"/>
    <s v="11.01.2020"/>
    <d v="1899-12-30T08:00:00"/>
    <d v="1899-12-30T10:00:00"/>
    <x v="322"/>
    <n v="10051174"/>
    <s v="PI-TH-7151-FA-F1-ST"/>
    <s v="ตรวจเช็คค่าความต้านทานของขดลวด"/>
  </r>
  <r>
    <m/>
    <n v="3114430"/>
    <s v="13.01.2020"/>
    <n v="1"/>
    <s v="PRO002"/>
    <x v="14"/>
    <n v="30"/>
    <s v="MIN"/>
    <n v="0.5"/>
    <x v="0"/>
    <s v="11.01.2020"/>
    <s v="11.01.2020"/>
    <d v="1899-12-30T16:00:00"/>
    <d v="1899-12-30T16:30:00"/>
    <x v="323"/>
    <n v="10049372"/>
    <s v="PI-TH-7151-FA-F1-P1"/>
    <s v="Vibrating con.Drum#1 ตรวจสอบค่า"/>
  </r>
  <r>
    <m/>
    <n v="3117035"/>
    <s v="13.01.2020"/>
    <n v="1"/>
    <s v="PRO002"/>
    <x v="14"/>
    <n v="120"/>
    <s v="MIN"/>
    <n v="2"/>
    <x v="0"/>
    <s v="11.01.2020"/>
    <s v="11.01.2020"/>
    <d v="1899-12-30T10:00:00"/>
    <d v="1899-12-30T12:30:00"/>
    <x v="324"/>
    <n v="10051443"/>
    <s v="PI-TH-7151-FA-F1-P1"/>
    <s v="Vibrating con.Drum#1 ตรวจสอบค่า ความเป็น"/>
  </r>
  <r>
    <m/>
    <n v="3118354"/>
    <s v="13.01.2020"/>
    <n v="3"/>
    <s v="PRO002"/>
    <x v="14"/>
    <n v="60"/>
    <s v="MIN"/>
    <n v="1"/>
    <x v="0"/>
    <s v="11.01.2020"/>
    <s v="11.01.2020"/>
    <d v="1899-12-30T14:00:00"/>
    <d v="1899-12-30T15:00:00"/>
    <x v="35"/>
    <n v="10049372"/>
    <s v="PI-TH-7151-FA-F1-P1"/>
    <s v="Vibrating และทำความสะอาด"/>
  </r>
  <r>
    <m/>
    <n v="3119958"/>
    <s v="13.01.2020"/>
    <n v="3"/>
    <s v="PRO002"/>
    <x v="14"/>
    <n v="60"/>
    <s v="MIN"/>
    <n v="1"/>
    <x v="0"/>
    <s v="11.01.2020"/>
    <s v="11.01.2020"/>
    <d v="1899-12-30T11:00:00"/>
    <d v="1899-12-30T12:00:00"/>
    <x v="36"/>
    <n v="10051481"/>
    <s v="PI-TH-7151-FA-F2-PL"/>
    <s v="ทำความสะอาดและตรวจเช็คสภาพปกติทั่วไป"/>
  </r>
  <r>
    <m/>
    <n v="3120191"/>
    <s v="13.01.2020"/>
    <n v="3"/>
    <s v="PRO002"/>
    <x v="14"/>
    <n v="60"/>
    <s v="MIN"/>
    <n v="1"/>
    <x v="0"/>
    <s v="11.01.2020"/>
    <s v="11.01.2020"/>
    <d v="1899-12-30T16:00:00"/>
    <d v="1899-12-30T17:00:00"/>
    <x v="37"/>
    <n v="10051396"/>
    <s v="PI-TH-7151-FA-F1-P1"/>
    <s v="ทำความสะอาดและตรวจเช็คสภาพปกติทั่วไป"/>
  </r>
  <r>
    <m/>
    <n v="3120195"/>
    <s v="13.01.2020"/>
    <n v="3"/>
    <s v="PRO002"/>
    <x v="14"/>
    <n v="120"/>
    <s v="MIN"/>
    <n v="2"/>
    <x v="0"/>
    <s v="11.01.2020"/>
    <s v="11.01.2020"/>
    <d v="1899-12-30T08:00:00"/>
    <d v="1899-12-30T10:00:00"/>
    <x v="38"/>
    <n v="10049436"/>
    <s v="PI-TH-7151-FA-F2-PL"/>
    <s v="ทำความสะอาดและตรวจเช็คสภาพปกติทั่วไ"/>
  </r>
  <r>
    <m/>
    <n v="3120200"/>
    <s v="13.01.2020"/>
    <n v="1"/>
    <s v="PRO002"/>
    <x v="14"/>
    <n v="60"/>
    <s v="MIN"/>
    <n v="1"/>
    <x v="0"/>
    <s v="11.01.2020"/>
    <s v="11.01.2020"/>
    <d v="1899-12-30T10:00:00"/>
    <d v="1899-12-30T11:00:00"/>
    <x v="39"/>
    <n v="10049399"/>
    <s v="PI-TH-7151-FA-F2-PL"/>
    <s v="ทำความสะอาดและตรวจเช็คสภาพปกติทั่วไป"/>
  </r>
  <r>
    <m/>
    <n v="3122016"/>
    <s v="13.01.2020"/>
    <n v="1"/>
    <s v="PRO002"/>
    <x v="14"/>
    <n v="60"/>
    <s v="MIN"/>
    <n v="1"/>
    <x v="0"/>
    <s v="11.01.2020"/>
    <s v="11.01.2020"/>
    <d v="1899-12-30T15:00:00"/>
    <d v="1899-12-30T16:00:00"/>
    <x v="40"/>
    <n v="10051386"/>
    <s v="PI-TH-7151-FA-F1-P1"/>
    <s v="ทำความสะอาดและตรวจเช็คสภาพปกติทั่วไป"/>
  </r>
  <r>
    <m/>
    <n v="3122018"/>
    <s v="13.01.2020"/>
    <n v="3"/>
    <s v="PRO002"/>
    <x v="14"/>
    <n v="60"/>
    <s v="MIN"/>
    <n v="1"/>
    <x v="0"/>
    <s v="11.01.2020"/>
    <s v="11.01.2020"/>
    <d v="1899-12-30T14:00:00"/>
    <d v="1899-12-30T15:00:00"/>
    <x v="41"/>
    <n v="10051443"/>
    <s v="PI-TH-7151-FA-F1-P1"/>
    <s v="ทำความสะอาดและตรวจเช็คสภาพปกติทั่วไป"/>
  </r>
  <r>
    <m/>
    <n v="3122124"/>
    <s v="13.01.2020"/>
    <n v="1"/>
    <s v="PRO002"/>
    <x v="14"/>
    <n v="60"/>
    <s v="MIN"/>
    <n v="1"/>
    <x v="0"/>
    <s v="11.01.2020"/>
    <s v="11.01.2020"/>
    <d v="1899-12-30T14:00:00"/>
    <d v="1899-12-30T15:00:00"/>
    <x v="325"/>
    <n v="10049372"/>
    <s v="PI-TH-7151-FA-F1-P1"/>
    <s v="ตรวจเช็คสภาพปกติทั่วไป"/>
  </r>
  <r>
    <m/>
    <n v="3122752"/>
    <s v="13.01.2020"/>
    <n v="3"/>
    <s v="PRO002"/>
    <x v="14"/>
    <n v="30"/>
    <s v="MIN"/>
    <n v="0.5"/>
    <x v="0"/>
    <s v="11.01.2020"/>
    <s v="11.01.2020"/>
    <d v="1899-12-30T12:00:00"/>
    <d v="1899-12-30T12:30:00"/>
    <x v="42"/>
    <n v="10051443"/>
    <s v="PI-TH-7151-FA-F1-P1"/>
    <s v="ทำความสะอาดและตรวจเช็คสภาพปกติทั่วไป"/>
  </r>
  <r>
    <m/>
    <n v="3122756"/>
    <s v="13.01.2020"/>
    <n v="3"/>
    <s v="PRO002"/>
    <x v="14"/>
    <n v="30"/>
    <s v="MIN"/>
    <n v="0.5"/>
    <x v="0"/>
    <s v="11.01.2020"/>
    <s v="11.01.2020"/>
    <d v="1899-12-30T10:00:00"/>
    <d v="1899-12-30T10:00:00"/>
    <x v="43"/>
    <n v="10049427"/>
    <s v="PI-TH-7151-FA-F2-PL"/>
    <s v="ทำความสะอาดและตรวจเช็คสภาพปกติทั่วไ"/>
  </r>
  <r>
    <m/>
    <n v="3122767"/>
    <s v="14.01.2020"/>
    <n v="3"/>
    <s v="PRO002"/>
    <x v="14"/>
    <n v="60"/>
    <s v="MIN"/>
    <n v="1"/>
    <x v="0"/>
    <s v="11.01.2020"/>
    <s v="11.01.2020"/>
    <d v="1899-12-30T08:00:00"/>
    <d v="1899-12-30T09:00:00"/>
    <x v="44"/>
    <n v="10049451"/>
    <s v="PI-TH-7151-FA-F1-FP"/>
    <s v="ทำความสะอาด"/>
  </r>
  <r>
    <m/>
    <n v="3122785"/>
    <s v="13.01.2020"/>
    <n v="3"/>
    <s v="PRO002"/>
    <x v="14"/>
    <n v="30"/>
    <s v="MIN"/>
    <n v="0.5"/>
    <x v="0"/>
    <s v="11.01.2020"/>
    <s v="11.01.2020"/>
    <d v="1899-12-30T14:00:00"/>
    <d v="1899-12-30T14:30:00"/>
    <x v="45"/>
    <n v="10051769"/>
    <s v="PI-TH-7151-FA-F1-P1"/>
    <s v="ทำความสะอาดและตรวจเช็คสภาพปกติทั่วไป"/>
  </r>
  <r>
    <m/>
    <n v="3122789"/>
    <s v="13.01.2020"/>
    <n v="3"/>
    <s v="PRO002"/>
    <x v="14"/>
    <n v="20"/>
    <s v="MIN"/>
    <n v="0.33333333333333331"/>
    <x v="0"/>
    <s v="11.01.2020"/>
    <s v="11.01.2020"/>
    <d v="1899-12-30T14:00:00"/>
    <d v="1899-12-30T14:20:00"/>
    <x v="46"/>
    <n v="10049361"/>
    <s v="PI-TH-7151-FA-F1-P1"/>
    <s v="ทำความสะอาดและตรวจเช็คสภาพปกติทั่วไป"/>
  </r>
  <r>
    <m/>
    <n v="3117024"/>
    <s v="20.01.2020"/>
    <n v="1"/>
    <s v="PRO002"/>
    <x v="14"/>
    <n v="60"/>
    <s v="MIN"/>
    <n v="1"/>
    <x v="0"/>
    <s v="13.01.2020"/>
    <s v="13.01.2020"/>
    <d v="1899-12-30T10:00:00"/>
    <d v="1899-12-30T11:00:00"/>
    <x v="326"/>
    <n v="10049372"/>
    <s v="PI-TH-7151-FA-F1-P1"/>
    <s v="Calibrate โดยทำ Catch test."/>
  </r>
  <r>
    <m/>
    <n v="3132475"/>
    <s v="16.01.2020"/>
    <n v="2"/>
    <s v="PRO002"/>
    <x v="14"/>
    <n v="10"/>
    <s v="MIN"/>
    <n v="0.16666666666666666"/>
    <x v="0"/>
    <s v="14.01.2020"/>
    <s v="14.01.2020"/>
    <d v="1899-12-30T19:50:00"/>
    <d v="1899-12-30T20:00:00"/>
    <x v="327"/>
    <n v="10051581"/>
    <s v="PI-TH-7151-FA-F1-FP"/>
    <s v="ตรวจเช็คท่อร้อยสายไฟ"/>
  </r>
  <r>
    <m/>
    <n v="3132712"/>
    <s v="15.01.2020"/>
    <n v="2"/>
    <s v="PRO002"/>
    <x v="14"/>
    <n v="15"/>
    <s v="MIN"/>
    <n v="0.25"/>
    <x v="0"/>
    <s v="14.01.2020"/>
    <s v="14.01.2020"/>
    <d v="1899-12-30T19:40:00"/>
    <d v="1899-12-30T19:45:00"/>
    <x v="328"/>
    <n v="10051704"/>
    <s v="PI-TH-7151-FA-F1-ST"/>
    <s v="ตรวจเช็คค่ากระแสไฟฟ้าทั้ง3เฟส"/>
  </r>
  <r>
    <m/>
    <n v="3132715"/>
    <s v="15.01.2020"/>
    <n v="2"/>
    <s v="PRO002"/>
    <x v="14"/>
    <n v="5"/>
    <s v="MIN"/>
    <n v="8.3333333333333329E-2"/>
    <x v="0"/>
    <s v="14.01.2020"/>
    <s v="14.01.2020"/>
    <d v="1899-12-30T19:40:00"/>
    <d v="1899-12-30T19:45:00"/>
    <x v="329"/>
    <n v="10049540"/>
    <s v="PI-TH-7151-FA-F1-ST"/>
    <s v="ตรวจเช็คค่ากระแสไฟฟ้าทั้ง3เฟส"/>
  </r>
  <r>
    <m/>
    <n v="3132719"/>
    <s v="15.01.2020"/>
    <n v="2"/>
    <s v="PRO002"/>
    <x v="14"/>
    <n v="5"/>
    <s v="MIN"/>
    <n v="8.3333333333333329E-2"/>
    <x v="0"/>
    <s v="14.01.2020"/>
    <s v="14.01.2020"/>
    <d v="1899-12-30T19:35:00"/>
    <d v="1899-12-30T19:40:00"/>
    <x v="330"/>
    <n v="10051747"/>
    <s v="PI-TH-7151-FA-F1-ST"/>
    <s v="ตรวจเช็คค่ากระแสไฟฟ้าทั้ง3เฟส"/>
  </r>
  <r>
    <m/>
    <n v="3134283"/>
    <s v="15.01.2020"/>
    <n v="2"/>
    <s v="PRO002"/>
    <x v="14"/>
    <n v="10"/>
    <s v="MIN"/>
    <n v="0.16666666666666666"/>
    <x v="0"/>
    <s v="14.01.2020"/>
    <s v="14.01.2020"/>
    <d v="1899-12-30T19:50:00"/>
    <d v="1899-12-30T20:00:00"/>
    <x v="331"/>
    <n v="10049540"/>
    <s v="PI-TH-7151-FA-F1-ST"/>
    <s v="ตรวจเช็คค่ากระแสไฟฟ้าทั้ง3เฟส"/>
  </r>
  <r>
    <m/>
    <n v="3122036"/>
    <s v="16.01.2020"/>
    <n v="2"/>
    <s v="PRO002"/>
    <x v="14"/>
    <n v="35"/>
    <s v="MIN"/>
    <n v="0.58333333333333337"/>
    <x v="0"/>
    <s v="15.01.2020"/>
    <s v="15.01.2020"/>
    <d v="1899-12-30T20:05:00"/>
    <d v="1899-12-30T20:35:00"/>
    <x v="332"/>
    <n v="10051704"/>
    <s v="PI-TH-7151-FA-F1-ST"/>
    <s v="ตรวจเช็คท่อร้อยสายไฟ"/>
  </r>
  <r>
    <m/>
    <n v="3132494"/>
    <s v="20.01.2020"/>
    <n v="1"/>
    <s v="PRO002"/>
    <x v="14"/>
    <n v="30"/>
    <s v="MIN"/>
    <n v="0.5"/>
    <x v="0"/>
    <s v="15.01.2020"/>
    <s v="15.01.2020"/>
    <d v="1899-12-30T09:00:00"/>
    <d v="1899-12-30T09:30:00"/>
    <x v="333"/>
    <n v="10051396"/>
    <s v="PI-TH-7151-FA-F1-P1"/>
    <s v="Calibrate waste weight unit"/>
  </r>
  <r>
    <m/>
    <n v="3132722"/>
    <s v="16.01.2020"/>
    <n v="2"/>
    <s v="PRO002"/>
    <x v="14"/>
    <n v="30"/>
    <s v="MIN"/>
    <n v="0.5"/>
    <x v="0"/>
    <s v="15.01.2020"/>
    <s v="15.01.2020"/>
    <d v="1899-12-30T20:50:00"/>
    <d v="1899-12-30T21:20:00"/>
    <x v="334"/>
    <n v="10049549"/>
    <s v="PI-TH-7151-FA-F1-ST"/>
    <s v="ตรวจเช็คกระแสไฟฟ้าทั้ง 3 เฟส"/>
  </r>
  <r>
    <m/>
    <n v="3134262"/>
    <s v="16.01.2020"/>
    <n v="2"/>
    <s v="PRO002"/>
    <x v="14"/>
    <n v="15"/>
    <s v="MIN"/>
    <n v="0.25"/>
    <x v="0"/>
    <s v="15.01.2020"/>
    <s v="15.01.2020"/>
    <d v="1899-12-30T19:55:00"/>
    <d v="1899-12-30T20:05:00"/>
    <x v="335"/>
    <n v="10051747"/>
    <s v="PI-TH-7151-FA-F1-ST"/>
    <s v="ตรวจเช็คท่อร้อยสายไฟ"/>
  </r>
  <r>
    <m/>
    <n v="3134267"/>
    <s v="16.01.2020"/>
    <n v="2"/>
    <s v="PRO002"/>
    <x v="14"/>
    <n v="10"/>
    <s v="MIN"/>
    <n v="0.16666666666666666"/>
    <x v="0"/>
    <s v="15.01.2020"/>
    <s v="15.01.2020"/>
    <d v="1899-12-30T19:45:00"/>
    <d v="1899-12-30T19:55:00"/>
    <x v="336"/>
    <n v="10049565"/>
    <s v="PI-TH-7151-FA-F1-ST"/>
    <s v="ตรวจเช็คท่อร้อยสายไฟ"/>
  </r>
  <r>
    <m/>
    <n v="3134268"/>
    <s v="16.01.2020"/>
    <n v="1"/>
    <s v="PRO002"/>
    <x v="14"/>
    <n v="10"/>
    <s v="MIN"/>
    <n v="0.16666666666666666"/>
    <x v="0"/>
    <s v="15.01.2020"/>
    <s v="15.01.2020"/>
    <d v="1899-12-30T19:40:00"/>
    <d v="1899-12-30T19:50:00"/>
    <x v="337"/>
    <n v="10051174"/>
    <s v="PI-TH-7151-FA-F1-ST"/>
    <s v="ตรวจเช็คท่อร้อยสายไฟ"/>
  </r>
  <r>
    <m/>
    <n v="3134284"/>
    <s v="16.01.2020"/>
    <n v="2"/>
    <s v="PRO002"/>
    <x v="14"/>
    <n v="20"/>
    <s v="MIN"/>
    <n v="0.33333333333333331"/>
    <x v="0"/>
    <s v="15.01.2020"/>
    <s v="15.01.2020"/>
    <d v="1899-12-30T19:20:00"/>
    <d v="1899-12-30T19:40:00"/>
    <x v="338"/>
    <n v="10051738"/>
    <s v="PI-TH-7151-FA-F1-ST"/>
    <s v="ตรวจเช็คท่อร้อยสายไฟ"/>
  </r>
  <r>
    <m/>
    <n v="3132498"/>
    <s v="20.01.2020"/>
    <n v="1"/>
    <s v="PRO002"/>
    <x v="14"/>
    <n v="15"/>
    <s v="MIN"/>
    <n v="0.25"/>
    <x v="0"/>
    <s v="16.01.2020"/>
    <s v="16.01.2020"/>
    <d v="1899-12-30T20:20:00"/>
    <d v="1899-12-30T20:35:00"/>
    <x v="339"/>
    <n v="10049549"/>
    <s v="PI-TH-7151-FA-F1-ST"/>
    <s v="ตรวจสอบท่อร้อยสายไฟ"/>
  </r>
  <r>
    <m/>
    <n v="3132499"/>
    <s v="20.01.2020"/>
    <n v="1"/>
    <s v="PRO002"/>
    <x v="14"/>
    <n v="25"/>
    <s v="MIN"/>
    <n v="0.41666666666666669"/>
    <x v="0"/>
    <s v="16.01.2020"/>
    <s v="16.01.2020"/>
    <d v="1899-12-30T20:35:00"/>
    <d v="1899-12-30T20:50:00"/>
    <x v="340"/>
    <n v="10049534"/>
    <s v="PI-TH-7151-FA-F1-ST"/>
    <s v="ตรวจสอบท่อร้อยสายไฟ"/>
  </r>
  <r>
    <m/>
    <n v="3134105"/>
    <s v="20.01.2020"/>
    <n v="1"/>
    <s v="PRO002"/>
    <x v="14"/>
    <n v="20"/>
    <s v="MIN"/>
    <n v="0.33333333333333331"/>
    <x v="0"/>
    <s v="16.01.2020"/>
    <s v="16.01.2020"/>
    <d v="1899-12-30T22:10:00"/>
    <d v="1899-12-30T22:30:00"/>
    <x v="341"/>
    <n v="10051337"/>
    <s v="PI-TH-7151-FA-F2-RB"/>
    <s v="ตรวจเช็คกระแสไฟฟ้าทั้ง3เฟส"/>
  </r>
  <r>
    <m/>
    <n v="3134114"/>
    <s v="20.01.2020"/>
    <n v="1"/>
    <s v="PRO002"/>
    <x v="14"/>
    <n v="5"/>
    <s v="MIN"/>
    <n v="8.3333333333333329E-2"/>
    <x v="0"/>
    <s v="16.01.2020"/>
    <s v="16.01.2020"/>
    <d v="1899-12-30T22:05:00"/>
    <d v="1899-12-30T22:10:00"/>
    <x v="342"/>
    <n v="10049680"/>
    <s v="PI-TH-7151-FA-F2-RB"/>
    <s v="ตรวจเช็คกระแสไฟฟ้าทั้ง3เฟส"/>
  </r>
  <r>
    <m/>
    <n v="3134126"/>
    <s v="20.01.2020"/>
    <n v="1"/>
    <s v="PRO002"/>
    <x v="14"/>
    <n v="25"/>
    <s v="MIN"/>
    <n v="0.41666666666666669"/>
    <x v="0"/>
    <s v="16.01.2020"/>
    <s v="16.01.2020"/>
    <d v="1899-12-30T21:15:00"/>
    <d v="1899-12-30T21:30:00"/>
    <x v="343"/>
    <n v="10049667"/>
    <s v="PI-TH-7151-FA-F2-RB"/>
    <s v="ตรวจเช็คกระแสไฟฟ้าทั้ง3เฟส"/>
  </r>
  <r>
    <m/>
    <n v="3134205"/>
    <s v="20.01.2020"/>
    <n v="1"/>
    <s v="PRO002"/>
    <x v="14"/>
    <n v="10"/>
    <s v="MIN"/>
    <n v="0.16666666666666666"/>
    <x v="0"/>
    <s v="16.01.2020"/>
    <s v="16.01.2020"/>
    <d v="1899-12-30T21:50:00"/>
    <d v="1899-12-30T22:00:00"/>
    <x v="344"/>
    <n v="10051408"/>
    <s v="PI-TH-7151-FA-F2-RB"/>
    <s v="ตรวจเช็คกระแสไฟฟ้าทั้ง3เฟส"/>
  </r>
  <r>
    <m/>
    <n v="3134209"/>
    <s v="20.01.2020"/>
    <n v="1"/>
    <s v="PRO002"/>
    <x v="14"/>
    <n v="10"/>
    <s v="MIN"/>
    <n v="0.16666666666666666"/>
    <x v="0"/>
    <s v="16.01.2020"/>
    <s v="16.01.2020"/>
    <d v="1899-12-30T21:30:00"/>
    <d v="1899-12-30T21:35:00"/>
    <x v="345"/>
    <n v="10051347"/>
    <s v="PI-TH-7151-FA-F2-RB"/>
    <s v="ตรวจเช็คกระแสไฟฟ้าทั้ง3เฟส"/>
  </r>
  <r>
    <m/>
    <n v="3134308"/>
    <s v="20.01.2020"/>
    <n v="1"/>
    <s v="PRO002"/>
    <x v="14"/>
    <n v="55"/>
    <s v="MIN"/>
    <n v="0.91666666666666663"/>
    <x v="0"/>
    <s v="16.01.2020"/>
    <s v="16.01.2020"/>
    <d v="1899-12-30T20:50:00"/>
    <d v="1899-12-30T21:20:00"/>
    <x v="346"/>
    <n v="10051759"/>
    <s v="PI-TH-7151-FA-F1-ST"/>
    <s v="ตรวจสอบท่อร้อยสายไฟ"/>
  </r>
  <r>
    <m/>
    <n v="3112706"/>
    <s v="20.01.2020"/>
    <n v="3"/>
    <s v="PRO002"/>
    <x v="14"/>
    <n v="120"/>
    <s v="MIN"/>
    <n v="2"/>
    <x v="0"/>
    <s v="18.01.2020"/>
    <s v="18.01.2020"/>
    <d v="1899-12-30T08:00:00"/>
    <d v="1899-12-30T10:00:00"/>
    <x v="59"/>
    <n v="10049361"/>
    <s v="PI-TH-7151-FA-F1-P1"/>
    <s v="Calibrate sensor Thermal oil heater."/>
  </r>
  <r>
    <m/>
    <n v="3114091"/>
    <s v="20.01.2020"/>
    <n v="3"/>
    <s v="PRO002"/>
    <x v="14"/>
    <n v="120"/>
    <s v="MIN"/>
    <n v="2"/>
    <x v="0"/>
    <s v="18.01.2020"/>
    <s v="18.01.2020"/>
    <d v="1899-12-30T13:00:00"/>
    <d v="1899-12-30T15:00:00"/>
    <x v="60"/>
    <n v="10051443"/>
    <s v="PI-TH-7151-FA-F1-P1"/>
    <s v="ทำความสะอาดช่องระหว่าง Electro"/>
  </r>
  <r>
    <m/>
    <n v="3118388"/>
    <s v="20.01.2020"/>
    <n v="3"/>
    <s v="PRO002"/>
    <x v="14"/>
    <n v="120"/>
    <s v="MIN"/>
    <n v="2"/>
    <x v="0"/>
    <s v="18.01.2020"/>
    <s v="18.01.2020"/>
    <d v="1899-12-30T10:00:00"/>
    <d v="1899-12-30T12:00:00"/>
    <x v="61"/>
    <n v="10051778"/>
    <s v="PI-TH-7151-FA-F1-P1"/>
    <s v="Calibrate weight unit"/>
  </r>
  <r>
    <m/>
    <n v="3134181"/>
    <s v="20.01.2020"/>
    <n v="1"/>
    <s v="PRO002"/>
    <x v="14"/>
    <n v="25"/>
    <s v="MIN"/>
    <n v="0.41666666666666669"/>
    <x v="0"/>
    <s v="18.01.2020"/>
    <s v="18.01.2020"/>
    <d v="1899-12-30T21:35:00"/>
    <d v="1899-12-30T21:50:00"/>
    <x v="347"/>
    <n v="10051329"/>
    <s v="PI-TH-7151-FA-F2-RB"/>
    <s v="ตรวจเช็คกระแสไฟฟ้าทั้ง3เฟส"/>
  </r>
  <r>
    <m/>
    <n v="3134204"/>
    <s v="20.01.2020"/>
    <n v="1"/>
    <s v="PRO002"/>
    <x v="14"/>
    <n v="60"/>
    <s v="MIN"/>
    <n v="1"/>
    <x v="0"/>
    <s v="18.01.2020"/>
    <s v="18.01.2020"/>
    <d v="1899-12-30T22:00:00"/>
    <d v="1899-12-30T23:00:00"/>
    <x v="348"/>
    <n v="10049688"/>
    <s v="PI-TH-7151-FA-F2-RB"/>
    <s v="ตรวจเช็คกระแสไฟฟ้าทั้ง3เฟส"/>
  </r>
  <r>
    <m/>
    <n v="3122104"/>
    <s v="16.01.2020"/>
    <n v="1"/>
    <s v="PAC002"/>
    <x v="15"/>
    <n v="60"/>
    <s v="MIN"/>
    <n v="1"/>
    <x v="0"/>
    <s v="09.01.2020"/>
    <s v="09.01.2020"/>
    <d v="1899-12-30T22:00:00"/>
    <d v="1899-12-30T23:00:00"/>
    <x v="216"/>
    <n v="10049997"/>
    <s v="PI-TH-7151-FA-PK-CZ"/>
    <s v="ตรวจสอบสภาพทั่วไปของ Roller"/>
  </r>
  <r>
    <m/>
    <n v="3122049"/>
    <s v="13.01.2020"/>
    <n v="1"/>
    <s v="PAC002"/>
    <x v="15"/>
    <n v="60"/>
    <s v="MIN"/>
    <n v="1"/>
    <x v="0"/>
    <s v="11.01.2020"/>
    <s v="11.01.2020"/>
    <d v="1899-12-30T10:00:00"/>
    <d v="1899-12-30T11:00:00"/>
    <x v="217"/>
    <n v="10070544"/>
    <s v="PI-TH-7151-FA-PK-CZ"/>
    <s v="ตรวจเช็คสภาพ Roller"/>
  </r>
  <r>
    <m/>
    <n v="3122083"/>
    <s v="13.01.2020"/>
    <n v="3"/>
    <s v="PAC002"/>
    <x v="15"/>
    <n v="60"/>
    <s v="MIN"/>
    <n v="1"/>
    <x v="0"/>
    <s v="11.01.2020"/>
    <s v="11.01.2020"/>
    <d v="1899-12-30T09:00:00"/>
    <d v="1899-12-30T10:00:00"/>
    <x v="218"/>
    <n v="10052565"/>
    <s v="PI-TH-7151-FA-PK-CZ"/>
    <s v="ตรวจเช็คสภาพ Roller"/>
  </r>
  <r>
    <m/>
    <n v="3122098"/>
    <s v="13.01.2020"/>
    <n v="1"/>
    <s v="PAC002"/>
    <x v="15"/>
    <n v="60"/>
    <s v="MIN"/>
    <n v="1"/>
    <x v="0"/>
    <s v="11.01.2020"/>
    <s v="11.01.2020"/>
    <d v="1899-12-30T08:00:00"/>
    <d v="1899-12-30T09:00:00"/>
    <x v="219"/>
    <n v="10049998"/>
    <s v="PI-TH-7151-FA-PK-CZ"/>
    <s v="ตรวจเช็คสภาพ Roller"/>
  </r>
  <r>
    <m/>
    <n v="3118333"/>
    <s v="12.01.2020"/>
    <n v="1"/>
    <s v="PRO001"/>
    <x v="15"/>
    <n v="60"/>
    <s v="MIN"/>
    <n v="1"/>
    <x v="0"/>
    <s v="03.01.2020"/>
    <s v="03.01.2020"/>
    <d v="1899-12-30T19:00:00"/>
    <d v="1899-12-30T20:00:00"/>
    <x v="220"/>
    <n v="10051481"/>
    <s v="PI-TH-7151-FA-F2-PL"/>
    <s v="ทำการเปลียนนำมันหล่อลื่น"/>
  </r>
  <r>
    <m/>
    <n v="3118357"/>
    <s v="12.01.2020"/>
    <n v="2"/>
    <s v="PRO001"/>
    <x v="15"/>
    <n v="1.5"/>
    <s v="H"/>
    <n v="90"/>
    <x v="0"/>
    <s v="03.01.2020"/>
    <s v="03.01.2020"/>
    <d v="1899-12-30T21:00:00"/>
    <d v="1899-12-30T22:30:00"/>
    <x v="221"/>
    <n v="10051481"/>
    <s v="PI-TH-7151-FA-F2-PL"/>
    <s v="ทำความสะอาดแล้ว"/>
  </r>
  <r>
    <m/>
    <n v="3119952"/>
    <s v="12.01.2020"/>
    <n v="2"/>
    <s v="PRO001"/>
    <x v="15"/>
    <n v="60"/>
    <s v="MIN"/>
    <n v="1"/>
    <x v="0"/>
    <s v="04.01.2020"/>
    <s v="04.01.2020"/>
    <d v="1899-12-30T19:30:00"/>
    <d v="1899-12-30T20:30:00"/>
    <x v="222"/>
    <n v="10049399"/>
    <s v="PI-TH-7151-FA-F2-PL"/>
    <s v="ทำความสะอาดแล้ว"/>
  </r>
  <r>
    <m/>
    <n v="3122760"/>
    <s v="12.01.2020"/>
    <n v="1"/>
    <s v="PRO001"/>
    <x v="15"/>
    <n v="30"/>
    <s v="MIN"/>
    <n v="0.5"/>
    <x v="0"/>
    <s v="04.01.2020"/>
    <s v="04.01.2020"/>
    <d v="1899-12-30T22:00:00"/>
    <d v="1899-12-30T22:30:00"/>
    <x v="223"/>
    <n v="10049436"/>
    <s v="PI-TH-7151-FA-F2-PL"/>
    <s v="Drain นำออกจาก Boiler"/>
  </r>
  <r>
    <m/>
    <n v="3122761"/>
    <s v="12.01.2020"/>
    <n v="1"/>
    <s v="PRO001"/>
    <x v="15"/>
    <n v="60"/>
    <s v="MIN"/>
    <n v="1"/>
    <x v="0"/>
    <s v="04.01.2020"/>
    <s v="04.01.2020"/>
    <d v="1899-12-30T20:30:00"/>
    <d v="1899-12-30T21:30:00"/>
    <x v="224"/>
    <n v="10049416"/>
    <s v="PI-TH-7151-FA-F2-PL"/>
    <s v="ตรวจเช็คสภาพปกติทั่วไป"/>
  </r>
  <r>
    <m/>
    <n v="3122766"/>
    <s v="12.01.2020"/>
    <n v="1"/>
    <s v="PRO001"/>
    <x v="15"/>
    <n v="30"/>
    <s v="MIN"/>
    <n v="0.5"/>
    <x v="0"/>
    <s v="04.01.2020"/>
    <s v="04.01.2020"/>
    <d v="1899-12-30T01:00:00"/>
    <d v="1899-12-30T01:30:00"/>
    <x v="225"/>
    <n v="10051337"/>
    <s v="PI-TH-7151-FA-F2-RB"/>
    <s v="ตรวจเช็คสภาพปกติทั่วไป"/>
  </r>
  <r>
    <m/>
    <n v="3120249"/>
    <s v="12.01.2020"/>
    <n v="1"/>
    <s v="PRO001"/>
    <x v="15"/>
    <n v="30"/>
    <s v="MIN"/>
    <n v="0.5"/>
    <x v="0"/>
    <s v="05.01.2020"/>
    <s v="05.01.2020"/>
    <d v="1899-12-30T22:30:00"/>
    <d v="1899-12-30T23:00:00"/>
    <x v="226"/>
    <n v="10051481"/>
    <s v="PI-TH-7151-FA-F2-PL"/>
    <s v="ไม่ได้เปลี่ยนแต่ทำความสะอาด ตรวจเช็คความ"/>
  </r>
  <r>
    <m/>
    <n v="3119953"/>
    <s v="16.01.2020"/>
    <n v="1"/>
    <s v="PRO001"/>
    <x v="15"/>
    <n v="60"/>
    <s v="MIN"/>
    <n v="1"/>
    <x v="0"/>
    <s v="09.01.2020"/>
    <s v="09.01.2020"/>
    <d v="1899-12-30T20:00:00"/>
    <d v="1899-12-30T21:00:00"/>
    <x v="227"/>
    <n v="10049399"/>
    <s v="PI-TH-7151-FA-F2-PL"/>
    <s v="ตรวจสอบสภาพทั่วไป"/>
  </r>
  <r>
    <m/>
    <n v="3120240"/>
    <s v="16.01.2020"/>
    <n v="1"/>
    <s v="PRO001"/>
    <x v="15"/>
    <n v="60"/>
    <s v="MIN"/>
    <n v="1"/>
    <x v="0"/>
    <s v="09.01.2020"/>
    <s v="09.01.2020"/>
    <d v="1899-12-30T21:00:00"/>
    <d v="1899-12-30T22:00:00"/>
    <x v="228"/>
    <n v="10049399"/>
    <s v="PI-TH-7151-FA-F2-PL"/>
    <s v="อัดจารบี+ทความสะอาด"/>
  </r>
  <r>
    <m/>
    <n v="3120241"/>
    <s v="16.01.2020"/>
    <n v="1"/>
    <s v="PRO001"/>
    <x v="15"/>
    <n v="240"/>
    <s v="MIN"/>
    <n v="4"/>
    <x v="0"/>
    <s v="11.01.2020"/>
    <s v="11.01.2020"/>
    <d v="1899-12-30T09:00:00"/>
    <d v="1899-12-30T12:00:00"/>
    <x v="300"/>
    <n v="10051396"/>
    <s v="PI-TH-7151-FA-F1-P1"/>
    <s v="เปลี่ยนสายพาน Kromasort"/>
  </r>
  <r>
    <m/>
    <n v="3122736"/>
    <s v="13.01.2020"/>
    <n v="1"/>
    <s v="PRO001"/>
    <x v="15"/>
    <n v="60"/>
    <s v="MIN"/>
    <n v="1"/>
    <x v="0"/>
    <s v="12.01.2020"/>
    <s v="12.01.2020"/>
    <d v="1899-12-30T15:30:00"/>
    <d v="1899-12-30T16:30:00"/>
    <x v="193"/>
    <n v="10051493"/>
    <s v="PI-TH-7151-FA-F2-PL"/>
    <s v="อัดจารบีและตรวจเช็คสภาพ"/>
  </r>
  <r>
    <m/>
    <n v="3122784"/>
    <s v="13.01.2020"/>
    <n v="2"/>
    <s v="PRO001"/>
    <x v="15"/>
    <n v="1.5"/>
    <s v="H"/>
    <n v="90"/>
    <x v="0"/>
    <s v="12.01.2020"/>
    <s v="12.01.2020"/>
    <d v="1899-12-30T14:00:00"/>
    <d v="1899-12-30T15:30:00"/>
    <x v="229"/>
    <n v="10049416"/>
    <s v="PI-TH-7151-FA-F2-PL"/>
    <s v="Drain นำออกเพื่อทำความสะอาด"/>
  </r>
  <r>
    <m/>
    <n v="3122796"/>
    <s v="13.01.2020"/>
    <n v="1"/>
    <s v="PRO001"/>
    <x v="15"/>
    <n v="30"/>
    <s v="MIN"/>
    <n v="0.5"/>
    <x v="0"/>
    <s v="12.01.2020"/>
    <s v="12.01.2020"/>
    <d v="1899-12-30T13:00:00"/>
    <d v="1899-12-30T13:30:00"/>
    <x v="230"/>
    <n v="10049399"/>
    <s v="PI-TH-7151-FA-F2-PL"/>
    <s v="ล้างทำความสะอาด Hopper micro"/>
  </r>
  <r>
    <m/>
    <n v="3132473"/>
    <s v="13.01.2020"/>
    <n v="2"/>
    <s v="PRO001"/>
    <x v="15"/>
    <n v="30"/>
    <s v="MIN"/>
    <n v="0.5"/>
    <x v="0"/>
    <s v="12.01.2020"/>
    <s v="12.01.2020"/>
    <d v="1899-12-30T13:00:00"/>
    <d v="1899-12-30T13:30:00"/>
    <x v="231"/>
    <n v="10049436"/>
    <s v="PI-TH-7151-FA-F2-PL"/>
    <s v="Drain นำออกเพื่อทำความสะอาด"/>
  </r>
  <r>
    <m/>
    <n v="3133500"/>
    <s v="20.01.2020"/>
    <n v="1"/>
    <s v="PRO001"/>
    <x v="15"/>
    <n v="60"/>
    <s v="MIN"/>
    <n v="1"/>
    <x v="0"/>
    <s v="17.01.2020"/>
    <s v="17.01.2020"/>
    <d v="1899-12-30T08:00:00"/>
    <d v="1899-12-30T09:00:00"/>
    <x v="237"/>
    <n v="10049667"/>
    <s v="PI-TH-7151-FA-F2-RB"/>
    <s v="ตรวจเช็คสภาพความสึกหรอและฉีกขาด"/>
  </r>
  <r>
    <m/>
    <n v="3134121"/>
    <s v="20.01.2020"/>
    <n v="1"/>
    <s v="PRO001"/>
    <x v="15"/>
    <n v="60"/>
    <s v="MIN"/>
    <n v="1"/>
    <x v="0"/>
    <s v="17.01.2020"/>
    <s v="17.01.2020"/>
    <d v="1899-12-30T09:00:00"/>
    <d v="1899-12-30T10:00:00"/>
    <x v="238"/>
    <n v="10049680"/>
    <s v="PI-TH-7151-FA-F2-RB"/>
    <s v="อัดจารบี Bearing"/>
  </r>
  <r>
    <m/>
    <n v="3134257"/>
    <s v="20.01.2020"/>
    <n v="2"/>
    <s v="PRO001"/>
    <x v="15"/>
    <n v="30"/>
    <s v="MIN"/>
    <n v="0.5"/>
    <x v="0"/>
    <s v="17.01.2020"/>
    <s v="17.01.2020"/>
    <d v="1899-12-30T15:00:00"/>
    <d v="1899-12-30T15:30:00"/>
    <x v="240"/>
    <n v="10051337"/>
    <s v="PI-TH-7151-FA-F2-RB"/>
    <s v="ทำความสะอาดชุดท่อนำมัน"/>
  </r>
  <r>
    <m/>
    <n v="3122007"/>
    <s v="13.01.2020"/>
    <n v="1"/>
    <s v="PRO002"/>
    <x v="15"/>
    <n v="30"/>
    <s v="MIN"/>
    <n v="0.5"/>
    <x v="0"/>
    <s v="11.01.2020"/>
    <s v="11.01.2020"/>
    <d v="1899-12-30T14:00:00"/>
    <d v="1899-12-30T14:30:00"/>
    <x v="349"/>
    <n v="10051541"/>
    <s v="PI-TH-7151-FA-F1-FP"/>
    <s v="ตรวจเช็คสภาพปกติทั่วไป"/>
  </r>
  <r>
    <m/>
    <n v="3100485"/>
    <s v="16.01.2020"/>
    <n v="1"/>
    <s v="PAC002"/>
    <x v="16"/>
    <n v="50"/>
    <s v="MIN"/>
    <n v="0.83333333333333337"/>
    <x v="0"/>
    <s v="09.01.2020"/>
    <s v="09.01.2020"/>
    <d v="1899-12-30T20:00:00"/>
    <d v="1899-12-30T20:50:00"/>
    <x v="206"/>
    <n v="10049730"/>
    <s v="PI-TH-7151-FA-PK-04"/>
    <s v="เช็คสภาพเบื้องต้นทำงานได้/ทำความสะอาด"/>
  </r>
  <r>
    <m/>
    <n v="3122047"/>
    <s v="16.01.2020"/>
    <n v="2"/>
    <s v="PAC002"/>
    <x v="16"/>
    <n v="30"/>
    <s v="MIN"/>
    <n v="0.5"/>
    <x v="0"/>
    <s v="09.01.2020"/>
    <s v="09.01.2020"/>
    <d v="1899-12-30T22:30:00"/>
    <d v="1899-12-30T23:00:00"/>
    <x v="207"/>
    <n v="10055740"/>
    <s v="PI-TH-7151-FA-PK-05"/>
    <s v="Strip guide สกปรก"/>
  </r>
  <r>
    <m/>
    <n v="3122051"/>
    <s v="16.01.2020"/>
    <n v="1"/>
    <s v="PAC002"/>
    <x v="16"/>
    <n v="30"/>
    <s v="MIN"/>
    <n v="0.5"/>
    <x v="0"/>
    <s v="14.01.2020"/>
    <s v="14.01.2020"/>
    <d v="1899-12-30T21:00:00"/>
    <d v="1899-12-30T21:30:00"/>
    <x v="209"/>
    <n v="10051517"/>
    <s v="PI-TH-7151-FA-PK-05"/>
    <s v="Strip guide สกปรก"/>
  </r>
  <r>
    <m/>
    <n v="3122099"/>
    <s v="16.01.2020"/>
    <n v="1"/>
    <s v="PAC002"/>
    <x v="16"/>
    <n v="120"/>
    <s v="MIN"/>
    <n v="2"/>
    <x v="0"/>
    <s v="14.01.2020"/>
    <s v="14.01.2020"/>
    <d v="1899-12-30T22:00:00"/>
    <d v="1899-12-30T23:30:00"/>
    <x v="212"/>
    <n v="10055739"/>
    <s v="PI-TH-7151-FA-PK-05"/>
    <s v="ถอดเครื่องอื่นมาใส่แทน/ของไม่มี"/>
  </r>
  <r>
    <m/>
    <n v="3122127"/>
    <s v="16.01.2020"/>
    <n v="1"/>
    <s v="PAC002"/>
    <x v="16"/>
    <n v="30"/>
    <s v="MIN"/>
    <n v="0.5"/>
    <x v="0"/>
    <s v="14.01.2020"/>
    <s v="14.01.2020"/>
    <d v="1899-12-30T21:30:00"/>
    <d v="1899-12-30T22:00:00"/>
    <x v="213"/>
    <n v="10051516"/>
    <s v="PI-TH-7151-FA-PK-05"/>
    <s v="Strip guide สกปรก"/>
  </r>
  <r>
    <m/>
    <n v="3118347"/>
    <s v="12.01.2020"/>
    <n v="1"/>
    <s v="PRO001"/>
    <x v="16"/>
    <n v="20"/>
    <s v="MIN"/>
    <n v="0.33333333333333331"/>
    <x v="0"/>
    <s v="08.01.2020"/>
    <s v="08.01.2020"/>
    <d v="1899-12-30T21:30:00"/>
    <d v="1899-12-30T21:50:00"/>
    <x v="313"/>
    <n v="10049372"/>
    <s v="PI-TH-7151-FA-F1-P1"/>
    <s v="ตรวจเช็คค่าค่าปกติ"/>
  </r>
  <r>
    <m/>
    <n v="3120253"/>
    <s v="12.01.2020"/>
    <n v="2"/>
    <s v="PRO001"/>
    <x v="16"/>
    <n v="30"/>
    <s v="MIN"/>
    <n v="0.5"/>
    <x v="0"/>
    <s v="08.01.2020"/>
    <s v="08.01.2020"/>
    <d v="1899-12-30T21:00:00"/>
    <d v="1899-12-30T21:30:00"/>
    <x v="214"/>
    <n v="10051778"/>
    <s v="PI-TH-7151-FA-F1-P1"/>
    <s v="ตรวจเช็คสภาพปกติทั่วไป"/>
  </r>
  <r>
    <m/>
    <n v="3119954"/>
    <s v="16.01.2020"/>
    <n v="2"/>
    <s v="PRO001"/>
    <x v="16"/>
    <n v="30"/>
    <s v="MIN"/>
    <n v="0.5"/>
    <x v="0"/>
    <s v="11.01.2020"/>
    <s v="11.01.2020"/>
    <d v="1899-12-30T10:00:00"/>
    <d v="1899-12-30T10:20:00"/>
    <x v="350"/>
    <n v="10051386"/>
    <s v="PI-TH-7151-FA-F1-P1"/>
    <s v="อัดจารบี+ทำความสะอาด"/>
  </r>
  <r>
    <m/>
    <n v="3120241"/>
    <s v="16.01.2020"/>
    <n v="2"/>
    <s v="PRO001"/>
    <x v="16"/>
    <n v="240"/>
    <s v="MIN"/>
    <n v="4"/>
    <x v="0"/>
    <s v="11.01.2020"/>
    <s v="11.01.2020"/>
    <d v="1899-12-30T09:00:00"/>
    <d v="1899-12-30T12:00:00"/>
    <x v="300"/>
    <n v="10051396"/>
    <s v="PI-TH-7151-FA-F1-P1"/>
    <s v="เปลี่ยนสายพาน Kromasort"/>
  </r>
  <r>
    <m/>
    <n v="3122737"/>
    <s v="16.01.2020"/>
    <n v="2"/>
    <s v="PRO001"/>
    <x v="16"/>
    <n v="30"/>
    <s v="MIN"/>
    <n v="0.5"/>
    <x v="0"/>
    <s v="11.01.2020"/>
    <s v="11.01.2020"/>
    <d v="1899-12-30T17:00:00"/>
    <d v="1899-12-30T17:30:00"/>
    <x v="351"/>
    <n v="10051386"/>
    <s v="PI-TH-7151-FA-F1-P1"/>
    <s v="อัดจารบี+ทำความสะอาด"/>
  </r>
  <r>
    <m/>
    <n v="3122757"/>
    <s v="16.01.2020"/>
    <n v="1"/>
    <s v="PRO001"/>
    <x v="16"/>
    <n v="30"/>
    <s v="MIN"/>
    <n v="0.5"/>
    <x v="0"/>
    <s v="11.01.2020"/>
    <s v="11.01.2020"/>
    <d v="1899-12-30T08:30:00"/>
    <d v="1899-12-30T09:00:00"/>
    <x v="352"/>
    <n v="10049350"/>
    <s v="PI-TH-7151-FA-F1-P1"/>
    <s v="เป่าทำความสะอาด"/>
  </r>
  <r>
    <m/>
    <n v="3122800"/>
    <s v="16.01.2020"/>
    <n v="2"/>
    <s v="PRO001"/>
    <x v="16"/>
    <n v="30"/>
    <s v="MIN"/>
    <n v="0.5"/>
    <x v="0"/>
    <s v="11.01.2020"/>
    <s v="11.01.2020"/>
    <d v="1899-12-30T17:30:00"/>
    <d v="1899-12-30T18:00:00"/>
    <x v="353"/>
    <n v="10051778"/>
    <s v="PI-TH-7151-FA-F1-P1"/>
    <s v="อัดจารบีเรียบร้อย"/>
  </r>
  <r>
    <m/>
    <n v="3122045"/>
    <s v="20.01.2020"/>
    <n v="2"/>
    <s v="PRO001"/>
    <x v="16"/>
    <n v="120"/>
    <s v="MIN"/>
    <n v="2"/>
    <x v="0"/>
    <s v="18.01.2020"/>
    <s v="18.01.2020"/>
    <d v="1899-12-30T09:00:00"/>
    <d v="1899-12-30T11:00:00"/>
    <x v="311"/>
    <n v="10051541"/>
    <s v="PI-TH-7151-FA-F1-FP"/>
    <s v="เปลี่ยนชุดเกียร์ใหม่"/>
  </r>
  <r>
    <m/>
    <n v="3122045"/>
    <s v="20.01.2020"/>
    <n v="3"/>
    <s v="PRO001"/>
    <x v="16"/>
    <n v="110"/>
    <s v="MIN"/>
    <n v="1.8333333333333333"/>
    <x v="0"/>
    <s v="18.01.2020"/>
    <s v="18.01.2020"/>
    <d v="1899-12-30T13:00:00"/>
    <d v="1899-12-30T13:45:00"/>
    <x v="311"/>
    <n v="10051541"/>
    <s v="PI-TH-7151-FA-F1-FP"/>
    <s v="เปลี่ยนชุดเกียร์ใหม่"/>
  </r>
  <r>
    <m/>
    <n v="3134250"/>
    <s v="20.01.2020"/>
    <n v="1"/>
    <s v="PRO001"/>
    <x v="16"/>
    <n v="50"/>
    <s v="MIN"/>
    <n v="0.83333333333333337"/>
    <x v="0"/>
    <s v="18.01.2020"/>
    <s v="18.01.2020"/>
    <d v="1899-12-30T08:00:00"/>
    <d v="1899-12-30T08:50:00"/>
    <x v="110"/>
    <n v="10049465"/>
    <s v="PI-TH-7151-FA-F1-FP"/>
    <s v="เปลี่ยนประเก็นเชือก"/>
  </r>
  <r>
    <m/>
    <n v="3112747"/>
    <s v="12.01.2020"/>
    <n v="3"/>
    <s v="PAC002"/>
    <x v="17"/>
    <n v="40"/>
    <s v="MIN"/>
    <n v="0.66666666666666663"/>
    <x v="0"/>
    <s v="09.01.2020"/>
    <s v="09.01.2020"/>
    <d v="1899-12-30T17:00:00"/>
    <d v="1899-12-30T17:40:00"/>
    <x v="179"/>
    <n v="10051311"/>
    <s v="PI-TH-7151-FA-PK-06"/>
    <s v="ทำความสะอาด/เช็ค Filter"/>
  </r>
  <r>
    <m/>
    <n v="3112756"/>
    <s v="12.01.2020"/>
    <n v="2"/>
    <s v="PAC002"/>
    <x v="17"/>
    <n v="1.5"/>
    <s v="H"/>
    <n v="90"/>
    <x v="0"/>
    <s v="09.01.2020"/>
    <s v="09.01.2020"/>
    <d v="1899-12-30T17:00:00"/>
    <d v="1899-12-30T17:30:00"/>
    <x v="274"/>
    <n v="10051309"/>
    <s v="PI-TH-7151-FA-PK-06"/>
    <s v="ทำความสะอาด/เช็ค Filter"/>
  </r>
  <r>
    <m/>
    <n v="3112767"/>
    <s v="12.01.2020"/>
    <n v="1"/>
    <s v="PAC002"/>
    <x v="17"/>
    <n v="20"/>
    <s v="MIN"/>
    <n v="0.33333333333333331"/>
    <x v="0"/>
    <s v="09.01.2020"/>
    <s v="09.01.2020"/>
    <d v="1899-12-30T16:40:00"/>
    <d v="1899-12-30T17:00:00"/>
    <x v="354"/>
    <n v="10051310"/>
    <s v="PI-TH-7151-FA-PK-06"/>
    <s v="ทำความสะอาด/เช็ค Filter"/>
  </r>
  <r>
    <m/>
    <n v="3134789"/>
    <s v="15.01.2020"/>
    <n v="3"/>
    <s v="PAC011"/>
    <x v="17"/>
    <n v="2"/>
    <s v="H"/>
    <n v="120"/>
    <x v="0"/>
    <s v="09.01.2020"/>
    <s v="09.01.2020"/>
    <d v="1899-12-30T11:00:00"/>
    <d v="1899-12-30T13:00:00"/>
    <x v="168"/>
    <n v="10049809"/>
    <s v="PI-TH-7151-FA-PK-01"/>
    <s v="Replace Eye mark sensor optex."/>
  </r>
  <r>
    <m/>
    <n v="3122793"/>
    <s v="13.01.2020"/>
    <n v="4"/>
    <s v="PRO000"/>
    <x v="17"/>
    <n v="40"/>
    <s v="MIN"/>
    <n v="0.66666666666666663"/>
    <x v="0"/>
    <s v="12.01.2020"/>
    <s v="12.01.2020"/>
    <d v="1899-12-30T21:10:00"/>
    <d v="1899-12-30T21:40:00"/>
    <x v="181"/>
    <n v="10051503"/>
    <s v="PI-TH-7151-FA-F2-PL"/>
    <s v="ตรวจเช็คสภาพปกติทั่วไป"/>
  </r>
  <r>
    <m/>
    <n v="3132496"/>
    <s v="14.01.2020"/>
    <n v="2"/>
    <s v="PRO000"/>
    <x v="17"/>
    <n v="0"/>
    <s v="MIN"/>
    <n v="0"/>
    <x v="0"/>
    <s v="12.01.2020"/>
    <s v="12.01.2020"/>
    <d v="1899-12-30T20:00:00"/>
    <d v="1899-12-30T20:30:00"/>
    <x v="269"/>
    <n v="10051738"/>
    <s v="PI-TH-7151-FA-F1-ST"/>
    <s v="อัดจารบี+ทำความสะอาด"/>
  </r>
  <r>
    <m/>
    <n v="3137637"/>
    <s v="20.01.2020"/>
    <n v="2"/>
    <s v="PRO000"/>
    <x v="17"/>
    <n v="30"/>
    <s v="MIN"/>
    <n v="0.5"/>
    <x v="0"/>
    <s v="17.01.2020"/>
    <s v="17.01.2020"/>
    <d v="1899-12-30T17:00:00"/>
    <d v="1899-12-30T17:30:00"/>
    <x v="276"/>
    <n v="10051738"/>
    <s v="PI-TH-7151-FA-F1-ST"/>
    <s v="อัดจารบี"/>
  </r>
  <r>
    <m/>
    <n v="3134254"/>
    <s v="20.01.2020"/>
    <n v="2"/>
    <s v="PRO000"/>
    <x v="17"/>
    <n v="20"/>
    <s v="MIN"/>
    <n v="0.33333333333333331"/>
    <x v="0"/>
    <s v="18.01.2020"/>
    <s v="18.01.2020"/>
    <d v="1899-12-30T11:20:00"/>
    <d v="1899-12-30T11:40:00"/>
    <x v="182"/>
    <n v="10051503"/>
    <s v="PI-TH-7151-FA-F2-PL"/>
    <s v="ทำการตรวจสอบสายพาน"/>
  </r>
  <r>
    <m/>
    <n v="3119992"/>
    <s v="12.01.2020"/>
    <n v="1"/>
    <s v="PRO001"/>
    <x v="17"/>
    <n v="10"/>
    <s v="MIN"/>
    <n v="0.16666666666666666"/>
    <x v="0"/>
    <s v="08.01.2020"/>
    <s v="08.01.2020"/>
    <d v="1899-12-30T09:50:00"/>
    <d v="1899-12-30T10:00:00"/>
    <x v="189"/>
    <n v="10049399"/>
    <s v="PI-TH-7151-FA-F2-PL"/>
    <s v="ตรวจวัดและบันทึกค่า"/>
  </r>
  <r>
    <m/>
    <n v="3112661"/>
    <s v="16.01.2020"/>
    <n v="1"/>
    <s v="PRO001"/>
    <x v="17"/>
    <n v="120"/>
    <s v="MIN"/>
    <n v="2"/>
    <x v="0"/>
    <s v="11.01.2020"/>
    <s v="11.01.2020"/>
    <d v="1899-12-30T15:00:00"/>
    <d v="1899-12-30T17:00:00"/>
    <x v="174"/>
    <n v="10051386"/>
    <s v="PI-TH-7151-FA-F1-P1"/>
    <s v="เปลี่ยนนำมันเกียร์"/>
  </r>
  <r>
    <m/>
    <n v="3119954"/>
    <s v="16.01.2020"/>
    <n v="1"/>
    <s v="PRO001"/>
    <x v="17"/>
    <n v="30"/>
    <s v="MIN"/>
    <n v="0.5"/>
    <x v="0"/>
    <s v="11.01.2020"/>
    <s v="11.01.2020"/>
    <d v="1899-12-30T10:00:00"/>
    <d v="1899-12-30T10:20:00"/>
    <x v="350"/>
    <n v="10051386"/>
    <s v="PI-TH-7151-FA-F1-P1"/>
    <s v="อัดจารบี+ทำความสะอาด"/>
  </r>
  <r>
    <m/>
    <n v="3120241"/>
    <s v="16.01.2020"/>
    <n v="5"/>
    <s v="PRO001"/>
    <x v="17"/>
    <n v="240"/>
    <s v="MIN"/>
    <n v="4"/>
    <x v="0"/>
    <s v="11.01.2020"/>
    <s v="11.01.2020"/>
    <d v="1899-12-30T09:00:00"/>
    <d v="1899-12-30T12:00:00"/>
    <x v="300"/>
    <n v="10051396"/>
    <s v="PI-TH-7151-FA-F1-P1"/>
    <s v="เปลี่ยนสายพาน Kromasort"/>
  </r>
  <r>
    <m/>
    <n v="3122005"/>
    <s v="16.01.2020"/>
    <n v="6"/>
    <s v="PRO001"/>
    <x v="17"/>
    <n v="20"/>
    <s v="MIN"/>
    <n v="0.33333333333333331"/>
    <x v="0"/>
    <s v="11.01.2020"/>
    <s v="11.01.2020"/>
    <d v="1899-12-30T20:20:00"/>
    <d v="1899-12-30T20:40:00"/>
    <x v="190"/>
    <n v="10049427"/>
    <s v="PI-TH-7151-FA-F2-PL"/>
    <s v="อัดจารบี+ฉัดสเปรย์"/>
  </r>
  <r>
    <m/>
    <n v="3122737"/>
    <s v="16.01.2020"/>
    <n v="1"/>
    <s v="PRO001"/>
    <x v="17"/>
    <n v="30"/>
    <s v="MIN"/>
    <n v="0.5"/>
    <x v="0"/>
    <s v="11.01.2020"/>
    <s v="11.01.2020"/>
    <d v="1899-12-30T17:00:00"/>
    <d v="1899-12-30T17:30:00"/>
    <x v="351"/>
    <n v="10051386"/>
    <s v="PI-TH-7151-FA-F1-P1"/>
    <s v="อัดจารบี+ทำความสะอาด"/>
  </r>
  <r>
    <m/>
    <n v="3122800"/>
    <s v="16.01.2020"/>
    <n v="1"/>
    <s v="PRO001"/>
    <x v="17"/>
    <n v="30"/>
    <s v="MIN"/>
    <n v="0.5"/>
    <x v="0"/>
    <s v="11.01.2020"/>
    <s v="11.01.2020"/>
    <d v="1899-12-30T17:30:00"/>
    <d v="1899-12-30T18:00:00"/>
    <x v="353"/>
    <n v="10051778"/>
    <s v="PI-TH-7151-FA-F1-P1"/>
    <s v="อัดจารบีเรียบร้อย"/>
  </r>
  <r>
    <m/>
    <n v="3120192"/>
    <s v="13.01.2020"/>
    <n v="2"/>
    <s v="PRO001"/>
    <x v="17"/>
    <n v="30"/>
    <s v="MIN"/>
    <n v="0.5"/>
    <x v="0"/>
    <s v="12.01.2020"/>
    <s v="12.01.2020"/>
    <d v="1899-12-30T20:00:00"/>
    <d v="1899-12-30T20:30:00"/>
    <x v="191"/>
    <n v="10051488"/>
    <s v="PI-TH-7151-FA-F2-PL"/>
    <s v="ฉีดสเปรย์/อัดจารบีแล้ว"/>
  </r>
  <r>
    <m/>
    <n v="3120198"/>
    <s v="13.01.2020"/>
    <n v="2"/>
    <s v="PRO001"/>
    <x v="17"/>
    <n v="20"/>
    <s v="MIN"/>
    <n v="0.33333333333333331"/>
    <x v="0"/>
    <s v="12.01.2020"/>
    <s v="12.01.2020"/>
    <d v="1899-12-30T19:40:00"/>
    <d v="1899-12-30T20:00:00"/>
    <x v="192"/>
    <n v="10051481"/>
    <s v="PI-TH-7151-FA-F2-PL"/>
    <s v="ฉีดสเปรย์/อัดจารบีแล้ว"/>
  </r>
  <r>
    <m/>
    <n v="3122005"/>
    <s v="13.01.2020"/>
    <n v="2"/>
    <s v="PRO001"/>
    <x v="17"/>
    <n v="25"/>
    <s v="MIN"/>
    <n v="0.41666666666666669"/>
    <x v="0"/>
    <s v="12.01.2020"/>
    <s v="12.01.2020"/>
    <d v="1899-12-30T20:30:00"/>
    <d v="1899-12-30T20:45:00"/>
    <x v="190"/>
    <n v="10049427"/>
    <s v="PI-TH-7151-FA-F2-PL"/>
    <s v="ตรวจเช็คสภาพปกติทั่วไป"/>
  </r>
  <r>
    <m/>
    <n v="3122787"/>
    <s v="13.01.2020"/>
    <n v="2"/>
    <s v="PRO001"/>
    <x v="17"/>
    <n v="10"/>
    <s v="MIN"/>
    <n v="0.16666666666666666"/>
    <x v="0"/>
    <s v="12.01.2020"/>
    <s v="12.01.2020"/>
    <d v="1899-12-30T21:00:00"/>
    <d v="1899-12-30T21:50:00"/>
    <x v="194"/>
    <n v="10051493"/>
    <s v="PI-TH-7151-FA-F2-PL"/>
    <s v="ตรวจเช็คสภาพปกติทั่วไป"/>
  </r>
  <r>
    <m/>
    <n v="3132488"/>
    <s v="14.01.2020"/>
    <n v="2"/>
    <s v="PRO001"/>
    <x v="17"/>
    <n v="30"/>
    <s v="MIN"/>
    <n v="0.5"/>
    <x v="0"/>
    <s v="12.01.2020"/>
    <s v="12.01.2020"/>
    <d v="1899-12-30T20:30:00"/>
    <d v="1899-12-30T21:00:00"/>
    <x v="270"/>
    <n v="10051555"/>
    <s v="PI-TH-7151-FA-F1-FP"/>
    <s v="อัดจารบี+ทำความสะอาด"/>
  </r>
  <r>
    <m/>
    <n v="3132479"/>
    <s v="16.01.2020"/>
    <n v="3"/>
    <s v="PRO001"/>
    <x v="17"/>
    <n v="10"/>
    <s v="MIN"/>
    <n v="0.16666666666666666"/>
    <x v="0"/>
    <s v="14.01.2020"/>
    <s v="14.01.2020"/>
    <d v="1899-12-30T20:00:00"/>
    <d v="1899-12-30T20:10:00"/>
    <x v="195"/>
    <n v="10049436"/>
    <s v="PI-TH-7151-FA-F2-PL"/>
    <s v="ตรวจเช็คแรงดันปกติ"/>
  </r>
  <r>
    <m/>
    <n v="3132480"/>
    <s v="16.01.2020"/>
    <n v="3"/>
    <s v="PRO001"/>
    <x v="17"/>
    <n v="10"/>
    <s v="MIN"/>
    <n v="0.16666666666666666"/>
    <x v="0"/>
    <s v="14.01.2020"/>
    <s v="14.01.2020"/>
    <d v="1899-12-30T19:50:00"/>
    <d v="1899-12-30T20:00:00"/>
    <x v="196"/>
    <n v="10049436"/>
    <s v="PI-TH-7151-FA-F2-PL"/>
    <s v="อัดจารบีเรียบร้อย"/>
  </r>
  <r>
    <m/>
    <n v="3132486"/>
    <s v="16.01.2020"/>
    <n v="2"/>
    <s v="PRO001"/>
    <x v="17"/>
    <n v="10"/>
    <s v="MIN"/>
    <n v="0.16666666666666666"/>
    <x v="0"/>
    <s v="14.01.2020"/>
    <s v="14.01.2020"/>
    <d v="1899-12-30T20:10:00"/>
    <d v="1899-12-30T20:20:00"/>
    <x v="197"/>
    <n v="10049436"/>
    <s v="PI-TH-7151-FA-F2-PL"/>
    <s v="เปลี่ยน Filter เรียบร้อย"/>
  </r>
  <r>
    <m/>
    <n v="3120256"/>
    <s v="16.01.2020"/>
    <n v="3"/>
    <s v="PRO001"/>
    <x v="17"/>
    <n v="20"/>
    <s v="MIN"/>
    <n v="0.33333333333333331"/>
    <x v="0"/>
    <s v="15.01.2020"/>
    <s v="15.01.2020"/>
    <d v="1899-12-30T20:40:00"/>
    <d v="1899-12-30T21:00:00"/>
    <x v="92"/>
    <n v="10049540"/>
    <s v="PI-TH-7151-FA-F1-ST"/>
    <s v="อัดจารบีเรียบร้อย"/>
  </r>
  <r>
    <m/>
    <n v="3120257"/>
    <s v="16.01.2020"/>
    <n v="2"/>
    <s v="PRO001"/>
    <x v="17"/>
    <n v="15"/>
    <s v="MIN"/>
    <n v="0.25"/>
    <x v="0"/>
    <s v="15.01.2020"/>
    <s v="15.01.2020"/>
    <d v="1899-12-30T20:20:00"/>
    <d v="1899-12-30T20:35:00"/>
    <x v="93"/>
    <n v="10049549"/>
    <s v="PI-TH-7151-FA-F1-ST"/>
    <s v="อัดจารบีเรียบร้อย"/>
  </r>
  <r>
    <m/>
    <n v="3132709"/>
    <s v="16.01.2020"/>
    <n v="3"/>
    <s v="PRO001"/>
    <x v="17"/>
    <n v="10"/>
    <s v="MIN"/>
    <n v="0.16666666666666666"/>
    <x v="0"/>
    <s v="15.01.2020"/>
    <s v="15.01.2020"/>
    <d v="1899-12-30T20:20:00"/>
    <d v="1899-12-30T20:30:00"/>
    <x v="94"/>
    <n v="10049540"/>
    <s v="PI-TH-7151-FA-F1-ST"/>
    <s v="ตรวจเช็คปรับตั้งความตึง/สายพาน"/>
  </r>
  <r>
    <m/>
    <n v="3132716"/>
    <s v="16.01.2020"/>
    <n v="3"/>
    <s v="PRO001"/>
    <x v="17"/>
    <n v="30"/>
    <s v="MIN"/>
    <n v="0.5"/>
    <x v="0"/>
    <s v="15.01.2020"/>
    <s v="15.01.2020"/>
    <d v="1899-12-30T20:00:00"/>
    <d v="1899-12-30T20:30:00"/>
    <x v="95"/>
    <n v="10051704"/>
    <s v="PI-TH-7151-FA-F1-ST"/>
    <s v="ตรวจเช็คการรั่วของแป้ง"/>
  </r>
  <r>
    <m/>
    <n v="3132717"/>
    <s v="16.01.2020"/>
    <n v="3"/>
    <s v="PRO001"/>
    <x v="17"/>
    <n v="30"/>
    <s v="MIN"/>
    <n v="0.5"/>
    <x v="0"/>
    <s v="15.01.2020"/>
    <s v="15.01.2020"/>
    <d v="1899-12-30T20:00:00"/>
    <d v="1899-12-30T20:30:00"/>
    <x v="96"/>
    <n v="10051704"/>
    <s v="PI-TH-7151-FA-F1-ST"/>
    <s v="อัดจารบีเรียบร้อย"/>
  </r>
  <r>
    <m/>
    <n v="3134276"/>
    <s v="16.01.2020"/>
    <n v="3"/>
    <s v="PRO001"/>
    <x v="17"/>
    <n v="20"/>
    <s v="MIN"/>
    <n v="0.33333333333333331"/>
    <x v="0"/>
    <s v="15.01.2020"/>
    <s v="15.01.2020"/>
    <d v="1899-12-30T21:00:00"/>
    <d v="1899-12-30T21:20:00"/>
    <x v="97"/>
    <n v="10049578"/>
    <s v="PI-TH-7151-FA-F1-ST"/>
    <s v="อัดจารบีเรียบร้อย"/>
  </r>
  <r>
    <m/>
    <n v="3134299"/>
    <s v="16.01.2020"/>
    <n v="3"/>
    <s v="PRO001"/>
    <x v="17"/>
    <n v="20"/>
    <s v="MIN"/>
    <n v="0.33333333333333331"/>
    <x v="0"/>
    <s v="15.01.2020"/>
    <s v="15.01.2020"/>
    <d v="1899-12-30T21:20:00"/>
    <d v="1899-12-30T21:40:00"/>
    <x v="98"/>
    <n v="10049565"/>
    <s v="PI-TH-7151-FA-F1-ST"/>
    <s v="อัดจารบีเรียบร้อย"/>
  </r>
  <r>
    <m/>
    <n v="3134300"/>
    <s v="16.01.2020"/>
    <n v="2"/>
    <s v="PRO001"/>
    <x v="17"/>
    <n v="10"/>
    <s v="MIN"/>
    <n v="0.16666666666666666"/>
    <x v="0"/>
    <s v="15.01.2020"/>
    <s v="15.01.2020"/>
    <d v="1899-12-30T21:10:00"/>
    <d v="1899-12-30T21:20:00"/>
    <x v="99"/>
    <n v="10049540"/>
    <s v="PI-TH-7151-FA-F1-ST"/>
    <s v="ตรวจเช็คค่า Vibration Wet mixer"/>
  </r>
  <r>
    <m/>
    <n v="3134305"/>
    <s v="16.01.2020"/>
    <n v="1"/>
    <s v="PRO001"/>
    <x v="17"/>
    <n v="25"/>
    <s v="MIN"/>
    <n v="0.41666666666666669"/>
    <x v="0"/>
    <s v="15.01.2020"/>
    <s v="15.01.2020"/>
    <d v="1899-12-30T20:35:00"/>
    <d v="1899-12-30T21:00:00"/>
    <x v="100"/>
    <n v="10051174"/>
    <s v="PI-TH-7151-FA-F1-ST"/>
    <s v="อัดจารบีเรียบร้อย"/>
  </r>
  <r>
    <m/>
    <n v="3134306"/>
    <s v="16.01.2020"/>
    <n v="2"/>
    <s v="PRO001"/>
    <x v="17"/>
    <n v="10"/>
    <s v="MIN"/>
    <n v="0.16666666666666666"/>
    <x v="0"/>
    <s v="15.01.2020"/>
    <s v="15.01.2020"/>
    <d v="1899-12-30T20:10:00"/>
    <d v="1899-12-30T20:20:00"/>
    <x v="101"/>
    <n v="10051704"/>
    <s v="PI-TH-7151-FA-F1-ST"/>
    <s v="ตรวจเช็คการรั่วซึมของนำ Cooling"/>
  </r>
  <r>
    <m/>
    <n v="3134307"/>
    <s v="16.01.2020"/>
    <n v="3"/>
    <s v="PRO001"/>
    <x v="17"/>
    <n v="20"/>
    <s v="MIN"/>
    <n v="0.33333333333333331"/>
    <x v="0"/>
    <s v="15.01.2020"/>
    <s v="15.01.2020"/>
    <d v="1899-12-30T21:00:00"/>
    <d v="1899-12-30T21:20:00"/>
    <x v="102"/>
    <n v="10049549"/>
    <s v="PI-TH-7151-FA-F1-ST"/>
    <s v="ตรวจเช็คการรั่วซึมของนำ Cooling"/>
  </r>
  <r>
    <m/>
    <n v="3134310"/>
    <s v="16.01.2020"/>
    <n v="2"/>
    <s v="PRO001"/>
    <x v="17"/>
    <n v="10"/>
    <s v="MIN"/>
    <n v="0.16666666666666666"/>
    <x v="0"/>
    <s v="15.01.2020"/>
    <s v="15.01.2020"/>
    <d v="1899-12-30T21:20:00"/>
    <d v="1899-12-30T21:30:00"/>
    <x v="103"/>
    <n v="10049549"/>
    <s v="PI-TH-7151-FA-F1-ST"/>
    <s v="ตรวจเช็คค่า Vibration"/>
  </r>
  <r>
    <m/>
    <n v="3134184"/>
    <s v="16.01.2020"/>
    <n v="2"/>
    <s v="PRO001"/>
    <x v="17"/>
    <n v="10"/>
    <s v="MIN"/>
    <n v="0.16666666666666666"/>
    <x v="0"/>
    <s v="16.01.2020"/>
    <s v="16.01.2020"/>
    <d v="1899-12-30T04:30:00"/>
    <d v="1899-12-30T04:40:00"/>
    <x v="199"/>
    <n v="10049436"/>
    <s v="PI-TH-7151-FA-F2-PL"/>
    <s v="Drian ออก พร้อม Test run."/>
  </r>
  <r>
    <m/>
    <n v="3134185"/>
    <s v="16.01.2020"/>
    <n v="3"/>
    <s v="PRO001"/>
    <x v="17"/>
    <n v="30"/>
    <s v="MIN"/>
    <n v="0.5"/>
    <x v="0"/>
    <s v="16.01.2020"/>
    <s v="16.01.2020"/>
    <d v="1899-12-30T04:00:00"/>
    <d v="1899-12-30T04:30:00"/>
    <x v="200"/>
    <n v="10049416"/>
    <s v="PI-TH-7151-FA-F2-PL"/>
    <s v="ตรวจเช็คทำความสะอาดเรียบร้อย"/>
  </r>
  <r>
    <m/>
    <n v="3132472"/>
    <s v="20.01.2020"/>
    <n v="2"/>
    <s v="PRO001"/>
    <x v="17"/>
    <n v="20"/>
    <s v="MIN"/>
    <n v="0.33333333333333331"/>
    <x v="0"/>
    <s v="18.01.2020"/>
    <s v="18.01.2020"/>
    <d v="1899-12-30T10:50:00"/>
    <d v="1899-12-30T11:10:00"/>
    <x v="201"/>
    <n v="10051503"/>
    <s v="PI-TH-7151-FA-F2-PL"/>
    <s v="ตรวจเช็คสภาพการคลบายตัวยึดน๊อต"/>
  </r>
  <r>
    <m/>
    <n v="3132484"/>
    <s v="20.01.2020"/>
    <n v="2"/>
    <s v="PRO001"/>
    <x v="17"/>
    <n v="20"/>
    <s v="MIN"/>
    <n v="0.33333333333333331"/>
    <x v="0"/>
    <s v="18.01.2020"/>
    <s v="18.01.2020"/>
    <d v="1899-12-30T11:10:00"/>
    <d v="1899-12-30T11:30:00"/>
    <x v="202"/>
    <n v="10051503"/>
    <s v="PI-TH-7151-FA-F2-PL"/>
    <s v="อัดจารบี"/>
  </r>
  <r>
    <m/>
    <n v="3134174"/>
    <s v="20.01.2020"/>
    <n v="2"/>
    <s v="PRO001"/>
    <x v="17"/>
    <n v="1.5"/>
    <s v="H"/>
    <n v="90"/>
    <x v="0"/>
    <s v="18.01.2020"/>
    <s v="18.01.2020"/>
    <d v="1899-12-30T14:20:00"/>
    <d v="1899-12-30T15:45:00"/>
    <x v="203"/>
    <n v="10049416"/>
    <s v="PI-TH-7151-FA-F2-PL"/>
    <s v="ทำความสะอาด Filter ของ BoboxVC1,2"/>
  </r>
  <r>
    <m/>
    <n v="3134256"/>
    <s v="20.01.2020"/>
    <n v="2"/>
    <s v="PRO001"/>
    <x v="17"/>
    <n v="20"/>
    <s v="MIN"/>
    <n v="0.33333333333333331"/>
    <x v="0"/>
    <s v="18.01.2020"/>
    <s v="18.01.2020"/>
    <d v="1899-12-30T08:15:00"/>
    <d v="1899-12-30T08:30:00"/>
    <x v="204"/>
    <n v="10051481"/>
    <s v="PI-TH-7151-FA-F2-PL"/>
    <s v="เปลี่ยนน็อตยึด"/>
  </r>
  <r>
    <m/>
    <n v="3137177"/>
    <s v="20.01.2020"/>
    <n v="2"/>
    <s v="PRO001"/>
    <x v="17"/>
    <n v="20"/>
    <s v="MIN"/>
    <n v="0.33333333333333331"/>
    <x v="0"/>
    <s v="18.01.2020"/>
    <s v="18.01.2020"/>
    <d v="1899-12-30T10:10:00"/>
    <d v="1899-12-30T10:30:00"/>
    <x v="205"/>
    <n v="10051503"/>
    <s v="PI-TH-7151-FA-F2-PL"/>
    <s v="ทาจารบี"/>
  </r>
  <r>
    <m/>
    <n v="3132480"/>
    <s v="16.01.2020"/>
    <n v="2"/>
    <s v="PRO001"/>
    <x v="18"/>
    <n v="10"/>
    <s v="MIN"/>
    <n v="0.16666666666666666"/>
    <x v="0"/>
    <s v="14.01.2020"/>
    <s v="14.01.2020"/>
    <d v="1899-12-30T19:50:00"/>
    <d v="1899-12-30T20:00:00"/>
    <x v="196"/>
    <n v="10049436"/>
    <s v="PI-TH-7151-FA-F2-PL"/>
    <s v="อัดจารบีเรียบร้อย"/>
  </r>
  <r>
    <m/>
    <n v="3112636"/>
    <s v="13.01.2020"/>
    <n v="4"/>
    <s v="PRO002"/>
    <x v="18"/>
    <n v="240"/>
    <s v="MIN"/>
    <n v="4"/>
    <x v="0"/>
    <s v="06.01.2020"/>
    <s v="06.01.2020"/>
    <d v="1899-12-30T08:00:00"/>
    <d v="1899-12-30T12:00:00"/>
    <x v="8"/>
    <n v="10051386"/>
    <s v="PI-TH-7151-FA-F1-P1"/>
    <s v="ถอดเปลี่ยน Motor Exhaust Fan"/>
  </r>
  <r>
    <m/>
    <n v="3119989"/>
    <s v="12.01.2020"/>
    <n v="2"/>
    <s v="PRO002"/>
    <x v="18"/>
    <n v="25"/>
    <s v="MIN"/>
    <n v="0.41666666666666669"/>
    <x v="0"/>
    <s v="09.01.2020"/>
    <s v="09.01.2020"/>
    <d v="1899-12-30T16:50:00"/>
    <d v="1899-12-30T17:20:00"/>
    <x v="320"/>
    <n v="10051481"/>
    <s v="PI-TH-7151-FA-F2-PL"/>
    <s v="สภาพปกติทั่วไปดี"/>
  </r>
  <r>
    <m/>
    <n v="3114077"/>
    <s v="14.01.2020"/>
    <n v="4"/>
    <s v="PRO002"/>
    <x v="18"/>
    <n v="60"/>
    <s v="MIN"/>
    <n v="1"/>
    <x v="0"/>
    <s v="10.01.2020"/>
    <s v="10.01.2020"/>
    <d v="1899-12-30T09:00:00"/>
    <d v="1899-12-30T09:30:00"/>
    <x v="30"/>
    <n v="10049451"/>
    <s v="PI-TH-7151-FA-F1-FP"/>
    <s v="ทำความสะอาด"/>
  </r>
  <r>
    <m/>
    <n v="3114084"/>
    <s v="13.01.2020"/>
    <n v="4"/>
    <s v="PRO002"/>
    <x v="18"/>
    <n v="30"/>
    <s v="MIN"/>
    <n v="0.5"/>
    <x v="0"/>
    <s v="10.01.2020"/>
    <s v="10.01.2020"/>
    <d v="1899-12-30T22:00:00"/>
    <d v="1899-12-30T22:30:00"/>
    <x v="31"/>
    <n v="10051747"/>
    <s v="PI-TH-7151-FA-F1-ST"/>
    <s v="เปลี่ยน Falme sensor duel fuel burner."/>
  </r>
  <r>
    <m/>
    <n v="3112655"/>
    <s v="13.01.2020"/>
    <n v="4"/>
    <s v="PRO002"/>
    <x v="18"/>
    <n v="60"/>
    <s v="MIN"/>
    <n v="1"/>
    <x v="0"/>
    <s v="11.01.2020"/>
    <s v="11.01.2020"/>
    <d v="1899-12-30T13:00:00"/>
    <d v="1899-12-30T14:00:00"/>
    <x v="34"/>
    <n v="10051769"/>
    <s v="PI-TH-7151-FA-F1-P1"/>
    <s v="เปลี่ยน Bindicator 2 Pcs."/>
  </r>
  <r>
    <m/>
    <n v="3118354"/>
    <s v="13.01.2020"/>
    <n v="4"/>
    <s v="PRO002"/>
    <x v="18"/>
    <n v="60"/>
    <s v="MIN"/>
    <n v="1"/>
    <x v="0"/>
    <s v="11.01.2020"/>
    <s v="11.01.2020"/>
    <d v="1899-12-30T14:00:00"/>
    <d v="1899-12-30T15:00:00"/>
    <x v="35"/>
    <n v="10049372"/>
    <s v="PI-TH-7151-FA-F1-P1"/>
    <s v="Vibrating และทำความสะอาด"/>
  </r>
  <r>
    <m/>
    <n v="3119958"/>
    <s v="13.01.2020"/>
    <n v="4"/>
    <s v="PRO002"/>
    <x v="18"/>
    <n v="60"/>
    <s v="MIN"/>
    <n v="1"/>
    <x v="0"/>
    <s v="11.01.2020"/>
    <s v="11.01.2020"/>
    <d v="1899-12-30T11:00:00"/>
    <d v="1899-12-30T12:00:00"/>
    <x v="36"/>
    <n v="10051481"/>
    <s v="PI-TH-7151-FA-F2-PL"/>
    <s v="ทำความสะอาดและตรวจเช็คสภาพปกติทั่วไป"/>
  </r>
  <r>
    <m/>
    <n v="3120191"/>
    <s v="13.01.2020"/>
    <n v="4"/>
    <s v="PRO002"/>
    <x v="18"/>
    <n v="60"/>
    <s v="MIN"/>
    <n v="1"/>
    <x v="0"/>
    <s v="11.01.2020"/>
    <s v="11.01.2020"/>
    <d v="1899-12-30T16:00:00"/>
    <d v="1899-12-30T17:00:00"/>
    <x v="37"/>
    <n v="10051396"/>
    <s v="PI-TH-7151-FA-F1-P1"/>
    <s v="ทำความสะอาดและตรวจเช็คสภาพปกติทั่วไป"/>
  </r>
  <r>
    <m/>
    <n v="3120195"/>
    <s v="13.01.2020"/>
    <n v="4"/>
    <s v="PRO002"/>
    <x v="18"/>
    <n v="120"/>
    <s v="MIN"/>
    <n v="2"/>
    <x v="0"/>
    <s v="11.01.2020"/>
    <s v="11.01.2020"/>
    <d v="1899-12-30T08:00:00"/>
    <d v="1899-12-30T10:00:00"/>
    <x v="38"/>
    <n v="10049436"/>
    <s v="PI-TH-7151-FA-F2-PL"/>
    <s v="ทำความสะอาดและตรวจเช็คสภาพปกติทั่วไ"/>
  </r>
  <r>
    <m/>
    <n v="3120200"/>
    <s v="13.01.2020"/>
    <n v="4"/>
    <s v="PRO002"/>
    <x v="18"/>
    <n v="60"/>
    <s v="MIN"/>
    <n v="1"/>
    <x v="0"/>
    <s v="11.01.2020"/>
    <s v="11.01.2020"/>
    <d v="1899-12-30T10:00:00"/>
    <d v="1899-12-30T11:00:00"/>
    <x v="39"/>
    <n v="10049399"/>
    <s v="PI-TH-7151-FA-F2-PL"/>
    <s v="ทำความสะอาดและตรวจเช็คสภาพปกติทั่วไป"/>
  </r>
  <r>
    <m/>
    <n v="3122016"/>
    <s v="13.01.2020"/>
    <n v="4"/>
    <s v="PRO002"/>
    <x v="18"/>
    <n v="60"/>
    <s v="MIN"/>
    <n v="1"/>
    <x v="0"/>
    <s v="11.01.2020"/>
    <s v="11.01.2020"/>
    <d v="1899-12-30T15:00:00"/>
    <d v="1899-12-30T16:00:00"/>
    <x v="40"/>
    <n v="10051386"/>
    <s v="PI-TH-7151-FA-F1-P1"/>
    <s v="ทำความสะอาดและตรวจเช็คสภาพปกติทั่วไป"/>
  </r>
  <r>
    <m/>
    <n v="3122018"/>
    <s v="13.01.2020"/>
    <n v="4"/>
    <s v="PRO002"/>
    <x v="18"/>
    <n v="60"/>
    <s v="MIN"/>
    <n v="1"/>
    <x v="0"/>
    <s v="11.01.2020"/>
    <s v="11.01.2020"/>
    <d v="1899-12-30T14:00:00"/>
    <d v="1899-12-30T15:00:00"/>
    <x v="41"/>
    <n v="10051443"/>
    <s v="PI-TH-7151-FA-F1-P1"/>
    <s v="ทำความสะอาดและตรวจเช็คสภาพปกติทั่วไป"/>
  </r>
  <r>
    <m/>
    <n v="3122752"/>
    <s v="13.01.2020"/>
    <n v="4"/>
    <s v="PRO002"/>
    <x v="18"/>
    <n v="30"/>
    <s v="MIN"/>
    <n v="0.5"/>
    <x v="0"/>
    <s v="11.01.2020"/>
    <s v="11.01.2020"/>
    <d v="1899-12-30T12:00:00"/>
    <d v="1899-12-30T12:30:00"/>
    <x v="42"/>
    <n v="10051443"/>
    <s v="PI-TH-7151-FA-F1-P1"/>
    <s v="ทำความสะอาดและตรวจเช็คสภาพปกติทั่วไป"/>
  </r>
  <r>
    <m/>
    <n v="3122756"/>
    <s v="13.01.2020"/>
    <n v="4"/>
    <s v="PRO002"/>
    <x v="18"/>
    <n v="30"/>
    <s v="MIN"/>
    <n v="0.5"/>
    <x v="0"/>
    <s v="11.01.2020"/>
    <s v="11.01.2020"/>
    <d v="1899-12-30T09:30:00"/>
    <d v="1899-12-30T10:00:00"/>
    <x v="43"/>
    <n v="10049427"/>
    <s v="PI-TH-7151-FA-F2-PL"/>
    <s v="ทำความสะอาดและตรวจเช็คสภาพปกติทั่วไ"/>
  </r>
  <r>
    <m/>
    <n v="3122767"/>
    <s v="14.01.2020"/>
    <n v="4"/>
    <s v="PRO002"/>
    <x v="18"/>
    <n v="60"/>
    <s v="MIN"/>
    <n v="1"/>
    <x v="0"/>
    <s v="11.01.2020"/>
    <s v="11.01.2020"/>
    <d v="1899-12-30T08:00:00"/>
    <d v="1899-12-30T09:00:00"/>
    <x v="44"/>
    <n v="10049451"/>
    <s v="PI-TH-7151-FA-F1-FP"/>
    <s v="ทำความสะอาด"/>
  </r>
  <r>
    <m/>
    <n v="3122785"/>
    <s v="13.01.2020"/>
    <n v="4"/>
    <s v="PRO002"/>
    <x v="18"/>
    <n v="30"/>
    <s v="MIN"/>
    <n v="0.5"/>
    <x v="0"/>
    <s v="11.01.2020"/>
    <s v="11.01.2020"/>
    <d v="1899-12-30T14:00:00"/>
    <d v="1899-12-30T14:30:00"/>
    <x v="45"/>
    <n v="10051769"/>
    <s v="PI-TH-7151-FA-F1-P1"/>
    <s v="ทำความสะอาดและตรวจเช็คสภาพปกติทั่วไป"/>
  </r>
  <r>
    <m/>
    <n v="3122789"/>
    <s v="13.01.2020"/>
    <n v="4"/>
    <s v="PRO002"/>
    <x v="18"/>
    <n v="20"/>
    <s v="MIN"/>
    <n v="0.33333333333333331"/>
    <x v="0"/>
    <s v="11.01.2020"/>
    <s v="11.01.2020"/>
    <d v="1899-12-30T14:00:00"/>
    <d v="1899-12-30T14:20:00"/>
    <x v="46"/>
    <n v="10049361"/>
    <s v="PI-TH-7151-FA-F1-P1"/>
    <s v="ทำความสะอาดและตรวจเช็คสภาพปกติทั่วไป"/>
  </r>
  <r>
    <m/>
    <n v="3117024"/>
    <s v="20.01.2020"/>
    <n v="2"/>
    <s v="PRO002"/>
    <x v="18"/>
    <n v="60"/>
    <s v="MIN"/>
    <n v="1"/>
    <x v="0"/>
    <s v="13.01.2020"/>
    <s v="13.01.2020"/>
    <d v="1899-12-30T10:00:00"/>
    <d v="1899-12-30T11:00:00"/>
    <x v="326"/>
    <n v="10049372"/>
    <s v="PI-TH-7151-FA-F1-P1"/>
    <s v="Calibrate โดยทำ Catch test."/>
  </r>
  <r>
    <m/>
    <n v="3132475"/>
    <s v="16.01.2020"/>
    <n v="1"/>
    <s v="PRO002"/>
    <x v="18"/>
    <n v="10"/>
    <s v="MIN"/>
    <n v="0.16666666666666666"/>
    <x v="0"/>
    <s v="14.01.2020"/>
    <s v="14.01.2020"/>
    <d v="1899-12-30T19:50:00"/>
    <d v="1899-12-30T20:00:00"/>
    <x v="327"/>
    <n v="10051581"/>
    <s v="PI-TH-7151-FA-F1-FP"/>
    <s v="ตรวจเช็คท่อร้อยสายไฟ"/>
  </r>
  <r>
    <m/>
    <n v="3132712"/>
    <s v="15.01.2020"/>
    <n v="1"/>
    <s v="PRO002"/>
    <x v="18"/>
    <n v="15"/>
    <s v="MIN"/>
    <n v="0.25"/>
    <x v="0"/>
    <s v="14.01.2020"/>
    <s v="14.01.2020"/>
    <d v="1899-12-30T19:40:00"/>
    <d v="1899-12-30T19:45:00"/>
    <x v="328"/>
    <n v="10051704"/>
    <s v="PI-TH-7151-FA-F1-ST"/>
    <s v="ตรวจเช็คค่ากระแสไฟฟ้าทั้ง3เฟส"/>
  </r>
  <r>
    <m/>
    <n v="3132715"/>
    <s v="15.01.2020"/>
    <n v="1"/>
    <s v="PRO002"/>
    <x v="18"/>
    <n v="5"/>
    <s v="MIN"/>
    <n v="8.3333333333333329E-2"/>
    <x v="0"/>
    <s v="14.01.2020"/>
    <s v="14.01.2020"/>
    <d v="1899-12-30T19:40:00"/>
    <d v="1899-12-30T19:45:00"/>
    <x v="329"/>
    <n v="10049540"/>
    <s v="PI-TH-7151-FA-F1-ST"/>
    <s v="ตรวจเช็คค่ากระแสไฟฟ้าทั้ง3เฟส"/>
  </r>
  <r>
    <m/>
    <n v="3132719"/>
    <s v="15.01.2020"/>
    <n v="1"/>
    <s v="PRO002"/>
    <x v="18"/>
    <n v="5"/>
    <s v="MIN"/>
    <n v="8.3333333333333329E-2"/>
    <x v="0"/>
    <s v="14.01.2020"/>
    <s v="14.01.2020"/>
    <d v="1899-12-30T19:35:00"/>
    <d v="1899-12-30T19:40:00"/>
    <x v="330"/>
    <n v="10051747"/>
    <s v="PI-TH-7151-FA-F1-ST"/>
    <s v="ตรวจเช็คค่ากระแสไฟฟ้าทั้ง3เฟส"/>
  </r>
  <r>
    <m/>
    <n v="3134283"/>
    <s v="15.01.2020"/>
    <n v="1"/>
    <s v="PRO002"/>
    <x v="18"/>
    <n v="10"/>
    <s v="MIN"/>
    <n v="0.16666666666666666"/>
    <x v="0"/>
    <s v="14.01.2020"/>
    <s v="14.01.2020"/>
    <d v="1899-12-30T19:50:00"/>
    <d v="1899-12-30T20:00:00"/>
    <x v="331"/>
    <n v="10049540"/>
    <s v="PI-TH-7151-FA-F1-ST"/>
    <s v="ตรวจเช็คค่ากระแสไฟฟ้าทั้ง3เฟส"/>
  </r>
  <r>
    <m/>
    <n v="3122036"/>
    <s v="16.01.2020"/>
    <n v="1"/>
    <s v="PRO002"/>
    <x v="18"/>
    <n v="35"/>
    <s v="MIN"/>
    <n v="0.58333333333333337"/>
    <x v="0"/>
    <s v="15.01.2020"/>
    <s v="15.01.2020"/>
    <d v="1899-12-30T20:05:00"/>
    <d v="1899-12-30T20:35:00"/>
    <x v="332"/>
    <n v="10051704"/>
    <s v="PI-TH-7151-FA-F1-ST"/>
    <s v="ตรวจเช็คท่อร้อยสายไฟ"/>
  </r>
  <r>
    <m/>
    <n v="3132494"/>
    <s v="20.01.2020"/>
    <n v="2"/>
    <s v="PRO002"/>
    <x v="18"/>
    <n v="30"/>
    <s v="MIN"/>
    <n v="0.5"/>
    <x v="0"/>
    <s v="15.01.2020"/>
    <s v="15.01.2020"/>
    <d v="1899-12-30T09:00:00"/>
    <d v="1899-12-30T09:30:00"/>
    <x v="333"/>
    <n v="10051396"/>
    <s v="PI-TH-7151-FA-F1-P1"/>
    <s v="Calibrate waste weight unit"/>
  </r>
  <r>
    <m/>
    <n v="3132722"/>
    <s v="16.01.2020"/>
    <n v="1"/>
    <s v="PRO002"/>
    <x v="18"/>
    <n v="30"/>
    <s v="MIN"/>
    <n v="0.5"/>
    <x v="0"/>
    <s v="15.01.2020"/>
    <s v="15.01.2020"/>
    <d v="1899-12-30T20:50:00"/>
    <d v="1899-12-30T21:20:00"/>
    <x v="334"/>
    <n v="10049549"/>
    <s v="PI-TH-7151-FA-F1-ST"/>
    <s v="ตรวจเช็คกระแสไฟฟ้าทั้ง 3 เฟส"/>
  </r>
  <r>
    <m/>
    <n v="3134262"/>
    <s v="16.01.2020"/>
    <n v="1"/>
    <s v="PRO002"/>
    <x v="18"/>
    <n v="15"/>
    <s v="MIN"/>
    <n v="0.25"/>
    <x v="0"/>
    <s v="15.01.2020"/>
    <s v="15.01.2020"/>
    <d v="1899-12-30T19:55:00"/>
    <d v="1899-12-30T20:05:00"/>
    <x v="335"/>
    <n v="10051747"/>
    <s v="PI-TH-7151-FA-F1-ST"/>
    <s v="ตรวจเช็คท่อร้อยสายไฟ"/>
  </r>
  <r>
    <m/>
    <n v="3134267"/>
    <s v="16.01.2020"/>
    <n v="1"/>
    <s v="PRO002"/>
    <x v="18"/>
    <n v="10"/>
    <s v="MIN"/>
    <n v="0.16666666666666666"/>
    <x v="0"/>
    <s v="15.01.2020"/>
    <s v="15.01.2020"/>
    <d v="1899-12-30T19:45:00"/>
    <d v="1899-12-30T19:55:00"/>
    <x v="336"/>
    <n v="10049565"/>
    <s v="PI-TH-7151-FA-F1-ST"/>
    <s v="ตรวจเช็คท่อร้อยสายไฟ"/>
  </r>
  <r>
    <m/>
    <n v="3134268"/>
    <s v="16.01.2020"/>
    <n v="2"/>
    <s v="PRO002"/>
    <x v="18"/>
    <n v="10"/>
    <s v="MIN"/>
    <n v="0.16666666666666666"/>
    <x v="0"/>
    <s v="15.01.2020"/>
    <s v="15.01.2020"/>
    <d v="1899-12-30T19:40:00"/>
    <d v="1899-12-30T19:50:00"/>
    <x v="337"/>
    <n v="10051174"/>
    <s v="PI-TH-7151-FA-F1-ST"/>
    <s v="ตรวจเช็คท่อร้อยสายไฟ"/>
  </r>
  <r>
    <m/>
    <n v="3134284"/>
    <s v="16.01.2020"/>
    <n v="1"/>
    <s v="PRO002"/>
    <x v="18"/>
    <n v="20"/>
    <s v="MIN"/>
    <n v="0.33333333333333331"/>
    <x v="0"/>
    <s v="15.01.2020"/>
    <s v="15.01.2020"/>
    <d v="1899-12-30T19:20:00"/>
    <d v="1899-12-30T19:40:00"/>
    <x v="338"/>
    <n v="10051738"/>
    <s v="PI-TH-7151-FA-F1-ST"/>
    <s v="ตรวจเช็คท่อร้อยสายไฟ"/>
  </r>
  <r>
    <m/>
    <n v="3132498"/>
    <s v="20.01.2020"/>
    <n v="2"/>
    <s v="PRO002"/>
    <x v="18"/>
    <n v="15"/>
    <s v="MIN"/>
    <n v="0.25"/>
    <x v="0"/>
    <s v="16.01.2020"/>
    <s v="16.01.2020"/>
    <d v="1899-12-30T20:20:00"/>
    <d v="1899-12-30T20:35:00"/>
    <x v="339"/>
    <n v="10049549"/>
    <s v="PI-TH-7151-FA-F1-ST"/>
    <s v="ตรวจสอบท่อร้อยสายไฟ"/>
  </r>
  <r>
    <m/>
    <n v="3132499"/>
    <s v="20.01.2020"/>
    <n v="2"/>
    <s v="PRO002"/>
    <x v="18"/>
    <n v="25"/>
    <s v="MIN"/>
    <n v="0.41666666666666669"/>
    <x v="0"/>
    <s v="16.01.2020"/>
    <s v="16.01.2020"/>
    <d v="1899-12-30T20:35:00"/>
    <d v="1899-12-30T20:50:00"/>
    <x v="340"/>
    <n v="10049534"/>
    <s v="PI-TH-7151-FA-F1-ST"/>
    <s v="ตรวจสอบท่อร้อยสายไฟ"/>
  </r>
  <r>
    <m/>
    <n v="3134105"/>
    <s v="20.01.2020"/>
    <n v="2"/>
    <s v="PRO002"/>
    <x v="18"/>
    <n v="20"/>
    <s v="MIN"/>
    <n v="0.33333333333333331"/>
    <x v="0"/>
    <s v="16.01.2020"/>
    <s v="16.01.2020"/>
    <d v="1899-12-30T22:10:00"/>
    <d v="1899-12-30T22:30:00"/>
    <x v="341"/>
    <n v="10051337"/>
    <s v="PI-TH-7151-FA-F2-RB"/>
    <s v="ตรวจเช็คกระแสไฟฟ้าทั้ง3เฟส"/>
  </r>
  <r>
    <m/>
    <n v="3134114"/>
    <s v="20.01.2020"/>
    <n v="2"/>
    <s v="PRO002"/>
    <x v="18"/>
    <n v="5"/>
    <s v="MIN"/>
    <n v="8.3333333333333329E-2"/>
    <x v="0"/>
    <s v="16.01.2020"/>
    <s v="16.01.2020"/>
    <d v="1899-12-30T22:05:00"/>
    <d v="1899-12-30T22:10:00"/>
    <x v="342"/>
    <n v="10049680"/>
    <s v="PI-TH-7151-FA-F2-RB"/>
    <s v="ตรวจเช็คกระแสไฟฟ้าทั้ง3เฟส"/>
  </r>
  <r>
    <m/>
    <n v="3134126"/>
    <s v="20.01.2020"/>
    <n v="2"/>
    <s v="PRO002"/>
    <x v="18"/>
    <n v="25"/>
    <s v="MIN"/>
    <n v="0.41666666666666669"/>
    <x v="0"/>
    <s v="16.01.2020"/>
    <s v="16.01.2020"/>
    <d v="1899-12-30T21:15:00"/>
    <d v="1899-12-30T21:30:00"/>
    <x v="343"/>
    <n v="10049667"/>
    <s v="PI-TH-7151-FA-F2-RB"/>
    <s v="ตรวจเช็คกระแสไฟฟ้าทั้ง3เฟส"/>
  </r>
  <r>
    <m/>
    <n v="3134205"/>
    <s v="20.01.2020"/>
    <n v="2"/>
    <s v="PRO002"/>
    <x v="18"/>
    <n v="10"/>
    <s v="MIN"/>
    <n v="0.16666666666666666"/>
    <x v="0"/>
    <s v="16.01.2020"/>
    <s v="16.01.2020"/>
    <d v="1899-12-30T21:50:00"/>
    <d v="1899-12-30T22:00:00"/>
    <x v="344"/>
    <n v="10051408"/>
    <s v="PI-TH-7151-FA-F2-RB"/>
    <s v="ตรวจเช็คกระแสไฟฟ้าทั้ง3เฟส"/>
  </r>
  <r>
    <m/>
    <n v="3134209"/>
    <s v="20.01.2020"/>
    <n v="2"/>
    <s v="PRO002"/>
    <x v="18"/>
    <n v="10"/>
    <s v="MIN"/>
    <n v="0.16666666666666666"/>
    <x v="0"/>
    <s v="16.01.2020"/>
    <s v="16.01.2020"/>
    <d v="1899-12-30T21:30:00"/>
    <d v="1899-12-30T21:35:00"/>
    <x v="345"/>
    <n v="10051347"/>
    <s v="PI-TH-7151-FA-F2-RB"/>
    <s v="ตรวจเช็คกระแสไฟฟ้าทั้ง3เฟส"/>
  </r>
  <r>
    <m/>
    <n v="3134308"/>
    <s v="20.01.2020"/>
    <n v="2"/>
    <s v="PRO002"/>
    <x v="18"/>
    <n v="55"/>
    <s v="MIN"/>
    <n v="0.91666666666666663"/>
    <x v="0"/>
    <s v="16.01.2020"/>
    <s v="16.01.2020"/>
    <d v="1899-12-30T20:50:00"/>
    <d v="1899-12-30T21:20:00"/>
    <x v="346"/>
    <n v="10051759"/>
    <s v="PI-TH-7151-FA-F1-ST"/>
    <s v="ตรวจสอบท่อร้อยสายไฟ"/>
  </r>
  <r>
    <m/>
    <n v="3112706"/>
    <s v="20.01.2020"/>
    <n v="4"/>
    <s v="PRO002"/>
    <x v="18"/>
    <n v="120"/>
    <s v="MIN"/>
    <n v="2"/>
    <x v="0"/>
    <s v="18.01.2020"/>
    <s v="18.01.2020"/>
    <d v="1899-12-30T08:00:00"/>
    <d v="1899-12-30T10:00:00"/>
    <x v="59"/>
    <n v="10049361"/>
    <s v="PI-TH-7151-FA-F1-P1"/>
    <s v="Calibrate sensor Thermal oil heater."/>
  </r>
  <r>
    <m/>
    <n v="3114091"/>
    <s v="20.01.2020"/>
    <n v="4"/>
    <s v="PRO002"/>
    <x v="18"/>
    <n v="120"/>
    <s v="MIN"/>
    <n v="2"/>
    <x v="0"/>
    <s v="18.01.2020"/>
    <s v="18.01.2020"/>
    <d v="1899-12-30T13:00:00"/>
    <d v="1899-12-30T15:00:00"/>
    <x v="60"/>
    <n v="10051443"/>
    <s v="PI-TH-7151-FA-F1-P1"/>
    <s v="ทำความสะอาดช่องระหว่าง Electro"/>
  </r>
  <r>
    <m/>
    <n v="3118388"/>
    <s v="20.01.2020"/>
    <n v="4"/>
    <s v="PRO002"/>
    <x v="18"/>
    <n v="120"/>
    <s v="MIN"/>
    <n v="2"/>
    <x v="0"/>
    <s v="18.01.2020"/>
    <s v="18.01.2020"/>
    <d v="1899-12-30T10:00:00"/>
    <d v="1899-12-30T12:00:00"/>
    <x v="61"/>
    <n v="10051778"/>
    <s v="PI-TH-7151-FA-F1-P1"/>
    <s v="Calibrate weight unit"/>
  </r>
  <r>
    <m/>
    <n v="3134132"/>
    <s v="20.01.2020"/>
    <n v="3"/>
    <s v="PRO002"/>
    <x v="18"/>
    <n v="60"/>
    <s v="MIN"/>
    <n v="1"/>
    <x v="0"/>
    <s v="18.01.2020"/>
    <s v="18.01.2020"/>
    <d v="1899-12-30T08:00:00"/>
    <d v="1899-12-30T09:00:00"/>
    <x v="62"/>
    <n v="10051548"/>
    <s v="PI-TH-7151-FA-F1-FP"/>
    <s v="ทำความสะอาด"/>
  </r>
  <r>
    <m/>
    <n v="3134181"/>
    <s v="20.01.2020"/>
    <n v="2"/>
    <s v="PRO002"/>
    <x v="18"/>
    <n v="25"/>
    <s v="MIN"/>
    <n v="0.41666666666666669"/>
    <x v="0"/>
    <s v="18.01.2020"/>
    <s v="18.01.2020"/>
    <d v="1899-12-30T21:35:00"/>
    <d v="1899-12-30T21:50:00"/>
    <x v="347"/>
    <n v="10051329"/>
    <s v="PI-TH-7151-FA-F2-RB"/>
    <s v="ตรวจเช็คกระแสไฟฟ้าทั้ง3เฟส"/>
  </r>
  <r>
    <m/>
    <n v="3134204"/>
    <s v="20.01.2020"/>
    <n v="2"/>
    <s v="PRO002"/>
    <x v="18"/>
    <n v="60"/>
    <s v="MIN"/>
    <n v="1"/>
    <x v="0"/>
    <s v="18.01.2020"/>
    <s v="18.01.2020"/>
    <d v="1899-12-30T22:00:00"/>
    <d v="1899-12-30T23:00:00"/>
    <x v="348"/>
    <n v="10049688"/>
    <s v="PI-TH-7151-FA-F2-RB"/>
    <s v="ตรวจเช็คกระแสไฟฟ้าทั้ง3เฟส"/>
  </r>
  <r>
    <m/>
    <m/>
    <m/>
    <m/>
    <m/>
    <x v="1"/>
    <n v="2"/>
    <s v="H"/>
    <n v="120"/>
    <x v="1"/>
    <m/>
    <m/>
    <m/>
    <m/>
    <x v="355"/>
    <m/>
    <m/>
    <m/>
  </r>
  <r>
    <m/>
    <m/>
    <m/>
    <m/>
    <m/>
    <x v="1"/>
    <n v="30"/>
    <s v="MIN"/>
    <n v="0.5"/>
    <x v="1"/>
    <m/>
    <m/>
    <m/>
    <m/>
    <x v="355"/>
    <m/>
    <m/>
    <m/>
  </r>
  <r>
    <m/>
    <m/>
    <m/>
    <m/>
    <m/>
    <x v="2"/>
    <n v="30"/>
    <s v="MIN"/>
    <n v="0.5"/>
    <x v="1"/>
    <m/>
    <m/>
    <m/>
    <m/>
    <x v="355"/>
    <m/>
    <m/>
    <m/>
  </r>
  <r>
    <m/>
    <m/>
    <m/>
    <m/>
    <m/>
    <x v="2"/>
    <n v="30"/>
    <s v="MIN"/>
    <n v="0.5"/>
    <x v="1"/>
    <m/>
    <m/>
    <m/>
    <m/>
    <x v="355"/>
    <m/>
    <m/>
    <m/>
  </r>
  <r>
    <m/>
    <m/>
    <m/>
    <m/>
    <m/>
    <x v="2"/>
    <n v="30"/>
    <s v="MIN"/>
    <n v="0.5"/>
    <x v="1"/>
    <m/>
    <m/>
    <m/>
    <m/>
    <x v="355"/>
    <m/>
    <m/>
    <m/>
  </r>
  <r>
    <m/>
    <m/>
    <m/>
    <m/>
    <m/>
    <x v="3"/>
    <n v="1.5"/>
    <s v="H"/>
    <n v="90"/>
    <x v="1"/>
    <m/>
    <m/>
    <m/>
    <m/>
    <x v="355"/>
    <m/>
    <m/>
    <m/>
  </r>
  <r>
    <m/>
    <m/>
    <m/>
    <m/>
    <m/>
    <x v="3"/>
    <n v="30"/>
    <s v="MIN"/>
    <n v="0.5"/>
    <x v="1"/>
    <m/>
    <m/>
    <m/>
    <m/>
    <x v="355"/>
    <m/>
    <m/>
    <m/>
  </r>
  <r>
    <m/>
    <m/>
    <m/>
    <m/>
    <m/>
    <x v="3"/>
    <n v="1"/>
    <s v="H"/>
    <n v="60"/>
    <x v="1"/>
    <m/>
    <m/>
    <m/>
    <m/>
    <x v="355"/>
    <m/>
    <m/>
    <m/>
  </r>
  <r>
    <m/>
    <m/>
    <m/>
    <m/>
    <m/>
    <x v="3"/>
    <n v="20"/>
    <s v="MIN"/>
    <n v="0.33333333333333331"/>
    <x v="1"/>
    <m/>
    <m/>
    <m/>
    <m/>
    <x v="355"/>
    <m/>
    <m/>
    <m/>
  </r>
  <r>
    <m/>
    <m/>
    <m/>
    <m/>
    <m/>
    <x v="3"/>
    <n v="20"/>
    <s v="MIN"/>
    <n v="0.33333333333333331"/>
    <x v="1"/>
    <m/>
    <m/>
    <m/>
    <m/>
    <x v="355"/>
    <m/>
    <m/>
    <m/>
  </r>
  <r>
    <m/>
    <m/>
    <m/>
    <m/>
    <m/>
    <x v="3"/>
    <n v="2"/>
    <s v="H"/>
    <n v="120"/>
    <x v="1"/>
    <m/>
    <m/>
    <m/>
    <m/>
    <x v="355"/>
    <m/>
    <m/>
    <m/>
  </r>
  <r>
    <m/>
    <m/>
    <m/>
    <m/>
    <m/>
    <x v="3"/>
    <n v="30"/>
    <s v="MIN"/>
    <n v="0.5"/>
    <x v="1"/>
    <m/>
    <m/>
    <m/>
    <m/>
    <x v="355"/>
    <m/>
    <m/>
    <m/>
  </r>
  <r>
    <m/>
    <m/>
    <m/>
    <m/>
    <m/>
    <x v="3"/>
    <n v="30"/>
    <s v="MIN"/>
    <n v="0.5"/>
    <x v="1"/>
    <m/>
    <m/>
    <m/>
    <m/>
    <x v="355"/>
    <m/>
    <m/>
    <m/>
  </r>
  <r>
    <m/>
    <m/>
    <m/>
    <m/>
    <m/>
    <x v="3"/>
    <n v="30"/>
    <s v="MIN"/>
    <n v="0.5"/>
    <x v="1"/>
    <m/>
    <m/>
    <m/>
    <m/>
    <x v="355"/>
    <m/>
    <m/>
    <m/>
  </r>
  <r>
    <m/>
    <m/>
    <m/>
    <m/>
    <m/>
    <x v="3"/>
    <n v="20"/>
    <s v="MIN"/>
    <n v="0.33333333333333331"/>
    <x v="1"/>
    <m/>
    <m/>
    <m/>
    <m/>
    <x v="355"/>
    <m/>
    <m/>
    <m/>
  </r>
  <r>
    <m/>
    <m/>
    <m/>
    <m/>
    <m/>
    <x v="3"/>
    <n v="40"/>
    <s v="MIN"/>
    <n v="0.66666666666666663"/>
    <x v="1"/>
    <m/>
    <m/>
    <m/>
    <m/>
    <x v="355"/>
    <m/>
    <m/>
    <m/>
  </r>
  <r>
    <m/>
    <m/>
    <m/>
    <m/>
    <m/>
    <x v="3"/>
    <n v="1.5"/>
    <s v="H"/>
    <n v="90"/>
    <x v="1"/>
    <m/>
    <m/>
    <m/>
    <m/>
    <x v="355"/>
    <m/>
    <m/>
    <m/>
  </r>
  <r>
    <m/>
    <m/>
    <m/>
    <m/>
    <m/>
    <x v="3"/>
    <n v="20"/>
    <s v="MIN"/>
    <n v="0.33333333333333331"/>
    <x v="1"/>
    <m/>
    <m/>
    <m/>
    <m/>
    <x v="355"/>
    <m/>
    <m/>
    <m/>
  </r>
  <r>
    <m/>
    <m/>
    <m/>
    <m/>
    <m/>
    <x v="4"/>
    <n v="3"/>
    <s v="H"/>
    <n v="180"/>
    <x v="1"/>
    <m/>
    <m/>
    <m/>
    <m/>
    <x v="355"/>
    <m/>
    <m/>
    <m/>
  </r>
  <r>
    <m/>
    <m/>
    <m/>
    <m/>
    <m/>
    <x v="4"/>
    <n v="40"/>
    <s v="MIN"/>
    <n v="0.66666666666666663"/>
    <x v="1"/>
    <m/>
    <m/>
    <m/>
    <m/>
    <x v="355"/>
    <m/>
    <m/>
    <m/>
  </r>
  <r>
    <m/>
    <m/>
    <m/>
    <m/>
    <m/>
    <x v="4"/>
    <n v="40"/>
    <s v="MIN"/>
    <n v="0.66666666666666663"/>
    <x v="1"/>
    <m/>
    <m/>
    <m/>
    <m/>
    <x v="355"/>
    <m/>
    <m/>
    <m/>
  </r>
  <r>
    <m/>
    <m/>
    <m/>
    <m/>
    <m/>
    <x v="4"/>
    <n v="30"/>
    <s v="MIN"/>
    <n v="0.5"/>
    <x v="1"/>
    <m/>
    <m/>
    <m/>
    <m/>
    <x v="355"/>
    <m/>
    <m/>
    <m/>
  </r>
  <r>
    <m/>
    <m/>
    <m/>
    <m/>
    <m/>
    <x v="4"/>
    <n v="0"/>
    <s v="H"/>
    <n v="0"/>
    <x v="1"/>
    <m/>
    <m/>
    <m/>
    <m/>
    <x v="355"/>
    <m/>
    <m/>
    <m/>
  </r>
  <r>
    <m/>
    <m/>
    <m/>
    <m/>
    <m/>
    <x v="4"/>
    <n v="30"/>
    <s v="MIN"/>
    <n v="0.5"/>
    <x v="1"/>
    <m/>
    <m/>
    <m/>
    <m/>
    <x v="355"/>
    <m/>
    <m/>
    <m/>
  </r>
  <r>
    <m/>
    <m/>
    <m/>
    <m/>
    <m/>
    <x v="4"/>
    <n v="30"/>
    <s v="MIN"/>
    <n v="0.5"/>
    <x v="1"/>
    <m/>
    <m/>
    <m/>
    <m/>
    <x v="355"/>
    <m/>
    <m/>
    <m/>
  </r>
  <r>
    <m/>
    <m/>
    <m/>
    <m/>
    <m/>
    <x v="5"/>
    <n v="40"/>
    <s v="MIN"/>
    <n v="0.66666666666666663"/>
    <x v="1"/>
    <m/>
    <m/>
    <m/>
    <m/>
    <x v="355"/>
    <m/>
    <m/>
    <m/>
  </r>
  <r>
    <m/>
    <m/>
    <m/>
    <m/>
    <m/>
    <x v="5"/>
    <n v="40"/>
    <s v="MIN"/>
    <n v="0.66666666666666663"/>
    <x v="1"/>
    <m/>
    <m/>
    <m/>
    <m/>
    <x v="355"/>
    <m/>
    <m/>
    <m/>
  </r>
  <r>
    <m/>
    <m/>
    <m/>
    <m/>
    <m/>
    <x v="5"/>
    <n v="30"/>
    <s v="MIN"/>
    <n v="0.5"/>
    <x v="1"/>
    <m/>
    <m/>
    <m/>
    <m/>
    <x v="355"/>
    <m/>
    <m/>
    <m/>
  </r>
  <r>
    <m/>
    <m/>
    <m/>
    <m/>
    <m/>
    <x v="5"/>
    <n v="20"/>
    <s v="MIN"/>
    <n v="0.33333333333333331"/>
    <x v="1"/>
    <m/>
    <m/>
    <m/>
    <m/>
    <x v="355"/>
    <m/>
    <m/>
    <m/>
  </r>
  <r>
    <m/>
    <m/>
    <m/>
    <m/>
    <m/>
    <x v="5"/>
    <n v="30"/>
    <s v="MIN"/>
    <n v="0.5"/>
    <x v="1"/>
    <m/>
    <m/>
    <m/>
    <m/>
    <x v="355"/>
    <m/>
    <m/>
    <m/>
  </r>
  <r>
    <m/>
    <m/>
    <m/>
    <m/>
    <m/>
    <x v="5"/>
    <n v="30"/>
    <s v="MIN"/>
    <n v="0.5"/>
    <x v="1"/>
    <m/>
    <m/>
    <m/>
    <m/>
    <x v="355"/>
    <m/>
    <m/>
    <m/>
  </r>
  <r>
    <m/>
    <m/>
    <m/>
    <m/>
    <m/>
    <x v="5"/>
    <n v="40"/>
    <s v="MIN"/>
    <n v="0.66666666666666663"/>
    <x v="1"/>
    <m/>
    <m/>
    <m/>
    <m/>
    <x v="355"/>
    <m/>
    <m/>
    <m/>
  </r>
  <r>
    <m/>
    <m/>
    <m/>
    <m/>
    <m/>
    <x v="5"/>
    <n v="30"/>
    <s v="MIN"/>
    <n v="0.5"/>
    <x v="1"/>
    <m/>
    <m/>
    <m/>
    <m/>
    <x v="355"/>
    <m/>
    <m/>
    <m/>
  </r>
  <r>
    <m/>
    <m/>
    <m/>
    <m/>
    <m/>
    <x v="5"/>
    <n v="30"/>
    <s v="MIN"/>
    <n v="0.5"/>
    <x v="1"/>
    <m/>
    <m/>
    <m/>
    <m/>
    <x v="355"/>
    <m/>
    <m/>
    <m/>
  </r>
  <r>
    <m/>
    <m/>
    <m/>
    <m/>
    <m/>
    <x v="6"/>
    <n v="1.5"/>
    <s v="H"/>
    <n v="90"/>
    <x v="1"/>
    <m/>
    <m/>
    <m/>
    <m/>
    <x v="355"/>
    <m/>
    <m/>
    <m/>
  </r>
  <r>
    <m/>
    <m/>
    <m/>
    <m/>
    <m/>
    <x v="6"/>
    <n v="30"/>
    <s v="MIN"/>
    <n v="0.5"/>
    <x v="1"/>
    <m/>
    <m/>
    <m/>
    <m/>
    <x v="355"/>
    <m/>
    <m/>
    <m/>
  </r>
  <r>
    <m/>
    <m/>
    <m/>
    <m/>
    <m/>
    <x v="6"/>
    <n v="1"/>
    <s v="H"/>
    <n v="60"/>
    <x v="1"/>
    <m/>
    <m/>
    <m/>
    <m/>
    <x v="355"/>
    <m/>
    <m/>
    <m/>
  </r>
  <r>
    <m/>
    <m/>
    <m/>
    <m/>
    <m/>
    <x v="6"/>
    <n v="20"/>
    <s v="MIN"/>
    <n v="0.33333333333333331"/>
    <x v="1"/>
    <m/>
    <m/>
    <m/>
    <m/>
    <x v="355"/>
    <m/>
    <m/>
    <m/>
  </r>
  <r>
    <m/>
    <m/>
    <m/>
    <m/>
    <m/>
    <x v="6"/>
    <n v="20"/>
    <s v="MIN"/>
    <n v="0.33333333333333331"/>
    <x v="1"/>
    <m/>
    <m/>
    <m/>
    <m/>
    <x v="355"/>
    <m/>
    <m/>
    <m/>
  </r>
  <r>
    <m/>
    <m/>
    <m/>
    <m/>
    <m/>
    <x v="6"/>
    <n v="2"/>
    <s v="H"/>
    <n v="120"/>
    <x v="1"/>
    <m/>
    <m/>
    <m/>
    <m/>
    <x v="355"/>
    <m/>
    <m/>
    <m/>
  </r>
  <r>
    <m/>
    <m/>
    <m/>
    <m/>
    <m/>
    <x v="6"/>
    <n v="30"/>
    <s v="MIN"/>
    <n v="0.5"/>
    <x v="1"/>
    <m/>
    <m/>
    <m/>
    <m/>
    <x v="355"/>
    <m/>
    <m/>
    <m/>
  </r>
  <r>
    <m/>
    <m/>
    <m/>
    <m/>
    <m/>
    <x v="6"/>
    <n v="30"/>
    <s v="MIN"/>
    <n v="0.5"/>
    <x v="1"/>
    <m/>
    <m/>
    <m/>
    <m/>
    <x v="355"/>
    <m/>
    <m/>
    <m/>
  </r>
  <r>
    <m/>
    <m/>
    <m/>
    <m/>
    <m/>
    <x v="6"/>
    <n v="1.5"/>
    <s v="H"/>
    <n v="90"/>
    <x v="1"/>
    <m/>
    <m/>
    <m/>
    <m/>
    <x v="355"/>
    <m/>
    <m/>
    <m/>
  </r>
  <r>
    <m/>
    <m/>
    <m/>
    <m/>
    <m/>
    <x v="6"/>
    <n v="20"/>
    <s v="MIN"/>
    <n v="0.33333333333333331"/>
    <x v="1"/>
    <m/>
    <m/>
    <m/>
    <m/>
    <x v="355"/>
    <m/>
    <m/>
    <m/>
  </r>
  <r>
    <m/>
    <m/>
    <m/>
    <m/>
    <m/>
    <x v="7"/>
    <n v="1"/>
    <s v="H"/>
    <n v="60"/>
    <x v="1"/>
    <m/>
    <m/>
    <m/>
    <m/>
    <x v="355"/>
    <m/>
    <m/>
    <m/>
  </r>
  <r>
    <m/>
    <m/>
    <m/>
    <m/>
    <m/>
    <x v="7"/>
    <n v="1.5"/>
    <s v="H"/>
    <n v="90"/>
    <x v="1"/>
    <m/>
    <m/>
    <m/>
    <m/>
    <x v="355"/>
    <m/>
    <m/>
    <m/>
  </r>
  <r>
    <m/>
    <m/>
    <m/>
    <m/>
    <m/>
    <x v="7"/>
    <n v="30"/>
    <s v="MIN"/>
    <n v="0.5"/>
    <x v="1"/>
    <m/>
    <m/>
    <m/>
    <m/>
    <x v="355"/>
    <m/>
    <m/>
    <m/>
  </r>
  <r>
    <m/>
    <m/>
    <m/>
    <m/>
    <m/>
    <x v="7"/>
    <n v="1"/>
    <s v="H"/>
    <n v="60"/>
    <x v="1"/>
    <m/>
    <m/>
    <m/>
    <m/>
    <x v="355"/>
    <m/>
    <m/>
    <m/>
  </r>
  <r>
    <m/>
    <m/>
    <m/>
    <m/>
    <m/>
    <x v="7"/>
    <n v="20"/>
    <s v="MIN"/>
    <n v="0.33333333333333331"/>
    <x v="1"/>
    <m/>
    <m/>
    <m/>
    <m/>
    <x v="355"/>
    <m/>
    <m/>
    <m/>
  </r>
  <r>
    <m/>
    <m/>
    <m/>
    <m/>
    <m/>
    <x v="7"/>
    <n v="1"/>
    <s v="H"/>
    <n v="60"/>
    <x v="1"/>
    <m/>
    <m/>
    <m/>
    <m/>
    <x v="355"/>
    <m/>
    <m/>
    <m/>
  </r>
  <r>
    <m/>
    <m/>
    <m/>
    <m/>
    <m/>
    <x v="7"/>
    <n v="2"/>
    <s v="H"/>
    <n v="120"/>
    <x v="1"/>
    <m/>
    <m/>
    <m/>
    <m/>
    <x v="355"/>
    <m/>
    <m/>
    <m/>
  </r>
  <r>
    <m/>
    <m/>
    <m/>
    <m/>
    <m/>
    <x v="7"/>
    <n v="30"/>
    <s v="MIN"/>
    <n v="0.5"/>
    <x v="1"/>
    <m/>
    <m/>
    <m/>
    <m/>
    <x v="355"/>
    <m/>
    <m/>
    <m/>
  </r>
  <r>
    <m/>
    <m/>
    <m/>
    <m/>
    <m/>
    <x v="8"/>
    <n v="40"/>
    <s v="MIN"/>
    <n v="0.66666666666666663"/>
    <x v="1"/>
    <m/>
    <m/>
    <m/>
    <m/>
    <x v="355"/>
    <m/>
    <m/>
    <m/>
  </r>
  <r>
    <m/>
    <m/>
    <m/>
    <m/>
    <m/>
    <x v="8"/>
    <n v="40"/>
    <s v="MIN"/>
    <n v="0.66666666666666663"/>
    <x v="1"/>
    <m/>
    <m/>
    <m/>
    <m/>
    <x v="355"/>
    <m/>
    <m/>
    <m/>
  </r>
  <r>
    <m/>
    <m/>
    <m/>
    <m/>
    <m/>
    <x v="8"/>
    <n v="30"/>
    <s v="MIN"/>
    <n v="0.5"/>
    <x v="1"/>
    <m/>
    <m/>
    <m/>
    <m/>
    <x v="355"/>
    <m/>
    <m/>
    <m/>
  </r>
  <r>
    <m/>
    <m/>
    <m/>
    <m/>
    <m/>
    <x v="8"/>
    <n v="30"/>
    <s v="MIN"/>
    <n v="0.5"/>
    <x v="1"/>
    <m/>
    <m/>
    <m/>
    <m/>
    <x v="355"/>
    <m/>
    <m/>
    <m/>
  </r>
  <r>
    <m/>
    <m/>
    <m/>
    <m/>
    <m/>
    <x v="8"/>
    <n v="40"/>
    <s v="MIN"/>
    <n v="0.66666666666666663"/>
    <x v="1"/>
    <m/>
    <m/>
    <m/>
    <m/>
    <x v="355"/>
    <m/>
    <m/>
    <m/>
  </r>
  <r>
    <m/>
    <m/>
    <m/>
    <m/>
    <m/>
    <x v="8"/>
    <n v="30"/>
    <s v="MIN"/>
    <n v="0.5"/>
    <x v="1"/>
    <m/>
    <m/>
    <m/>
    <m/>
    <x v="355"/>
    <m/>
    <m/>
    <m/>
  </r>
  <r>
    <m/>
    <m/>
    <m/>
    <m/>
    <m/>
    <x v="8"/>
    <n v="3.5"/>
    <s v="H"/>
    <n v="210"/>
    <x v="1"/>
    <m/>
    <m/>
    <m/>
    <m/>
    <x v="355"/>
    <m/>
    <m/>
    <m/>
  </r>
  <r>
    <m/>
    <m/>
    <m/>
    <m/>
    <m/>
    <x v="8"/>
    <n v="6"/>
    <s v="H"/>
    <n v="360"/>
    <x v="1"/>
    <m/>
    <m/>
    <m/>
    <m/>
    <x v="355"/>
    <m/>
    <m/>
    <m/>
  </r>
  <r>
    <m/>
    <m/>
    <m/>
    <m/>
    <m/>
    <x v="8"/>
    <n v="30"/>
    <s v="MIN"/>
    <n v="0.5"/>
    <x v="1"/>
    <m/>
    <m/>
    <m/>
    <m/>
    <x v="355"/>
    <m/>
    <m/>
    <m/>
  </r>
  <r>
    <m/>
    <m/>
    <m/>
    <m/>
    <m/>
    <x v="8"/>
    <n v="40"/>
    <s v="MIN"/>
    <n v="0.66666666666666663"/>
    <x v="1"/>
    <m/>
    <m/>
    <m/>
    <m/>
    <x v="355"/>
    <m/>
    <m/>
    <m/>
  </r>
  <r>
    <m/>
    <m/>
    <m/>
    <m/>
    <m/>
    <x v="8"/>
    <n v="30"/>
    <s v="MIN"/>
    <n v="0.5"/>
    <x v="1"/>
    <m/>
    <m/>
    <m/>
    <m/>
    <x v="355"/>
    <m/>
    <m/>
    <m/>
  </r>
  <r>
    <m/>
    <m/>
    <m/>
    <m/>
    <m/>
    <x v="8"/>
    <n v="30"/>
    <s v="MIN"/>
    <n v="0.5"/>
    <x v="1"/>
    <m/>
    <m/>
    <m/>
    <m/>
    <x v="355"/>
    <m/>
    <m/>
    <m/>
  </r>
  <r>
    <m/>
    <m/>
    <m/>
    <m/>
    <m/>
    <x v="9"/>
    <n v="2"/>
    <s v="H"/>
    <n v="120"/>
    <x v="1"/>
    <m/>
    <m/>
    <m/>
    <m/>
    <x v="355"/>
    <m/>
    <m/>
    <m/>
  </r>
  <r>
    <m/>
    <m/>
    <m/>
    <m/>
    <m/>
    <x v="9"/>
    <n v="3"/>
    <s v="H"/>
    <n v="180"/>
    <x v="1"/>
    <m/>
    <m/>
    <m/>
    <m/>
    <x v="355"/>
    <m/>
    <m/>
    <m/>
  </r>
  <r>
    <m/>
    <m/>
    <m/>
    <m/>
    <m/>
    <x v="9"/>
    <n v="3"/>
    <s v="H"/>
    <n v="180"/>
    <x v="1"/>
    <m/>
    <m/>
    <m/>
    <m/>
    <x v="355"/>
    <m/>
    <m/>
    <m/>
  </r>
  <r>
    <m/>
    <m/>
    <m/>
    <m/>
    <m/>
    <x v="9"/>
    <n v="0"/>
    <s v="H"/>
    <n v="0"/>
    <x v="1"/>
    <m/>
    <m/>
    <m/>
    <m/>
    <x v="355"/>
    <m/>
    <m/>
    <m/>
  </r>
  <r>
    <m/>
    <m/>
    <m/>
    <m/>
    <m/>
    <x v="10"/>
    <n v="30"/>
    <s v="MIN"/>
    <n v="0.5"/>
    <x v="1"/>
    <m/>
    <m/>
    <m/>
    <m/>
    <x v="355"/>
    <m/>
    <m/>
    <m/>
  </r>
  <r>
    <m/>
    <m/>
    <m/>
    <m/>
    <m/>
    <x v="10"/>
    <n v="1"/>
    <s v="H"/>
    <n v="60"/>
    <x v="1"/>
    <m/>
    <m/>
    <m/>
    <m/>
    <x v="355"/>
    <m/>
    <m/>
    <m/>
  </r>
  <r>
    <m/>
    <m/>
    <m/>
    <m/>
    <m/>
    <x v="10"/>
    <n v="2"/>
    <s v="H"/>
    <n v="120"/>
    <x v="1"/>
    <m/>
    <m/>
    <m/>
    <m/>
    <x v="355"/>
    <m/>
    <m/>
    <m/>
  </r>
  <r>
    <m/>
    <m/>
    <m/>
    <m/>
    <m/>
    <x v="10"/>
    <n v="40"/>
    <s v="MIN"/>
    <n v="0.66666666666666663"/>
    <x v="1"/>
    <m/>
    <m/>
    <m/>
    <m/>
    <x v="355"/>
    <m/>
    <m/>
    <m/>
  </r>
  <r>
    <m/>
    <m/>
    <m/>
    <m/>
    <m/>
    <x v="10"/>
    <n v="30"/>
    <s v="MIN"/>
    <n v="0.5"/>
    <x v="1"/>
    <m/>
    <m/>
    <m/>
    <m/>
    <x v="355"/>
    <m/>
    <m/>
    <m/>
  </r>
  <r>
    <m/>
    <m/>
    <m/>
    <m/>
    <m/>
    <x v="10"/>
    <n v="15"/>
    <s v="MIN"/>
    <n v="0.25"/>
    <x v="1"/>
    <m/>
    <m/>
    <m/>
    <m/>
    <x v="355"/>
    <m/>
    <m/>
    <m/>
  </r>
  <r>
    <m/>
    <m/>
    <m/>
    <m/>
    <m/>
    <x v="10"/>
    <n v="30"/>
    <s v="MIN"/>
    <n v="0.5"/>
    <x v="1"/>
    <m/>
    <m/>
    <m/>
    <m/>
    <x v="355"/>
    <m/>
    <m/>
    <m/>
  </r>
  <r>
    <m/>
    <m/>
    <m/>
    <m/>
    <m/>
    <x v="10"/>
    <n v="30"/>
    <s v="MIN"/>
    <n v="0.5"/>
    <x v="1"/>
    <m/>
    <m/>
    <m/>
    <m/>
    <x v="355"/>
    <m/>
    <m/>
    <m/>
  </r>
  <r>
    <m/>
    <m/>
    <m/>
    <m/>
    <m/>
    <x v="11"/>
    <n v="1"/>
    <s v="H"/>
    <n v="60"/>
    <x v="1"/>
    <m/>
    <m/>
    <m/>
    <m/>
    <x v="355"/>
    <m/>
    <m/>
    <m/>
  </r>
  <r>
    <m/>
    <m/>
    <m/>
    <m/>
    <m/>
    <x v="11"/>
    <n v="2"/>
    <s v="H"/>
    <n v="120"/>
    <x v="1"/>
    <m/>
    <m/>
    <m/>
    <m/>
    <x v="355"/>
    <m/>
    <m/>
    <m/>
  </r>
  <r>
    <m/>
    <m/>
    <m/>
    <m/>
    <m/>
    <x v="11"/>
    <n v="1"/>
    <s v="H"/>
    <n v="60"/>
    <x v="1"/>
    <m/>
    <m/>
    <m/>
    <m/>
    <x v="355"/>
    <m/>
    <m/>
    <m/>
  </r>
  <r>
    <m/>
    <m/>
    <m/>
    <m/>
    <m/>
    <x v="11"/>
    <n v="1"/>
    <s v="H"/>
    <n v="60"/>
    <x v="1"/>
    <m/>
    <m/>
    <m/>
    <m/>
    <x v="355"/>
    <m/>
    <m/>
    <m/>
  </r>
  <r>
    <m/>
    <m/>
    <m/>
    <m/>
    <m/>
    <x v="11"/>
    <n v="1"/>
    <s v="H"/>
    <n v="60"/>
    <x v="1"/>
    <m/>
    <m/>
    <m/>
    <m/>
    <x v="355"/>
    <m/>
    <m/>
    <m/>
  </r>
  <r>
    <m/>
    <m/>
    <m/>
    <m/>
    <m/>
    <x v="11"/>
    <n v="4"/>
    <s v="H"/>
    <n v="240"/>
    <x v="1"/>
    <m/>
    <m/>
    <m/>
    <m/>
    <x v="355"/>
    <m/>
    <m/>
    <m/>
  </r>
  <r>
    <m/>
    <m/>
    <m/>
    <m/>
    <m/>
    <x v="11"/>
    <n v="1"/>
    <s v="H"/>
    <n v="60"/>
    <x v="1"/>
    <m/>
    <m/>
    <m/>
    <m/>
    <x v="355"/>
    <m/>
    <m/>
    <m/>
  </r>
  <r>
    <m/>
    <m/>
    <m/>
    <m/>
    <m/>
    <x v="11"/>
    <n v="1"/>
    <s v="H"/>
    <n v="60"/>
    <x v="1"/>
    <m/>
    <m/>
    <m/>
    <m/>
    <x v="355"/>
    <m/>
    <m/>
    <m/>
  </r>
  <r>
    <m/>
    <m/>
    <m/>
    <m/>
    <m/>
    <x v="11"/>
    <n v="1.5"/>
    <s v="H"/>
    <n v="90"/>
    <x v="1"/>
    <m/>
    <m/>
    <m/>
    <m/>
    <x v="355"/>
    <m/>
    <m/>
    <m/>
  </r>
  <r>
    <m/>
    <m/>
    <m/>
    <m/>
    <m/>
    <x v="11"/>
    <n v="3.5"/>
    <s v="H"/>
    <n v="210"/>
    <x v="1"/>
    <m/>
    <m/>
    <m/>
    <m/>
    <x v="355"/>
    <m/>
    <m/>
    <m/>
  </r>
  <r>
    <m/>
    <m/>
    <m/>
    <m/>
    <m/>
    <x v="11"/>
    <n v="6"/>
    <s v="H"/>
    <n v="360"/>
    <x v="1"/>
    <m/>
    <m/>
    <m/>
    <m/>
    <x v="355"/>
    <m/>
    <m/>
    <m/>
  </r>
  <r>
    <m/>
    <m/>
    <m/>
    <m/>
    <m/>
    <x v="11"/>
    <n v="2"/>
    <s v="H"/>
    <n v="120"/>
    <x v="1"/>
    <m/>
    <m/>
    <m/>
    <m/>
    <x v="355"/>
    <m/>
    <m/>
    <m/>
  </r>
  <r>
    <m/>
    <m/>
    <m/>
    <m/>
    <m/>
    <x v="11"/>
    <n v="2"/>
    <s v="H"/>
    <n v="120"/>
    <x v="1"/>
    <m/>
    <m/>
    <m/>
    <m/>
    <x v="355"/>
    <m/>
    <m/>
    <m/>
  </r>
  <r>
    <m/>
    <m/>
    <m/>
    <m/>
    <m/>
    <x v="19"/>
    <n v="1.5"/>
    <s v="H"/>
    <n v="90"/>
    <x v="1"/>
    <m/>
    <m/>
    <m/>
    <m/>
    <x v="355"/>
    <m/>
    <m/>
    <m/>
  </r>
  <r>
    <m/>
    <m/>
    <m/>
    <m/>
    <m/>
    <x v="19"/>
    <n v="30"/>
    <s v="MIN"/>
    <n v="0.5"/>
    <x v="1"/>
    <m/>
    <m/>
    <m/>
    <m/>
    <x v="355"/>
    <m/>
    <m/>
    <m/>
  </r>
  <r>
    <m/>
    <m/>
    <m/>
    <m/>
    <m/>
    <x v="19"/>
    <n v="30"/>
    <s v="MIN"/>
    <n v="0.5"/>
    <x v="1"/>
    <m/>
    <m/>
    <m/>
    <m/>
    <x v="355"/>
    <m/>
    <m/>
    <m/>
  </r>
  <r>
    <m/>
    <m/>
    <m/>
    <m/>
    <m/>
    <x v="19"/>
    <n v="1"/>
    <s v="H"/>
    <n v="60"/>
    <x v="1"/>
    <m/>
    <m/>
    <m/>
    <m/>
    <x v="355"/>
    <m/>
    <m/>
    <m/>
  </r>
  <r>
    <m/>
    <m/>
    <m/>
    <m/>
    <m/>
    <x v="19"/>
    <n v="4"/>
    <s v="H"/>
    <n v="240"/>
    <x v="1"/>
    <m/>
    <m/>
    <m/>
    <m/>
    <x v="355"/>
    <m/>
    <m/>
    <m/>
  </r>
  <r>
    <m/>
    <m/>
    <m/>
    <m/>
    <m/>
    <x v="19"/>
    <n v="1"/>
    <s v="H"/>
    <n v="60"/>
    <x v="1"/>
    <m/>
    <m/>
    <m/>
    <m/>
    <x v="355"/>
    <m/>
    <m/>
    <m/>
  </r>
  <r>
    <m/>
    <m/>
    <m/>
    <m/>
    <m/>
    <x v="12"/>
    <n v="30"/>
    <s v="MIN"/>
    <n v="0.5"/>
    <x v="1"/>
    <m/>
    <m/>
    <m/>
    <m/>
    <x v="355"/>
    <m/>
    <m/>
    <m/>
  </r>
  <r>
    <m/>
    <m/>
    <m/>
    <m/>
    <m/>
    <x v="12"/>
    <n v="1"/>
    <s v="H"/>
    <n v="60"/>
    <x v="1"/>
    <m/>
    <m/>
    <m/>
    <m/>
    <x v="355"/>
    <m/>
    <m/>
    <m/>
  </r>
  <r>
    <m/>
    <m/>
    <m/>
    <m/>
    <m/>
    <x v="12"/>
    <n v="20"/>
    <s v="MIN"/>
    <n v="0.33333333333333331"/>
    <x v="1"/>
    <m/>
    <m/>
    <m/>
    <m/>
    <x v="355"/>
    <m/>
    <m/>
    <m/>
  </r>
  <r>
    <m/>
    <m/>
    <m/>
    <m/>
    <m/>
    <x v="12"/>
    <n v="2.5"/>
    <s v="H"/>
    <n v="150"/>
    <x v="1"/>
    <m/>
    <m/>
    <m/>
    <m/>
    <x v="355"/>
    <m/>
    <m/>
    <m/>
  </r>
  <r>
    <m/>
    <m/>
    <m/>
    <m/>
    <m/>
    <x v="12"/>
    <n v="30"/>
    <s v="MIN"/>
    <n v="0.5"/>
    <x v="1"/>
    <m/>
    <m/>
    <m/>
    <m/>
    <x v="355"/>
    <m/>
    <m/>
    <m/>
  </r>
  <r>
    <m/>
    <m/>
    <m/>
    <m/>
    <m/>
    <x v="12"/>
    <n v="30"/>
    <s v="MIN"/>
    <n v="0.5"/>
    <x v="1"/>
    <m/>
    <m/>
    <m/>
    <m/>
    <x v="355"/>
    <m/>
    <m/>
    <m/>
  </r>
  <r>
    <m/>
    <m/>
    <m/>
    <m/>
    <m/>
    <x v="12"/>
    <n v="15"/>
    <s v="MIN"/>
    <n v="0.25"/>
    <x v="1"/>
    <m/>
    <m/>
    <m/>
    <m/>
    <x v="355"/>
    <m/>
    <m/>
    <m/>
  </r>
  <r>
    <m/>
    <m/>
    <m/>
    <m/>
    <m/>
    <x v="12"/>
    <n v="30"/>
    <s v="MIN"/>
    <n v="0.5"/>
    <x v="1"/>
    <m/>
    <m/>
    <m/>
    <m/>
    <x v="355"/>
    <m/>
    <m/>
    <m/>
  </r>
  <r>
    <m/>
    <m/>
    <m/>
    <m/>
    <m/>
    <x v="13"/>
    <n v="2"/>
    <s v="H"/>
    <n v="120"/>
    <x v="1"/>
    <m/>
    <m/>
    <m/>
    <m/>
    <x v="355"/>
    <m/>
    <m/>
    <m/>
  </r>
  <r>
    <m/>
    <m/>
    <m/>
    <m/>
    <m/>
    <x v="13"/>
    <n v="1"/>
    <s v="H"/>
    <n v="60"/>
    <x v="1"/>
    <m/>
    <m/>
    <m/>
    <m/>
    <x v="355"/>
    <m/>
    <m/>
    <m/>
  </r>
  <r>
    <m/>
    <m/>
    <m/>
    <m/>
    <m/>
    <x v="13"/>
    <n v="30"/>
    <s v="MIN"/>
    <n v="0.5"/>
    <x v="1"/>
    <m/>
    <m/>
    <m/>
    <m/>
    <x v="355"/>
    <m/>
    <m/>
    <m/>
  </r>
  <r>
    <m/>
    <m/>
    <m/>
    <m/>
    <m/>
    <x v="13"/>
    <n v="30"/>
    <s v="MIN"/>
    <n v="0.5"/>
    <x v="1"/>
    <m/>
    <m/>
    <m/>
    <m/>
    <x v="355"/>
    <m/>
    <m/>
    <m/>
  </r>
  <r>
    <m/>
    <m/>
    <m/>
    <m/>
    <m/>
    <x v="13"/>
    <n v="3.5"/>
    <s v="H"/>
    <n v="210"/>
    <x v="1"/>
    <m/>
    <m/>
    <m/>
    <m/>
    <x v="355"/>
    <m/>
    <m/>
    <m/>
  </r>
  <r>
    <m/>
    <m/>
    <m/>
    <m/>
    <m/>
    <x v="13"/>
    <n v="20"/>
    <s v="MIN"/>
    <n v="0.33333333333333331"/>
    <x v="1"/>
    <m/>
    <m/>
    <m/>
    <m/>
    <x v="355"/>
    <m/>
    <m/>
    <m/>
  </r>
  <r>
    <m/>
    <m/>
    <m/>
    <m/>
    <m/>
    <x v="13"/>
    <n v="2"/>
    <s v="H"/>
    <n v="120"/>
    <x v="1"/>
    <m/>
    <m/>
    <m/>
    <m/>
    <x v="355"/>
    <m/>
    <m/>
    <m/>
  </r>
  <r>
    <m/>
    <m/>
    <m/>
    <m/>
    <m/>
    <x v="13"/>
    <n v="2"/>
    <s v="H"/>
    <n v="120"/>
    <x v="1"/>
    <m/>
    <m/>
    <m/>
    <m/>
    <x v="355"/>
    <m/>
    <m/>
    <m/>
  </r>
  <r>
    <m/>
    <m/>
    <m/>
    <m/>
    <m/>
    <x v="14"/>
    <n v="3"/>
    <s v="H"/>
    <n v="180"/>
    <x v="1"/>
    <m/>
    <m/>
    <m/>
    <m/>
    <x v="355"/>
    <m/>
    <m/>
    <m/>
  </r>
  <r>
    <m/>
    <m/>
    <m/>
    <m/>
    <m/>
    <x v="14"/>
    <n v="3"/>
    <s v="H"/>
    <n v="180"/>
    <x v="1"/>
    <m/>
    <m/>
    <m/>
    <m/>
    <x v="355"/>
    <m/>
    <m/>
    <m/>
  </r>
  <r>
    <m/>
    <m/>
    <m/>
    <m/>
    <m/>
    <x v="14"/>
    <n v="30"/>
    <s v="MIN"/>
    <n v="0.5"/>
    <x v="1"/>
    <m/>
    <m/>
    <m/>
    <m/>
    <x v="355"/>
    <m/>
    <m/>
    <m/>
  </r>
  <r>
    <m/>
    <m/>
    <m/>
    <m/>
    <m/>
    <x v="14"/>
    <n v="40"/>
    <s v="MIN"/>
    <n v="0.66666666666666663"/>
    <x v="1"/>
    <m/>
    <m/>
    <m/>
    <m/>
    <x v="355"/>
    <m/>
    <m/>
    <m/>
  </r>
  <r>
    <m/>
    <m/>
    <m/>
    <m/>
    <m/>
    <x v="14"/>
    <n v="30"/>
    <s v="MIN"/>
    <n v="0.5"/>
    <x v="1"/>
    <m/>
    <m/>
    <m/>
    <m/>
    <x v="355"/>
    <m/>
    <m/>
    <m/>
  </r>
  <r>
    <m/>
    <m/>
    <m/>
    <m/>
    <m/>
    <x v="15"/>
    <n v="1.5"/>
    <s v="H"/>
    <n v="90"/>
    <x v="1"/>
    <m/>
    <m/>
    <m/>
    <m/>
    <x v="355"/>
    <m/>
    <m/>
    <m/>
  </r>
  <r>
    <m/>
    <m/>
    <m/>
    <m/>
    <m/>
    <x v="15"/>
    <n v="30"/>
    <s v="MIN"/>
    <n v="0.5"/>
    <x v="1"/>
    <m/>
    <m/>
    <m/>
    <m/>
    <x v="355"/>
    <m/>
    <m/>
    <m/>
  </r>
  <r>
    <m/>
    <m/>
    <m/>
    <m/>
    <m/>
    <x v="15"/>
    <n v="3.5"/>
    <s v="H"/>
    <n v="210"/>
    <x v="1"/>
    <m/>
    <m/>
    <m/>
    <m/>
    <x v="355"/>
    <m/>
    <m/>
    <m/>
  </r>
  <r>
    <m/>
    <m/>
    <m/>
    <m/>
    <m/>
    <x v="15"/>
    <n v="1.4"/>
    <s v="H"/>
    <n v="84"/>
    <x v="1"/>
    <m/>
    <m/>
    <m/>
    <m/>
    <x v="355"/>
    <m/>
    <m/>
    <m/>
  </r>
  <r>
    <m/>
    <m/>
    <m/>
    <m/>
    <m/>
    <x v="15"/>
    <n v="2.2999999999999998"/>
    <s v="H"/>
    <n v="138"/>
    <x v="1"/>
    <m/>
    <m/>
    <m/>
    <m/>
    <x v="355"/>
    <m/>
    <m/>
    <m/>
  </r>
  <r>
    <m/>
    <m/>
    <m/>
    <m/>
    <m/>
    <x v="15"/>
    <n v="1"/>
    <s v="H"/>
    <n v="60"/>
    <x v="1"/>
    <m/>
    <m/>
    <m/>
    <m/>
    <x v="355"/>
    <m/>
    <m/>
    <m/>
  </r>
  <r>
    <m/>
    <m/>
    <m/>
    <m/>
    <m/>
    <x v="15"/>
    <n v="20"/>
    <s v="MIN"/>
    <n v="0.33333333333333331"/>
    <x v="1"/>
    <m/>
    <m/>
    <m/>
    <m/>
    <x v="355"/>
    <m/>
    <m/>
    <m/>
  </r>
  <r>
    <m/>
    <m/>
    <m/>
    <m/>
    <m/>
    <x v="15"/>
    <n v="1"/>
    <s v="H"/>
    <n v="60"/>
    <x v="1"/>
    <m/>
    <m/>
    <m/>
    <m/>
    <x v="355"/>
    <m/>
    <m/>
    <m/>
  </r>
  <r>
    <m/>
    <m/>
    <m/>
    <m/>
    <m/>
    <x v="15"/>
    <n v="6"/>
    <s v="H"/>
    <n v="360"/>
    <x v="1"/>
    <m/>
    <m/>
    <m/>
    <m/>
    <x v="355"/>
    <m/>
    <m/>
    <m/>
  </r>
  <r>
    <m/>
    <m/>
    <m/>
    <m/>
    <m/>
    <x v="15"/>
    <n v="2"/>
    <s v="H"/>
    <n v="120"/>
    <x v="1"/>
    <m/>
    <m/>
    <m/>
    <m/>
    <x v="355"/>
    <m/>
    <m/>
    <m/>
  </r>
  <r>
    <m/>
    <m/>
    <m/>
    <m/>
    <m/>
    <x v="16"/>
    <n v="1.5"/>
    <s v="H"/>
    <n v="90"/>
    <x v="1"/>
    <m/>
    <m/>
    <m/>
    <m/>
    <x v="355"/>
    <m/>
    <m/>
    <m/>
  </r>
  <r>
    <m/>
    <m/>
    <m/>
    <m/>
    <m/>
    <x v="16"/>
    <n v="3.5"/>
    <s v="H"/>
    <n v="210"/>
    <x v="1"/>
    <m/>
    <m/>
    <m/>
    <m/>
    <x v="355"/>
    <m/>
    <m/>
    <m/>
  </r>
  <r>
    <m/>
    <m/>
    <m/>
    <m/>
    <m/>
    <x v="16"/>
    <n v="1"/>
    <s v="H"/>
    <n v="60"/>
    <x v="1"/>
    <m/>
    <m/>
    <m/>
    <m/>
    <x v="355"/>
    <m/>
    <m/>
    <m/>
  </r>
  <r>
    <m/>
    <m/>
    <m/>
    <m/>
    <m/>
    <x v="16"/>
    <n v="30"/>
    <s v="MIN"/>
    <n v="0.5"/>
    <x v="1"/>
    <m/>
    <m/>
    <m/>
    <m/>
    <x v="355"/>
    <m/>
    <m/>
    <m/>
  </r>
  <r>
    <m/>
    <m/>
    <m/>
    <m/>
    <m/>
    <x v="17"/>
    <n v="30"/>
    <s v="MIN"/>
    <n v="0.5"/>
    <x v="1"/>
    <m/>
    <m/>
    <m/>
    <m/>
    <x v="355"/>
    <m/>
    <m/>
    <m/>
  </r>
  <r>
    <m/>
    <m/>
    <m/>
    <m/>
    <m/>
    <x v="17"/>
    <n v="6"/>
    <s v="H"/>
    <n v="360"/>
    <x v="1"/>
    <m/>
    <m/>
    <m/>
    <m/>
    <x v="355"/>
    <m/>
    <m/>
    <m/>
  </r>
  <r>
    <m/>
    <m/>
    <m/>
    <m/>
    <m/>
    <x v="17"/>
    <n v="30"/>
    <s v="MIN"/>
    <n v="0.5"/>
    <x v="1"/>
    <m/>
    <m/>
    <m/>
    <m/>
    <x v="355"/>
    <m/>
    <m/>
    <m/>
  </r>
  <r>
    <m/>
    <m/>
    <m/>
    <m/>
    <m/>
    <x v="17"/>
    <n v="30"/>
    <s v="MIN"/>
    <n v="0.5"/>
    <x v="1"/>
    <m/>
    <m/>
    <m/>
    <m/>
    <x v="355"/>
    <m/>
    <m/>
    <m/>
  </r>
  <r>
    <m/>
    <m/>
    <m/>
    <m/>
    <m/>
    <x v="17"/>
    <n v="10"/>
    <s v="MIN"/>
    <n v="0.16666666666666666"/>
    <x v="1"/>
    <m/>
    <m/>
    <m/>
    <m/>
    <x v="355"/>
    <m/>
    <m/>
    <m/>
  </r>
  <r>
    <m/>
    <m/>
    <m/>
    <m/>
    <m/>
    <x v="18"/>
    <n v="30"/>
    <s v="MIN"/>
    <n v="0.5"/>
    <x v="1"/>
    <m/>
    <m/>
    <m/>
    <m/>
    <x v="355"/>
    <m/>
    <m/>
    <m/>
  </r>
  <r>
    <m/>
    <m/>
    <m/>
    <m/>
    <m/>
    <x v="20"/>
    <m/>
    <m/>
    <m/>
    <x v="2"/>
    <m/>
    <m/>
    <m/>
    <m/>
    <x v="355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n v="40187982"/>
    <s v="นายธวัชชัย แก้วจันทร์"/>
    <x v="0"/>
    <s v="Technician-Engineering"/>
    <n v="7.5"/>
    <n v="7.5"/>
    <n v="3"/>
    <m/>
    <m/>
    <n v="3"/>
    <n v="21"/>
    <n v="13.5"/>
  </r>
  <r>
    <n v="20610787"/>
    <s v="นายบรรลุ จุใจ"/>
    <x v="1"/>
    <s v="Senior Foreman"/>
    <m/>
    <m/>
    <m/>
    <m/>
    <m/>
    <m/>
    <n v="0"/>
    <n v="0"/>
  </r>
  <r>
    <n v="80067786"/>
    <s v="นายนพดล จิตมั่น"/>
    <x v="2"/>
    <s v="Technician-Engineering"/>
    <n v="15"/>
    <n v="15"/>
    <n v="5"/>
    <m/>
    <m/>
    <n v="6"/>
    <n v="41"/>
    <n v="26"/>
  </r>
  <r>
    <n v="40219006"/>
    <s v="นายจักรพงษ์ กาบศรี"/>
    <x v="3"/>
    <s v="Technician-Engineering"/>
    <n v="15"/>
    <n v="7.5"/>
    <n v="5.5"/>
    <m/>
    <m/>
    <n v="3"/>
    <n v="31"/>
    <n v="16"/>
  </r>
  <r>
    <n v="20612983"/>
    <s v="นายยุทธการ กาวิชา"/>
    <x v="4"/>
    <s v="Senior Technician"/>
    <n v="15"/>
    <n v="15"/>
    <n v="4.5"/>
    <m/>
    <m/>
    <n v="6"/>
    <n v="40.5"/>
    <n v="25.5"/>
  </r>
  <r>
    <n v="25002121"/>
    <s v="นายภาณุวัช ไชยชุมภู"/>
    <x v="5"/>
    <s v="Foreman"/>
    <m/>
    <m/>
    <m/>
    <m/>
    <m/>
    <m/>
    <n v="0"/>
    <n v="0"/>
  </r>
  <r>
    <n v="40157890"/>
    <s v="นายเจษฎาพงค์ ดวงแก้ว"/>
    <x v="6"/>
    <s v="Senior Technician"/>
    <n v="15"/>
    <n v="15"/>
    <n v="4.5"/>
    <m/>
    <m/>
    <n v="6"/>
    <n v="40.5"/>
    <n v="25.5"/>
  </r>
  <r>
    <n v="20612249"/>
    <s v="นายสาคร อินสองใจ"/>
    <x v="7"/>
    <s v="Senior Foreman"/>
    <n v="15"/>
    <n v="15"/>
    <n v="4.5"/>
    <m/>
    <m/>
    <n v="5.5"/>
    <n v="40"/>
    <n v="25"/>
  </r>
  <r>
    <n v="40204913"/>
    <s v="นายรัชชานนท์ นนทะธรรม"/>
    <x v="8"/>
    <s v="Technician-Engineering"/>
    <n v="15"/>
    <n v="15"/>
    <n v="3"/>
    <m/>
    <m/>
    <n v="6"/>
    <n v="39"/>
    <n v="24"/>
  </r>
  <r>
    <n v="40021970"/>
    <s v="นายณฤทธิ์ อนนท์"/>
    <x v="9"/>
    <s v="Senior Technician"/>
    <n v="15"/>
    <n v="15"/>
    <n v="4.5"/>
    <m/>
    <m/>
    <n v="6"/>
    <n v="40.5"/>
    <n v="25.5"/>
  </r>
  <r>
    <n v="40114184"/>
    <s v="นายเจษฎา ปากองวัน"/>
    <x v="10"/>
    <s v="Senior Technician"/>
    <n v="15"/>
    <n v="15"/>
    <n v="4.5"/>
    <m/>
    <m/>
    <n v="6"/>
    <n v="40.5"/>
    <n v="25.5"/>
  </r>
  <r>
    <n v="40204915"/>
    <s v="นายสมนึก มงคลแก้ว"/>
    <x v="11"/>
    <s v="Senior Technician"/>
    <n v="15"/>
    <n v="15"/>
    <n v="4"/>
    <m/>
    <m/>
    <n v="6"/>
    <n v="40"/>
    <n v="25"/>
  </r>
  <r>
    <n v="20610013"/>
    <s v="นายโกมล สมบูรณ์เหลือ"/>
    <x v="12"/>
    <s v="Senior Foreman"/>
    <n v="15"/>
    <n v="7.5"/>
    <n v="4.5"/>
    <m/>
    <m/>
    <n v="3"/>
    <n v="30"/>
    <n v="15"/>
  </r>
  <r>
    <n v="25002113"/>
    <s v="นายเอกนรินทร์ ไชยวงค์"/>
    <x v="13"/>
    <s v="Foreman"/>
    <n v="15"/>
    <n v="15"/>
    <n v="4.5"/>
    <m/>
    <m/>
    <n v="6"/>
    <n v="40.5"/>
    <n v="25.5"/>
  </r>
  <r>
    <n v="40200086"/>
    <s v="นายออมทรัพย์ สกุลประกายพร"/>
    <x v="14"/>
    <s v="Senior Technician"/>
    <n v="15"/>
    <n v="15"/>
    <n v="4.5"/>
    <m/>
    <m/>
    <n v="6"/>
    <n v="40.5"/>
    <n v="25.5"/>
  </r>
  <r>
    <n v="80018248"/>
    <s v="นายกฤษดา รังสิตวัฒนะ"/>
    <x v="15"/>
    <s v="Technician-Engineering"/>
    <m/>
    <m/>
    <m/>
    <m/>
    <m/>
    <m/>
    <n v="0"/>
    <n v="0"/>
  </r>
  <r>
    <n v="25002095"/>
    <s v="นายอนุวัฒน์ จันทร์ดี"/>
    <x v="16"/>
    <s v="Foreman"/>
    <n v="15"/>
    <n v="7.5"/>
    <n v="5.5"/>
    <m/>
    <m/>
    <n v="2"/>
    <n v="30"/>
    <n v="15"/>
  </r>
  <r>
    <n v="40219005"/>
    <s v="นายวรวิทธ์ จักรใจวงค์"/>
    <x v="17"/>
    <s v="Technician-Engineering"/>
    <n v="15"/>
    <n v="15"/>
    <n v="4.5"/>
    <m/>
    <m/>
    <n v="6"/>
    <n v="40.5"/>
    <n v="25.5"/>
  </r>
  <r>
    <s v="ช่วงวันที่ 06/01/2563 - 12/01/2563"/>
    <m/>
    <x v="18"/>
    <m/>
    <m/>
    <m/>
    <m/>
    <m/>
    <m/>
    <m/>
    <m/>
    <m/>
  </r>
  <r>
    <s v="รหัส"/>
    <s v="ชื่อ - สกุล (ไทย)"/>
    <x v="19"/>
    <s v="ตำแหน่ง"/>
    <s v="WH"/>
    <s v="OT1"/>
    <s v="OT1.5"/>
    <s v="OT1HOL"/>
    <s v="OT2"/>
    <s v="OT3"/>
    <s v="Summary/W"/>
    <s v="OT net"/>
  </r>
  <r>
    <n v="40187982"/>
    <s v="นายธวัชชัย แก้วจันทร์"/>
    <x v="20"/>
    <s v="Technician-Engineering"/>
    <n v="30"/>
    <n v="7.5"/>
    <n v="4.5"/>
    <m/>
    <m/>
    <n v="3"/>
    <n v="45"/>
    <n v="15"/>
  </r>
  <r>
    <n v="20610787"/>
    <s v="นายบรรลุ จุใจ"/>
    <x v="21"/>
    <s v="Senior Foreman"/>
    <n v="37.5"/>
    <n v="7.5"/>
    <n v="13.5"/>
    <m/>
    <m/>
    <n v="3"/>
    <n v="61.5"/>
    <n v="24"/>
  </r>
  <r>
    <n v="80067786"/>
    <s v="นายนพดล จิตมั่น"/>
    <x v="22"/>
    <s v="Technician-Engineering"/>
    <n v="37.5"/>
    <n v="7.5"/>
    <n v="12.5"/>
    <m/>
    <m/>
    <n v="3"/>
    <n v="60.5"/>
    <n v="23"/>
  </r>
  <r>
    <n v="40219006"/>
    <s v="นายจักรพงษ์ กาบศรี"/>
    <x v="23"/>
    <s v="Technician-Engineering"/>
    <n v="37.5"/>
    <n v="15"/>
    <n v="14.5"/>
    <m/>
    <m/>
    <n v="6"/>
    <n v="73"/>
    <n v="35.5"/>
  </r>
  <r>
    <n v="20612983"/>
    <s v="นายยุทธการ กาวิชา"/>
    <x v="24"/>
    <s v="Senior Technician"/>
    <n v="37.5"/>
    <n v="7.5"/>
    <n v="14"/>
    <m/>
    <m/>
    <n v="3"/>
    <n v="62"/>
    <n v="24.5"/>
  </r>
  <r>
    <n v="25002121"/>
    <s v="นายภาณุวัช ไชยชุมภู"/>
    <x v="25"/>
    <s v="Foreman"/>
    <n v="37.5"/>
    <m/>
    <n v="14"/>
    <m/>
    <m/>
    <m/>
    <n v="51.5"/>
    <n v="14"/>
  </r>
  <r>
    <n v="40157890"/>
    <s v="นายเจษฎาพงค์ ดวงแก้ว"/>
    <x v="26"/>
    <s v="Senior Technician"/>
    <n v="37.5"/>
    <n v="15"/>
    <n v="13.5"/>
    <m/>
    <m/>
    <n v="6"/>
    <n v="72"/>
    <n v="34.5"/>
  </r>
  <r>
    <n v="20612249"/>
    <s v="นายสาคร อินสองใจ"/>
    <x v="27"/>
    <s v="Senior Foreman"/>
    <n v="30"/>
    <n v="7.5"/>
    <n v="10.5"/>
    <m/>
    <m/>
    <n v="3"/>
    <n v="51"/>
    <n v="21"/>
  </r>
  <r>
    <n v="40204913"/>
    <s v="นายรัชชานนท์ นนทะธรรม"/>
    <x v="28"/>
    <s v="Technician-Engineering"/>
    <n v="22.5"/>
    <n v="7.5"/>
    <n v="10"/>
    <m/>
    <m/>
    <n v="3"/>
    <n v="43"/>
    <n v="20.5"/>
  </r>
  <r>
    <n v="40021970"/>
    <s v="นายณฤทธิ์ อนนท์"/>
    <x v="29"/>
    <s v="Senior Technician"/>
    <n v="30"/>
    <n v="7.5"/>
    <n v="12.5"/>
    <m/>
    <m/>
    <n v="3"/>
    <n v="53"/>
    <n v="23"/>
  </r>
  <r>
    <n v="40114184"/>
    <s v="นายเจษฎา ปากองวัน"/>
    <x v="30"/>
    <s v="Senior Technician"/>
    <n v="30"/>
    <n v="7.5"/>
    <n v="10.5"/>
    <m/>
    <m/>
    <n v="3"/>
    <n v="51"/>
    <n v="21"/>
  </r>
  <r>
    <n v="40204915"/>
    <s v="นายสมนึก มงคลแก้ว"/>
    <x v="31"/>
    <s v="Senior Technician"/>
    <n v="30"/>
    <n v="15"/>
    <n v="11"/>
    <m/>
    <m/>
    <n v="6"/>
    <n v="62"/>
    <n v="32"/>
  </r>
  <r>
    <n v="20610013"/>
    <s v="นายโกมล สมบูรณ์เหลือ"/>
    <x v="32"/>
    <s v="Senior Foreman"/>
    <n v="37.5"/>
    <n v="7.5"/>
    <n v="9"/>
    <m/>
    <m/>
    <n v="3"/>
    <n v="57"/>
    <n v="19.5"/>
  </r>
  <r>
    <n v="25002113"/>
    <s v="นายเอกนรินทร์ ไชยวงค์"/>
    <x v="33"/>
    <s v="Foreman"/>
    <n v="37.5"/>
    <n v="7.5"/>
    <n v="13.5"/>
    <m/>
    <m/>
    <n v="2"/>
    <n v="60.5"/>
    <n v="23"/>
  </r>
  <r>
    <n v="40200086"/>
    <s v="นายออมทรัพย์ สกุลประกายพร"/>
    <x v="34"/>
    <s v="Senior Technician"/>
    <n v="37.5"/>
    <n v="7.5"/>
    <n v="15"/>
    <m/>
    <m/>
    <n v="3"/>
    <n v="63"/>
    <n v="25.5"/>
  </r>
  <r>
    <n v="80018248"/>
    <s v="นายกฤษดา รังสิตวัฒนะ"/>
    <x v="35"/>
    <s v="Technician-Engineering"/>
    <n v="37.5"/>
    <n v="15"/>
    <n v="13"/>
    <m/>
    <m/>
    <n v="6"/>
    <n v="71.5"/>
    <n v="34"/>
  </r>
  <r>
    <n v="25002095"/>
    <s v="นายอนุวัฒน์ จันทร์ดี"/>
    <x v="36"/>
    <s v="Foreman"/>
    <n v="37.5"/>
    <m/>
    <n v="11"/>
    <m/>
    <m/>
    <m/>
    <n v="48.5"/>
    <n v="11"/>
  </r>
  <r>
    <n v="40219005"/>
    <s v="นายวรวิทธ์ จักรใจวงค์"/>
    <x v="37"/>
    <s v="Technician-Engineering"/>
    <n v="37.5"/>
    <n v="7.5"/>
    <n v="17"/>
    <m/>
    <m/>
    <n v="3"/>
    <n v="65"/>
    <n v="27.5"/>
  </r>
  <r>
    <s v="ช่วงวันที่ 13/01/2563 - 19/01/2563"/>
    <m/>
    <x v="18"/>
    <m/>
    <m/>
    <m/>
    <m/>
    <m/>
    <m/>
    <m/>
    <m/>
    <m/>
  </r>
  <r>
    <s v="รหัส"/>
    <s v="ชื่อ - สกุล (ไทย)"/>
    <x v="19"/>
    <s v="ตำแหน่ง"/>
    <s v="WH"/>
    <s v="OT1"/>
    <s v="OT1.5"/>
    <s v="OT1HOL"/>
    <s v="OT2"/>
    <s v="OT3"/>
    <s v="Summary"/>
    <s v="OT net"/>
  </r>
  <r>
    <n v="40187982"/>
    <s v="นายธวัชชัย แก้วจันทร์"/>
    <x v="20"/>
    <s v="Technician-Engineering"/>
    <n v="37.5"/>
    <m/>
    <n v="9"/>
    <m/>
    <m/>
    <m/>
    <n v="46.5"/>
    <n v="9"/>
  </r>
  <r>
    <n v="20610787"/>
    <s v="นายบรรลุ จุใจ"/>
    <x v="21"/>
    <s v="Senior Foreman"/>
    <n v="37.5"/>
    <n v="7.5"/>
    <n v="12.5"/>
    <m/>
    <m/>
    <n v="3"/>
    <n v="50"/>
    <n v="23"/>
  </r>
  <r>
    <n v="80067786"/>
    <s v="นายนพดล จิตมั่น"/>
    <x v="22"/>
    <s v="Technician-Engineering"/>
    <n v="37.5"/>
    <n v="15"/>
    <n v="14"/>
    <m/>
    <m/>
    <n v="6"/>
    <n v="51.5"/>
    <n v="35"/>
  </r>
  <r>
    <n v="40219006"/>
    <s v="นายจักรพงษ์ กาบศรี"/>
    <x v="23"/>
    <s v="Technician-Engineering"/>
    <n v="37.5"/>
    <n v="15"/>
    <n v="13"/>
    <m/>
    <m/>
    <n v="6"/>
    <n v="50.5"/>
    <n v="34"/>
  </r>
  <r>
    <n v="20612983"/>
    <s v="นายยุทธการ กาวิชา"/>
    <x v="24"/>
    <s v="Senior Technician"/>
    <n v="22.5"/>
    <n v="15"/>
    <n v="6.5"/>
    <m/>
    <m/>
    <n v="6"/>
    <n v="29"/>
    <n v="27.5"/>
  </r>
  <r>
    <n v="25002121"/>
    <s v="นายภาณุวัช ไชยชุมภู"/>
    <x v="25"/>
    <s v="Foreman"/>
    <n v="37.5"/>
    <n v="15"/>
    <n v="10.5"/>
    <m/>
    <m/>
    <n v="6"/>
    <n v="48"/>
    <n v="31.5"/>
  </r>
  <r>
    <n v="40157890"/>
    <s v="นายเจษฎาพงค์ ดวงแก้ว"/>
    <x v="26"/>
    <s v="Senior Technician"/>
    <n v="22.5"/>
    <n v="15"/>
    <n v="7.5"/>
    <m/>
    <m/>
    <n v="6"/>
    <n v="30"/>
    <n v="28.5"/>
  </r>
  <r>
    <n v="20612249"/>
    <s v="นายสาคร อินสองใจ"/>
    <x v="27"/>
    <s v="Senior Foreman"/>
    <n v="37.5"/>
    <n v="15"/>
    <n v="13.5"/>
    <m/>
    <m/>
    <n v="6"/>
    <n v="51"/>
    <n v="34.5"/>
  </r>
  <r>
    <n v="40204913"/>
    <s v="นายรัชชานนท์ นนทะธรรม"/>
    <x v="28"/>
    <s v="Technician-Engineering"/>
    <n v="19.399999999999999"/>
    <n v="15"/>
    <n v="4.5"/>
    <m/>
    <m/>
    <n v="6"/>
    <n v="23.9"/>
    <n v="25.5"/>
  </r>
  <r>
    <n v="40021970"/>
    <s v="นายณฤทธิ์ อนนท์"/>
    <x v="29"/>
    <s v="Senior Technician"/>
    <n v="34"/>
    <n v="15"/>
    <n v="11"/>
    <m/>
    <m/>
    <n v="6"/>
    <n v="45"/>
    <n v="32"/>
  </r>
  <r>
    <n v="40114184"/>
    <s v="นายเจษฎา ปากองวัน"/>
    <x v="30"/>
    <s v="Senior Technician"/>
    <n v="37.5"/>
    <n v="15"/>
    <n v="13"/>
    <m/>
    <m/>
    <n v="6"/>
    <n v="50.5"/>
    <n v="34"/>
  </r>
  <r>
    <n v="40204915"/>
    <s v="นายสมนึก มงคลแก้ว"/>
    <x v="31"/>
    <s v="Senior Technician"/>
    <n v="37.5"/>
    <n v="15"/>
    <n v="12"/>
    <m/>
    <m/>
    <n v="6"/>
    <n v="49.5"/>
    <n v="33"/>
  </r>
  <r>
    <n v="20610013"/>
    <s v="นายโกมล สมบูรณ์เหลือ"/>
    <x v="32"/>
    <s v="Senior Foreman"/>
    <n v="37.5"/>
    <n v="15"/>
    <n v="13.5"/>
    <m/>
    <m/>
    <n v="6"/>
    <n v="51"/>
    <n v="34.5"/>
  </r>
  <r>
    <n v="25002113"/>
    <s v="นายเอกนรินทร์ ไชยวงค์"/>
    <x v="33"/>
    <s v="Foreman"/>
    <n v="37.5"/>
    <n v="15"/>
    <n v="10"/>
    <m/>
    <m/>
    <n v="6"/>
    <n v="47.5"/>
    <n v="31"/>
  </r>
  <r>
    <n v="40200086"/>
    <s v="นายออมทรัพย์ สกุลประกายพร"/>
    <x v="34"/>
    <s v="Senior Technician"/>
    <n v="30"/>
    <n v="15"/>
    <n v="11"/>
    <m/>
    <m/>
    <n v="6"/>
    <n v="41"/>
    <n v="32"/>
  </r>
  <r>
    <n v="80018248"/>
    <s v="นายกฤษดา รังสิตวัฒนะ"/>
    <x v="35"/>
    <s v="Technician-Engineering"/>
    <n v="37.5"/>
    <n v="15"/>
    <n v="13.5"/>
    <m/>
    <m/>
    <n v="6"/>
    <n v="51"/>
    <n v="34.5"/>
  </r>
  <r>
    <n v="25002095"/>
    <s v="นายอนุวัฒน์ จันทร์ดี"/>
    <x v="36"/>
    <s v="Foreman"/>
    <n v="30"/>
    <m/>
    <n v="11.5"/>
    <m/>
    <m/>
    <m/>
    <n v="41.5"/>
    <n v="11.5"/>
  </r>
  <r>
    <n v="40219005"/>
    <s v="นายวรวิทธ์ จักรใจวงค์"/>
    <x v="37"/>
    <s v="Technician-Engineering"/>
    <n v="37.5"/>
    <n v="7.5"/>
    <n v="13.5"/>
    <m/>
    <m/>
    <n v="3"/>
    <n v="51"/>
    <n v="24"/>
  </r>
  <r>
    <s v="ช่วงวันที่ 20/01/2563 - 26/01/2563"/>
    <m/>
    <x v="18"/>
    <m/>
    <m/>
    <m/>
    <m/>
    <m/>
    <m/>
    <m/>
    <m/>
    <m/>
  </r>
  <r>
    <s v="รหัส"/>
    <s v="ชื่อ - สกุล (ไทย)"/>
    <x v="19"/>
    <s v="ตำแหน่ง"/>
    <s v="WH"/>
    <s v="OT1"/>
    <s v="OT1.5"/>
    <s v="OT1HOL"/>
    <s v="OT2"/>
    <s v="OT3"/>
    <s v="Summary"/>
    <s v="OT net"/>
  </r>
  <r>
    <n v="40187982"/>
    <s v="นายธวัชชัย แก้วจันทร์"/>
    <x v="20"/>
    <s v="Technician-Engineering"/>
    <n v="37.5"/>
    <n v="7.5"/>
    <n v="12"/>
    <m/>
    <m/>
    <n v="3"/>
    <n v="60"/>
    <n v="22.5"/>
  </r>
  <r>
    <n v="20610787"/>
    <s v="นายบรรลุ จุใจ"/>
    <x v="21"/>
    <s v="Senior Foreman"/>
    <n v="37.5"/>
    <n v="15"/>
    <n v="13.5"/>
    <m/>
    <m/>
    <n v="6"/>
    <n v="72"/>
    <n v="34.5"/>
  </r>
  <r>
    <n v="80067786"/>
    <s v="นายนพดล จิตมั่น"/>
    <x v="22"/>
    <s v="Technician-Engineering"/>
    <n v="30"/>
    <m/>
    <n v="9"/>
    <m/>
    <m/>
    <m/>
    <n v="39"/>
    <n v="9"/>
  </r>
  <r>
    <n v="40219006"/>
    <s v="นายจักรพงษ์ กาบศรี"/>
    <x v="23"/>
    <s v="Technician-Engineering"/>
    <n v="34"/>
    <n v="15"/>
    <n v="12"/>
    <m/>
    <m/>
    <n v="6"/>
    <n v="67"/>
    <n v="33"/>
  </r>
  <r>
    <n v="20612983"/>
    <s v="นายยุทธการ กาวิชา"/>
    <x v="24"/>
    <s v="Senior Technician"/>
    <n v="37.5"/>
    <m/>
    <n v="14.5"/>
    <m/>
    <m/>
    <m/>
    <n v="52"/>
    <n v="14.5"/>
  </r>
  <r>
    <n v="25002121"/>
    <s v="นายภาณุวัช ไชยชุมภู"/>
    <x v="25"/>
    <s v="Foreman"/>
    <n v="37.5"/>
    <n v="7.5"/>
    <n v="15"/>
    <m/>
    <m/>
    <n v="3"/>
    <n v="63"/>
    <n v="25.5"/>
  </r>
  <r>
    <n v="40157890"/>
    <s v="นายเจษฎาพงค์ ดวงแก้ว"/>
    <x v="26"/>
    <s v="Senior Technician"/>
    <n v="37.5"/>
    <n v="7.5"/>
    <n v="15"/>
    <m/>
    <m/>
    <n v="3"/>
    <n v="63"/>
    <n v="25.5"/>
  </r>
  <r>
    <n v="20612249"/>
    <s v="นายสาคร อินสองใจ"/>
    <x v="27"/>
    <s v="Senior Foreman"/>
    <n v="30"/>
    <n v="15"/>
    <n v="11"/>
    <m/>
    <m/>
    <n v="6"/>
    <n v="62"/>
    <n v="32"/>
  </r>
  <r>
    <n v="40204913"/>
    <s v="นายรัชชานนท์ นนทะธรรม"/>
    <x v="28"/>
    <s v="Technician-Engineering"/>
    <n v="37.5"/>
    <n v="7.5"/>
    <n v="15"/>
    <m/>
    <m/>
    <n v="3"/>
    <n v="63"/>
    <n v="25.5"/>
  </r>
  <r>
    <n v="40021970"/>
    <s v="นายณฤทธิ์ อนนท์"/>
    <x v="29"/>
    <s v="Senior Technician"/>
    <n v="37.5"/>
    <m/>
    <n v="15"/>
    <m/>
    <m/>
    <m/>
    <n v="52.5"/>
    <n v="15"/>
  </r>
  <r>
    <n v="40114184"/>
    <s v="นายเจษฎา ปากองวัน"/>
    <x v="30"/>
    <s v="Senior Technician"/>
    <n v="37.5"/>
    <n v="7.5"/>
    <n v="14"/>
    <m/>
    <m/>
    <n v="3"/>
    <n v="62"/>
    <n v="24.5"/>
  </r>
  <r>
    <n v="40204915"/>
    <s v="นายสมนึก มงคลแก้ว"/>
    <x v="31"/>
    <s v="Senior Technician"/>
    <n v="37.5"/>
    <n v="15"/>
    <n v="11.5"/>
    <m/>
    <m/>
    <n v="6"/>
    <n v="70"/>
    <n v="32.5"/>
  </r>
  <r>
    <n v="20610013"/>
    <s v="นายโกมล สมบูรณ์เหลือ"/>
    <x v="32"/>
    <s v="Senior Foreman"/>
    <n v="37.5"/>
    <n v="15"/>
    <n v="15"/>
    <m/>
    <m/>
    <n v="4.5"/>
    <n v="72"/>
    <n v="34.5"/>
  </r>
  <r>
    <n v="25002113"/>
    <s v="นายเอกนรินทร์ ไชยวงค์"/>
    <x v="33"/>
    <s v="Foreman"/>
    <n v="37.5"/>
    <n v="15"/>
    <n v="15"/>
    <m/>
    <m/>
    <n v="6"/>
    <n v="73.5"/>
    <n v="36"/>
  </r>
  <r>
    <n v="40200086"/>
    <s v="นายออมทรัพย์ สกุลประกายพร"/>
    <x v="34"/>
    <s v="Senior Technician"/>
    <n v="37.5"/>
    <n v="7.5"/>
    <n v="17"/>
    <m/>
    <m/>
    <n v="3"/>
    <n v="65"/>
    <n v="27.5"/>
  </r>
  <r>
    <n v="80018248"/>
    <s v="นายกฤษดา รังสิตวัฒนะ"/>
    <x v="35"/>
    <s v="Technician-Engineering"/>
    <n v="37.5"/>
    <n v="15"/>
    <n v="13"/>
    <m/>
    <m/>
    <n v="6"/>
    <n v="71.5"/>
    <n v="34"/>
  </r>
  <r>
    <n v="25002095"/>
    <s v="นายอนุวัฒน์ จันทร์ดี"/>
    <x v="36"/>
    <s v="Foreman"/>
    <n v="37.5"/>
    <n v="15"/>
    <n v="13"/>
    <m/>
    <m/>
    <n v="6"/>
    <n v="71.5"/>
    <n v="34"/>
  </r>
  <r>
    <n v="40219005"/>
    <s v="นายวรวิทธ์ จักรใจวงค์"/>
    <x v="37"/>
    <s v="Technician-Engineering"/>
    <n v="37.5"/>
    <n v="7.5"/>
    <n v="15"/>
    <m/>
    <m/>
    <n v="3"/>
    <n v="63"/>
    <n v="25.5"/>
  </r>
  <r>
    <s v="ช่วงวันที่ 27/01/2563 - 02/02/2563"/>
    <m/>
    <x v="18"/>
    <m/>
    <m/>
    <m/>
    <m/>
    <m/>
    <m/>
    <m/>
    <m/>
    <m/>
  </r>
  <r>
    <s v="รหัส"/>
    <s v="ชื่อ - สกุล (ไทย)"/>
    <x v="19"/>
    <s v="ตำแหน่ง"/>
    <s v="WH"/>
    <s v="OT1"/>
    <s v="OT1.5"/>
    <s v="OT1HOL"/>
    <s v="OT2"/>
    <s v="OT3"/>
    <s v="Summary"/>
    <s v="OT net"/>
  </r>
  <r>
    <n v="40187982"/>
    <s v="นายธวัชชัย แก้วจันทร์"/>
    <x v="20"/>
    <s v="Technician-Engineering"/>
    <n v="37.5"/>
    <n v="8.5"/>
    <n v="7.5"/>
    <m/>
    <m/>
    <n v="3"/>
    <n v="56.5"/>
    <n v="19"/>
  </r>
  <r>
    <n v="20610787"/>
    <s v="นายบรรลุ จุใจ"/>
    <x v="21"/>
    <s v="Senior Foreman"/>
    <n v="37.450000000000003"/>
    <n v="13.5"/>
    <n v="14.97"/>
    <m/>
    <m/>
    <n v="6"/>
    <n v="71.92"/>
    <n v="34.47"/>
  </r>
  <r>
    <n v="80067786"/>
    <s v="นายนพดล จิตมั่น"/>
    <x v="22"/>
    <s v="Technician-Engineering"/>
    <n v="37.5"/>
    <n v="15"/>
    <n v="15"/>
    <m/>
    <m/>
    <n v="6"/>
    <n v="73.5"/>
    <n v="36"/>
  </r>
  <r>
    <n v="40219006"/>
    <s v="นายจักรพงษ์ กาบศรี"/>
    <x v="23"/>
    <s v="Technician-Engineering"/>
    <n v="37.5"/>
    <n v="15"/>
    <n v="7.5"/>
    <m/>
    <m/>
    <n v="3"/>
    <n v="63"/>
    <n v="25.5"/>
  </r>
  <r>
    <n v="20612983"/>
    <s v="นายยุทธการ กาวิชา"/>
    <x v="24"/>
    <s v="Senior Technician"/>
    <n v="37.5"/>
    <n v="11"/>
    <n v="15"/>
    <m/>
    <m/>
    <n v="6"/>
    <n v="69.5"/>
    <n v="32"/>
  </r>
  <r>
    <n v="25002121"/>
    <s v="นายภาณุวัช ไชยชุมภู"/>
    <x v="25"/>
    <s v="Foreman"/>
    <n v="26.5"/>
    <n v="7.5"/>
    <m/>
    <m/>
    <m/>
    <m/>
    <n v="34"/>
    <n v="7.5"/>
  </r>
  <r>
    <n v="40157890"/>
    <s v="นายเจษฎาพงค์ ดวงแก้ว"/>
    <x v="26"/>
    <s v="Senior Technician"/>
    <n v="37.5"/>
    <n v="12.5"/>
    <n v="15"/>
    <m/>
    <m/>
    <n v="6"/>
    <n v="71"/>
    <n v="33.5"/>
  </r>
  <r>
    <n v="20612249"/>
    <s v="นายสาคร อินสองใจ"/>
    <x v="27"/>
    <s v="Senior Foreman"/>
    <n v="37.5"/>
    <n v="17"/>
    <n v="7.5"/>
    <m/>
    <m/>
    <n v="3"/>
    <n v="65"/>
    <n v="27.5"/>
  </r>
  <r>
    <n v="40204913"/>
    <s v="นายรัชชานนท์ นนทะธรรม"/>
    <x v="28"/>
    <s v="Technician-Engineering"/>
    <n v="37.5"/>
    <n v="9"/>
    <n v="7.5"/>
    <m/>
    <m/>
    <n v="1.5"/>
    <n v="55.5"/>
    <n v="18"/>
  </r>
  <r>
    <n v="40021970"/>
    <s v="นายณฤทธิ์ อนนท์"/>
    <x v="29"/>
    <s v="Senior Technician"/>
    <n v="37.5"/>
    <n v="14"/>
    <n v="15"/>
    <m/>
    <m/>
    <n v="5.5"/>
    <n v="72"/>
    <n v="34.5"/>
  </r>
  <r>
    <n v="40114184"/>
    <s v="นายเจษฎา ปากองวัน"/>
    <x v="30"/>
    <s v="Senior Technician"/>
    <n v="37.5"/>
    <n v="13"/>
    <n v="15"/>
    <m/>
    <m/>
    <n v="5"/>
    <n v="70.5"/>
    <n v="33"/>
  </r>
  <r>
    <n v="40204915"/>
    <s v="นายสมนึก มงคลแก้ว"/>
    <x v="31"/>
    <s v="Senior Technician"/>
    <n v="37.5"/>
    <n v="14"/>
    <n v="7.5"/>
    <m/>
    <m/>
    <n v="3"/>
    <n v="62"/>
    <n v="24.5"/>
  </r>
  <r>
    <n v="20610013"/>
    <s v="นายโกมล สมบูรณ์เหลือ"/>
    <x v="32"/>
    <s v="Senior Foreman"/>
    <n v="37.5"/>
    <n v="13.5"/>
    <n v="15"/>
    <m/>
    <m/>
    <n v="6"/>
    <n v="72"/>
    <n v="34.5"/>
  </r>
  <r>
    <n v="25002113"/>
    <s v="นายเอกนรินทร์ ไชยวงค์"/>
    <x v="33"/>
    <s v="Foreman"/>
    <n v="37.5"/>
    <n v="13.5"/>
    <n v="7.5"/>
    <m/>
    <m/>
    <n v="3"/>
    <n v="61.5"/>
    <n v="24"/>
  </r>
  <r>
    <n v="40200086"/>
    <s v="นายออมทรัพย์ สกุลประกายพร"/>
    <x v="34"/>
    <s v="Senior Technician"/>
    <n v="37.5"/>
    <n v="10.5"/>
    <n v="15"/>
    <m/>
    <m/>
    <n v="6"/>
    <n v="69"/>
    <n v="31.5"/>
  </r>
  <r>
    <n v="80018248"/>
    <s v="นายกฤษดา รังสิตวัฒนะ"/>
    <x v="35"/>
    <s v="Technician-Engineering"/>
    <n v="37.5"/>
    <n v="15"/>
    <n v="15"/>
    <m/>
    <m/>
    <n v="6"/>
    <n v="73.5"/>
    <n v="36"/>
  </r>
  <r>
    <n v="25002095"/>
    <s v="นายอนุวัฒน์ จันทร์ดี"/>
    <x v="36"/>
    <s v="Foreman"/>
    <n v="30"/>
    <n v="12"/>
    <m/>
    <m/>
    <m/>
    <m/>
    <n v="42"/>
    <n v="12"/>
  </r>
  <r>
    <n v="40219005"/>
    <s v="นายวรวิทธ์ จักรใจวงค์"/>
    <x v="37"/>
    <s v="Technician-Engineering"/>
    <n v="30"/>
    <n v="10.5"/>
    <n v="7.5"/>
    <m/>
    <m/>
    <n v="3"/>
    <n v="51"/>
    <n v="21"/>
  </r>
  <r>
    <s v="ช่วงวันที่ 10/02/2563 - 16/02/2563"/>
    <m/>
    <x v="18"/>
    <m/>
    <m/>
    <m/>
    <m/>
    <m/>
    <m/>
    <m/>
    <m/>
    <m/>
  </r>
  <r>
    <s v="รหัส"/>
    <s v="ชื่อ - สกุล (ไทย)"/>
    <x v="19"/>
    <m/>
    <s v="WH"/>
    <s v="OT1"/>
    <s v="OT1.5"/>
    <s v="OT1HOL"/>
    <s v="OT2"/>
    <s v="OT3"/>
    <s v="Summary"/>
    <s v="OT net"/>
  </r>
  <r>
    <n v="40187982"/>
    <s v="นายธวัชชัย แก้วจันทร์"/>
    <x v="20"/>
    <s v="Technician-Engineering"/>
    <n v="30"/>
    <m/>
    <n v="11.5"/>
    <n v="7.5"/>
    <n v="7.5"/>
    <n v="6"/>
    <n v="62.5"/>
    <n v="32.5"/>
  </r>
  <r>
    <n v="20610787"/>
    <s v="นายบรรลุ จุใจ"/>
    <x v="21"/>
    <s v="Senior Foreman"/>
    <n v="30"/>
    <m/>
    <n v="10.5"/>
    <n v="7.5"/>
    <n v="7.5"/>
    <n v="6"/>
    <n v="61.5"/>
    <n v="31.5"/>
  </r>
  <r>
    <n v="80067786"/>
    <s v="นายนพดล จิตมั่น"/>
    <x v="22"/>
    <s v="Technician-Engineering"/>
    <n v="30"/>
    <m/>
    <n v="12"/>
    <m/>
    <n v="15"/>
    <n v="5"/>
    <n v="62"/>
    <n v="32"/>
  </r>
  <r>
    <n v="40219006"/>
    <s v="นายจักรพงษ์ กาบศรี"/>
    <x v="23"/>
    <s v="Technician-Engineering"/>
    <n v="22.5"/>
    <m/>
    <n v="7"/>
    <n v="7.5"/>
    <m/>
    <n v="3"/>
    <n v="40"/>
    <n v="17.5"/>
  </r>
  <r>
    <n v="20612983"/>
    <s v="นายยุทธการ กาวิชา"/>
    <x v="24"/>
    <s v="Senior Technician"/>
    <n v="22.5"/>
    <m/>
    <n v="7.5"/>
    <m/>
    <n v="7.5"/>
    <n v="3"/>
    <n v="40.5"/>
    <n v="18"/>
  </r>
  <r>
    <n v="25002121"/>
    <s v="นายภาณุวัช ไชยชุมภู"/>
    <x v="25"/>
    <s v="Foreman"/>
    <n v="30"/>
    <m/>
    <n v="10.5"/>
    <m/>
    <n v="7.5"/>
    <n v="3"/>
    <n v="51"/>
    <n v="21"/>
  </r>
  <r>
    <n v="40157890"/>
    <s v="นายเจษฎาพงค์ ดวงแก้ว"/>
    <x v="26"/>
    <s v="Senior Technician"/>
    <n v="30"/>
    <m/>
    <n v="9"/>
    <n v="7.5"/>
    <n v="7.5"/>
    <n v="6"/>
    <n v="60"/>
    <n v="30"/>
  </r>
  <r>
    <n v="20612249"/>
    <s v="นายสาคร อินสองใจ"/>
    <x v="27"/>
    <s v="Senior Foreman"/>
    <n v="30"/>
    <m/>
    <n v="12"/>
    <n v="7.5"/>
    <n v="7.5"/>
    <n v="6"/>
    <n v="63"/>
    <n v="33"/>
  </r>
  <r>
    <n v="40204913"/>
    <s v="นายรัชชานนท์ นนทะธรรม"/>
    <x v="28"/>
    <s v="Technician-Engineering"/>
    <n v="30"/>
    <m/>
    <n v="6.5"/>
    <m/>
    <m/>
    <m/>
    <n v="36.5"/>
    <n v="6.5"/>
  </r>
  <r>
    <n v="40021970"/>
    <s v="นายณฤทธิ์ อนนท์"/>
    <x v="29"/>
    <s v="Senior Technician"/>
    <n v="22.5"/>
    <m/>
    <n v="7.5"/>
    <n v="7.5"/>
    <n v="7.5"/>
    <n v="6"/>
    <n v="51"/>
    <n v="28.5"/>
  </r>
  <r>
    <n v="40114184"/>
    <s v="นายเจษฎา ปากองวัน"/>
    <x v="30"/>
    <s v="Senior Technician"/>
    <n v="30"/>
    <m/>
    <n v="9.5"/>
    <n v="7.5"/>
    <n v="7.5"/>
    <n v="5"/>
    <n v="59.5"/>
    <n v="29.5"/>
  </r>
  <r>
    <n v="40204915"/>
    <s v="นายสมนึก มงคลแก้ว"/>
    <x v="31"/>
    <s v="Senior Technician"/>
    <n v="30"/>
    <m/>
    <n v="12"/>
    <n v="7.5"/>
    <n v="7.5"/>
    <n v="6.5"/>
    <n v="63.5"/>
    <n v="33.5"/>
  </r>
  <r>
    <n v="20610013"/>
    <s v="นายโกมล สมบูรณ์เหลือ"/>
    <x v="32"/>
    <s v="Senior Foreman"/>
    <n v="22.5"/>
    <m/>
    <n v="7.5"/>
    <n v="7.5"/>
    <n v="7.5"/>
    <n v="4"/>
    <n v="49"/>
    <n v="26.5"/>
  </r>
  <r>
    <n v="25002113"/>
    <s v="นายเอกนรินทร์ ไชยวงค์"/>
    <x v="33"/>
    <s v="Foreman"/>
    <n v="30"/>
    <m/>
    <n v="9"/>
    <n v="7.5"/>
    <n v="7.5"/>
    <n v="6"/>
    <n v="60"/>
    <n v="30"/>
  </r>
  <r>
    <n v="40200086"/>
    <s v="นายออมทรัพย์ สกุลประกายพร"/>
    <x v="34"/>
    <s v="Senior Technician"/>
    <n v="22.5"/>
    <m/>
    <n v="9"/>
    <n v="7.5"/>
    <n v="7.5"/>
    <n v="6"/>
    <n v="52.5"/>
    <n v="30"/>
  </r>
  <r>
    <n v="80018248"/>
    <s v="นายกฤษดา รังสิตวัฒนะ"/>
    <x v="35"/>
    <s v="Technician-Engineering"/>
    <n v="30"/>
    <m/>
    <n v="10.5"/>
    <m/>
    <n v="15"/>
    <n v="5"/>
    <n v="60.5"/>
    <n v="30.5"/>
  </r>
  <r>
    <n v="25002095"/>
    <s v="นายอนุวัฒน์ จันทร์ดี"/>
    <x v="36"/>
    <s v="Foreman"/>
    <n v="30"/>
    <m/>
    <n v="12"/>
    <m/>
    <m/>
    <m/>
    <n v="42"/>
    <n v="12"/>
  </r>
  <r>
    <n v="40219005"/>
    <s v="นายวรวิทธ์ จักรใจวงค์"/>
    <x v="37"/>
    <s v="Technician-Engineering"/>
    <n v="30"/>
    <m/>
    <n v="7.5"/>
    <n v="7.5"/>
    <n v="7.5"/>
    <n v="6"/>
    <n v="58.5"/>
    <n v="28.5"/>
  </r>
  <r>
    <s v="ช่วงวันที่ 17/02/2563 - 23/02/2563"/>
    <m/>
    <x v="18"/>
    <m/>
    <m/>
    <m/>
    <m/>
    <m/>
    <m/>
    <m/>
    <m/>
    <m/>
  </r>
  <r>
    <s v="รหัส"/>
    <s v="ชื่อ - สกุล (ไทย)"/>
    <x v="19"/>
    <s v="ตำแหน่ง"/>
    <s v="WH"/>
    <s v="OT1"/>
    <s v="OT1.5"/>
    <s v="OT1HOL"/>
    <s v="OT2"/>
    <s v="OT3"/>
    <s v="Summary"/>
    <s v="OT net"/>
  </r>
  <r>
    <n v="20610787"/>
    <s v="นายบรรลุ จุใจ"/>
    <x v="21"/>
    <s v="Senior Foreman"/>
    <n v="37.479999999999997"/>
    <n v="7.5"/>
    <n v="17"/>
    <m/>
    <m/>
    <n v="3"/>
    <n v="64.97999999999999"/>
    <n v="27.5"/>
  </r>
  <r>
    <n v="80067786"/>
    <s v="นายนพดล จิตมั่น"/>
    <x v="22"/>
    <s v="Technician-Engineering"/>
    <n v="37.5"/>
    <m/>
    <n v="10.5"/>
    <m/>
    <m/>
    <m/>
    <n v="48"/>
    <n v="10.5"/>
  </r>
  <r>
    <n v="40219006"/>
    <s v="นายจักรพงษ์ กาบศรี"/>
    <x v="23"/>
    <s v="Technician-Engineering"/>
    <n v="37.5"/>
    <n v="7.5"/>
    <n v="9.5"/>
    <m/>
    <m/>
    <n v="3"/>
    <n v="57.5"/>
    <n v="20"/>
  </r>
  <r>
    <n v="20612983"/>
    <s v="นายยุทธการ กาวิชา"/>
    <x v="24"/>
    <s v="Senior Technician"/>
    <n v="37.5"/>
    <n v="7.5"/>
    <n v="15.5"/>
    <m/>
    <m/>
    <n v="3"/>
    <n v="63.5"/>
    <n v="26"/>
  </r>
  <r>
    <n v="25002121"/>
    <s v="นายภาณุวัช ไชยชุมภู"/>
    <x v="25"/>
    <s v="Foreman"/>
    <n v="37.5"/>
    <n v="7.5"/>
    <n v="13.5"/>
    <m/>
    <m/>
    <n v="3"/>
    <n v="61.5"/>
    <n v="24"/>
  </r>
  <r>
    <n v="40157890"/>
    <s v="นายเจษฎาพงค์ ดวงแก้ว"/>
    <x v="26"/>
    <s v="Senior Technician"/>
    <n v="37.5"/>
    <n v="7.5"/>
    <n v="15"/>
    <m/>
    <m/>
    <n v="3"/>
    <n v="63"/>
    <n v="25.5"/>
  </r>
  <r>
    <n v="20612249"/>
    <s v="นายสาคร อินสองใจ"/>
    <x v="27"/>
    <s v="Senior Foreman"/>
    <n v="15"/>
    <n v="7.5"/>
    <n v="4.5"/>
    <m/>
    <m/>
    <n v="3"/>
    <n v="30"/>
    <n v="15"/>
  </r>
  <r>
    <n v="40204913"/>
    <s v="นายรัชชานนท์ นนทะธรรม"/>
    <x v="28"/>
    <s v="Technician-Engineering"/>
    <n v="37.5"/>
    <n v="7.5"/>
    <n v="14"/>
    <m/>
    <m/>
    <n v="3"/>
    <n v="62"/>
    <n v="24.5"/>
  </r>
  <r>
    <n v="40021970"/>
    <s v="นายณฤทธิ์ อนนท์"/>
    <x v="29"/>
    <s v="Senior Technician"/>
    <n v="37.5"/>
    <n v="7.5"/>
    <n v="14"/>
    <m/>
    <m/>
    <n v="3"/>
    <n v="62"/>
    <n v="24.5"/>
  </r>
  <r>
    <n v="40114184"/>
    <s v="นายเจษฎา ปากองวัน"/>
    <x v="30"/>
    <s v="Senior Technician"/>
    <n v="37.5"/>
    <n v="7.5"/>
    <n v="12"/>
    <m/>
    <m/>
    <n v="3"/>
    <n v="60"/>
    <n v="22.5"/>
  </r>
  <r>
    <n v="40204915"/>
    <s v="นายสมนึก มงคลแก้ว"/>
    <x v="31"/>
    <s v="Senior Technician"/>
    <n v="37.5"/>
    <n v="7.5"/>
    <n v="12.5"/>
    <m/>
    <m/>
    <n v="3"/>
    <n v="60.5"/>
    <n v="23"/>
  </r>
  <r>
    <n v="20610013"/>
    <s v="นายโกมล สมบูรณ์เหลือ"/>
    <x v="32"/>
    <s v="Senior Foreman"/>
    <n v="37.5"/>
    <n v="7.5"/>
    <n v="15"/>
    <m/>
    <m/>
    <n v="3"/>
    <n v="63"/>
    <n v="25.5"/>
  </r>
  <r>
    <n v="25002113"/>
    <s v="นายเอกนรินทร์ ไชยวงค์"/>
    <x v="33"/>
    <s v="Foreman"/>
    <n v="37.5"/>
    <m/>
    <n v="15"/>
    <m/>
    <m/>
    <m/>
    <n v="52.5"/>
    <n v="15"/>
  </r>
  <r>
    <n v="40192062"/>
    <s v="นายสรรเสริญ จายนวล"/>
    <x v="38"/>
    <s v="Technician-Engineering"/>
    <n v="37.5"/>
    <n v="15"/>
    <n v="12"/>
    <m/>
    <m/>
    <n v="6"/>
    <n v="70.5"/>
    <n v="33"/>
  </r>
  <r>
    <n v="40200086"/>
    <s v="นายออมทรัพย์ สกุลประกายพร"/>
    <x v="34"/>
    <s v="Senior Technician"/>
    <n v="37.5"/>
    <n v="7.5"/>
    <n v="15"/>
    <m/>
    <m/>
    <n v="3"/>
    <n v="63"/>
    <n v="25.5"/>
  </r>
  <r>
    <n v="80018248"/>
    <s v="นายกฤษดา รังสิตวัฒนะ"/>
    <x v="35"/>
    <s v="Technician-Engineering"/>
    <n v="30"/>
    <n v="7.5"/>
    <n v="9.5"/>
    <m/>
    <m/>
    <n v="3"/>
    <n v="50"/>
    <n v="20"/>
  </r>
  <r>
    <n v="25002095"/>
    <s v="นายอนุวัฒน์ จันทร์ดี"/>
    <x v="36"/>
    <s v="Foreman"/>
    <n v="34"/>
    <n v="7.5"/>
    <n v="6.5"/>
    <m/>
    <m/>
    <n v="3"/>
    <n v="51"/>
    <n v="17"/>
  </r>
  <r>
    <n v="40219005"/>
    <s v="นายวรวิทธ์ จักรใจวงค์"/>
    <x v="37"/>
    <s v="Technician-Engineering"/>
    <n v="30"/>
    <n v="7.5"/>
    <n v="12"/>
    <m/>
    <m/>
    <n v="3"/>
    <n v="52.5"/>
    <n v="22.5"/>
  </r>
  <r>
    <s v="ช่วงวันที่ 24/02/2563 - 01/03/2563"/>
    <m/>
    <x v="18"/>
    <m/>
    <m/>
    <m/>
    <m/>
    <m/>
    <m/>
    <m/>
    <m/>
    <m/>
  </r>
  <r>
    <s v="รหัส"/>
    <s v="ชื่อ - สกุล (ไทย)"/>
    <x v="19"/>
    <s v="ตำแหน่ง"/>
    <s v="WH"/>
    <s v="OT1"/>
    <s v="OT1.5"/>
    <s v="OT2"/>
    <s v="OT1HOL"/>
    <s v="OT3"/>
    <s v="Summary"/>
    <s v="OT net"/>
  </r>
  <r>
    <n v="40187982"/>
    <s v="นายธวัชชัย แก้วจันทร์"/>
    <x v="20"/>
    <s v="Technician-Engineering"/>
    <n v="37.5"/>
    <n v="7.5"/>
    <n v="14"/>
    <m/>
    <m/>
    <n v="3"/>
    <n v="62"/>
    <n v="24.5"/>
  </r>
  <r>
    <n v="20610787"/>
    <s v="นายบรรลุ จุใจ"/>
    <x v="21"/>
    <s v="Senior Foreman"/>
    <n v="37.5"/>
    <n v="7.48"/>
    <n v="13.5"/>
    <m/>
    <m/>
    <n v="3"/>
    <n v="61.480000000000004"/>
    <n v="23.98"/>
  </r>
  <r>
    <n v="80067786"/>
    <s v="นายนพดล จิตมั่น"/>
    <x v="22"/>
    <s v="Technician-Engineering"/>
    <n v="30"/>
    <n v="7.5"/>
    <n v="12"/>
    <m/>
    <m/>
    <n v="3"/>
    <n v="52.5"/>
    <n v="22.5"/>
  </r>
  <r>
    <n v="40219006"/>
    <s v="นายจักรพงษ์ กาบศรี"/>
    <x v="23"/>
    <s v="Technician-Engineering"/>
    <n v="37.5"/>
    <m/>
    <n v="14.5"/>
    <m/>
    <m/>
    <m/>
    <n v="52"/>
    <n v="14.5"/>
  </r>
  <r>
    <n v="20612983"/>
    <s v="นายยุทธการ กาวิชา"/>
    <x v="24"/>
    <s v="Senior Technician"/>
    <n v="37.5"/>
    <n v="7.5"/>
    <n v="11"/>
    <m/>
    <m/>
    <n v="3"/>
    <n v="59"/>
    <n v="21.5"/>
  </r>
  <r>
    <n v="25002121"/>
    <s v="นายภาณุวัช ไชยชุมภู"/>
    <x v="25"/>
    <s v="Foreman"/>
    <n v="37.5"/>
    <n v="7.5"/>
    <n v="9"/>
    <m/>
    <m/>
    <n v="3"/>
    <n v="57"/>
    <n v="19.5"/>
  </r>
  <r>
    <n v="40157890"/>
    <s v="นายเจษฎาพงค์ ดวงแก้ว"/>
    <x v="26"/>
    <s v="Senior Technician"/>
    <n v="37.5"/>
    <n v="7.5"/>
    <n v="13.5"/>
    <m/>
    <m/>
    <n v="3"/>
    <n v="61.5"/>
    <n v="24"/>
  </r>
  <r>
    <n v="20612249"/>
    <s v="นายสาคร อินสองใจ"/>
    <x v="27"/>
    <s v="Senior Foreman"/>
    <n v="22.5"/>
    <n v="15"/>
    <n v="9"/>
    <m/>
    <m/>
    <n v="4"/>
    <n v="50.5"/>
    <n v="28"/>
  </r>
  <r>
    <n v="40204913"/>
    <s v="นายรัชชานนท์ นนทะธรรม"/>
    <x v="28"/>
    <s v="Technician-Engineering"/>
    <n v="30"/>
    <n v="7.5"/>
    <n v="10.5"/>
    <m/>
    <m/>
    <n v="1.5"/>
    <n v="49.5"/>
    <n v="19.5"/>
  </r>
  <r>
    <n v="40021970"/>
    <s v="นายณฤทธิ์ อนนท์"/>
    <x v="29"/>
    <s v="Senior Technician"/>
    <n v="37.5"/>
    <m/>
    <n v="12.5"/>
    <m/>
    <m/>
    <m/>
    <n v="50"/>
    <n v="12.5"/>
  </r>
  <r>
    <n v="40114184"/>
    <s v="นายเจษฎา ปากองวัน"/>
    <x v="30"/>
    <s v="Senior Technician"/>
    <n v="30"/>
    <n v="7.5"/>
    <n v="12"/>
    <m/>
    <m/>
    <n v="3"/>
    <n v="52.5"/>
    <n v="22.5"/>
  </r>
  <r>
    <n v="40204915"/>
    <s v="นายสมนึก มงคลแก้ว"/>
    <x v="31"/>
    <s v="Senior Technician"/>
    <n v="37.5"/>
    <n v="7.5"/>
    <n v="13"/>
    <m/>
    <m/>
    <n v="3"/>
    <n v="61"/>
    <n v="23.5"/>
  </r>
  <r>
    <n v="20610013"/>
    <s v="นายโกมล สมบูรณ์เหลือ"/>
    <x v="32"/>
    <s v="Senior Foreman"/>
    <n v="37.5"/>
    <n v="7.5"/>
    <n v="10.5"/>
    <m/>
    <m/>
    <n v="3"/>
    <n v="58.5"/>
    <n v="21"/>
  </r>
  <r>
    <n v="40192062"/>
    <s v="นายสรรเสริญ จายนวล"/>
    <x v="38"/>
    <s v="Technician-Engineering"/>
    <n v="37.5"/>
    <n v="7.5"/>
    <n v="12"/>
    <m/>
    <m/>
    <n v="3"/>
    <n v="60"/>
    <n v="22.5"/>
  </r>
  <r>
    <n v="40200086"/>
    <s v="นายออมทรัพย์ สกุลประกายพร"/>
    <x v="34"/>
    <s v="Senior Technician"/>
    <n v="30"/>
    <n v="7.5"/>
    <n v="10.5"/>
    <m/>
    <m/>
    <n v="3"/>
    <n v="51"/>
    <n v="21"/>
  </r>
  <r>
    <n v="80018248"/>
    <s v="นายกฤษดา รังสิตวัฒนะ"/>
    <x v="35"/>
    <s v="Technician-Engineering"/>
    <n v="37.5"/>
    <n v="7.5"/>
    <n v="13.5"/>
    <m/>
    <m/>
    <n v="3"/>
    <n v="61.5"/>
    <n v="24"/>
  </r>
  <r>
    <n v="25002095"/>
    <s v="นายอนุวัฒน์ จันทร์ดี"/>
    <x v="36"/>
    <s v="Foreman"/>
    <n v="30"/>
    <m/>
    <n v="9.5"/>
    <m/>
    <m/>
    <m/>
    <n v="39.5"/>
    <n v="9.5"/>
  </r>
  <r>
    <n v="40219005"/>
    <s v="นายวรวิทธ์ จักรใจวงค์"/>
    <x v="37"/>
    <s v="Technician-Engineering"/>
    <n v="37.5"/>
    <n v="7.5"/>
    <n v="10.5"/>
    <m/>
    <m/>
    <n v="3"/>
    <n v="58.5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1F2EE-4D55-4776-8745-9F19E5FEFA63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25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9"/>
        <item x="12"/>
        <item x="13"/>
        <item x="14"/>
        <item x="15"/>
        <item x="16"/>
        <item x="17"/>
        <item x="18"/>
        <item x="20"/>
        <item t="default"/>
      </items>
    </pivotField>
    <pivotField showAll="0"/>
    <pivotField showAll="0"/>
    <pivotField dataField="1"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9" hier="-1"/>
  </pageFields>
  <dataFields count="1">
    <dataField name="Count of H." fld="8" subtotal="count" baseField="5" baseItem="0"/>
  </dataFields>
  <formats count="4">
    <format dxfId="30">
      <pivotArea type="all" dataOnly="0" outline="0" fieldPosition="0"/>
    </format>
    <format dxfId="29">
      <pivotArea field="5" type="button" dataOnly="0" labelOnly="1" outline="0" axis="axisRow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E2658-3E22-4769-8A33-3BF3DC4AF715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25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9"/>
        <item x="12"/>
        <item x="13"/>
        <item x="14"/>
        <item x="15"/>
        <item x="16"/>
        <item x="17"/>
        <item x="18"/>
        <item x="20"/>
        <item t="default"/>
      </items>
    </pivotField>
    <pivotField showAll="0"/>
    <pivotField showAll="0"/>
    <pivotField dataField="1"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9" hier="-1"/>
  </pageFields>
  <dataFields count="1">
    <dataField name="Count of H." fld="8" subtotal="count" baseField="5" baseItem="0"/>
  </dataFields>
  <formats count="4">
    <format dxfId="26">
      <pivotArea type="all" dataOnly="0" outline="0" fieldPosition="0"/>
    </format>
    <format dxfId="25">
      <pivotArea field="5" type="button" dataOnly="0" labelOnly="1" outline="0" axis="axisRow" fieldPosition="0"/>
    </format>
    <format dxfId="24">
      <pivotArea dataOnly="0" labelOnly="1" fieldPosition="0">
        <references count="1">
          <reference field="5" count="0"/>
        </references>
      </pivotArea>
    </format>
    <format dxfId="23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D2269-ADD3-4934-9CCE-0DD23378855D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25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9"/>
        <item x="12"/>
        <item x="13"/>
        <item x="14"/>
        <item x="15"/>
        <item x="16"/>
        <item x="17"/>
        <item x="18"/>
        <item x="20"/>
        <item t="default"/>
      </items>
    </pivotField>
    <pivotField showAll="0"/>
    <pivotField showAll="0"/>
    <pivotField dataField="1"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9" hier="-1"/>
  </pageFields>
  <dataFields count="1">
    <dataField name="Count of H." fld="8" subtotal="count" baseField="5" baseItem="0"/>
  </dataFields>
  <formats count="4">
    <format dxfId="22">
      <pivotArea type="all" dataOnly="0" outline="0" fieldPosition="0"/>
    </format>
    <format dxfId="21">
      <pivotArea field="5" type="button" dataOnly="0" labelOnly="1" outline="0" axis="axisRow" fieldPosition="0"/>
    </format>
    <format dxfId="20">
      <pivotArea dataOnly="0" labelOnly="1" fieldPosition="0">
        <references count="1">
          <reference field="5" count="0"/>
        </references>
      </pivotArea>
    </format>
    <format dxfId="19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D7523-0E23-4782-89AE-AB8A531FA007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25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9"/>
        <item x="12"/>
        <item x="13"/>
        <item x="14"/>
        <item x="15"/>
        <item x="16"/>
        <item x="17"/>
        <item x="18"/>
        <item x="20"/>
        <item t="default"/>
      </items>
    </pivotField>
    <pivotField showAll="0"/>
    <pivotField showAll="0"/>
    <pivotField dataField="1"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9" hier="-1"/>
  </pageFields>
  <dataFields count="1">
    <dataField name="Count of H." fld="8" subtotal="count" baseField="5" baseItem="0"/>
  </dataFields>
  <formats count="4">
    <format dxfId="18">
      <pivotArea type="all" dataOnly="0" outline="0" fieldPosition="0"/>
    </format>
    <format dxfId="17">
      <pivotArea field="5" type="button" dataOnly="0" labelOnly="1" outline="0" axis="axisRow" fieldPosition="0"/>
    </format>
    <format dxfId="16">
      <pivotArea dataOnly="0" labelOnly="1" fieldPosition="0">
        <references count="1">
          <reference field="5" count="0"/>
        </references>
      </pivotArea>
    </format>
    <format dxfId="15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F4E36-B960-4698-8A35-B3BD941DDB3A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25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9"/>
        <item x="12"/>
        <item x="13"/>
        <item x="14"/>
        <item x="15"/>
        <item x="16"/>
        <item x="17"/>
        <item x="18"/>
        <item x="20"/>
        <item t="default"/>
      </items>
    </pivotField>
    <pivotField showAll="0"/>
    <pivotField showAll="0"/>
    <pivotField dataField="1"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9" hier="-1"/>
  </pageFields>
  <dataFields count="1">
    <dataField name="Count of H." fld="8" subtotal="count" baseField="5" baseItem="0"/>
  </dataFields>
  <formats count="4">
    <format dxfId="14">
      <pivotArea type="all" dataOnly="0" outline="0" fieldPosition="0"/>
    </format>
    <format dxfId="13">
      <pivotArea field="5" type="button" dataOnly="0" labelOnly="1" outline="0" axis="axisRow" fieldPosition="0"/>
    </format>
    <format dxfId="12">
      <pivotArea dataOnly="0" labelOnly="1" fieldPosition="0">
        <references count="1">
          <reference field="5" count="0"/>
        </references>
      </pivotArea>
    </format>
    <format dxfId="11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6EC33-C54C-413C-A3F4-DEBC70576A1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25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9"/>
        <item x="12"/>
        <item x="13"/>
        <item x="14"/>
        <item x="15"/>
        <item x="16"/>
        <item x="17"/>
        <item x="18"/>
        <item x="20"/>
        <item t="default"/>
      </items>
    </pivotField>
    <pivotField showAll="0"/>
    <pivotField showAll="0"/>
    <pivotField dataField="1"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9" hier="-1"/>
  </pageFields>
  <dataFields count="1">
    <dataField name="Count of H." fld="8" subtotal="count" baseField="5" baseItem="0"/>
  </dataFields>
  <formats count="4">
    <format dxfId="10">
      <pivotArea type="all" dataOnly="0" outline="0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C8A86-E6A4-4085-B381-FA6D4628EC35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B3:D22" firstHeaderRow="0" firstDataRow="1" firstDataCol="1"/>
  <pivotFields count="12">
    <pivotField showAll="0"/>
    <pivotField showAll="0"/>
    <pivotField axis="axisRow" showAll="0">
      <items count="40">
        <item x="33"/>
        <item h="1" x="13"/>
        <item x="36"/>
        <item h="1" x="16"/>
        <item x="21"/>
        <item h="1" x="1"/>
        <item x="30"/>
        <item h="1" x="10"/>
        <item x="23"/>
        <item h="1" x="3"/>
        <item x="26"/>
        <item h="1" x="6"/>
        <item x="35"/>
        <item h="1" x="15"/>
        <item x="32"/>
        <item h="1" x="12"/>
        <item x="29"/>
        <item h="1" x="9"/>
        <item x="22"/>
        <item h="1" x="2"/>
        <item x="34"/>
        <item h="1" x="14"/>
        <item x="25"/>
        <item h="1" x="5"/>
        <item x="28"/>
        <item h="1" x="8"/>
        <item x="27"/>
        <item h="1" x="7"/>
        <item x="31"/>
        <item h="1" x="11"/>
        <item x="20"/>
        <item h="1" x="0"/>
        <item x="37"/>
        <item h="1" x="17"/>
        <item x="24"/>
        <item h="1" x="4"/>
        <item h="1" x="19"/>
        <item h="1" x="18"/>
        <item h="1"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19">
    <i>
      <x/>
    </i>
    <i>
      <x v="2"/>
    </i>
    <i>
      <x v="4"/>
    </i>
    <i>
      <x v="6"/>
    </i>
    <i>
      <x v="8"/>
    </i>
    <i>
      <x v="10"/>
    </i>
    <i>
      <x v="12"/>
    </i>
    <i>
      <x v="14"/>
    </i>
    <i>
      <x v="16"/>
    </i>
    <i>
      <x v="18"/>
    </i>
    <i>
      <x v="20"/>
    </i>
    <i>
      <x v="22"/>
    </i>
    <i>
      <x v="24"/>
    </i>
    <i>
      <x v="26"/>
    </i>
    <i>
      <x v="28"/>
    </i>
    <i>
      <x v="30"/>
    </i>
    <i>
      <x v="32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mary/W" fld="10" baseField="2" baseItem="0" numFmtId="2"/>
    <dataField name="Sum of OT net" fld="11" baseField="2" baseItem="0"/>
  </dataFields>
  <formats count="7"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0"/>
  <sheetViews>
    <sheetView topLeftCell="A349" workbookViewId="0">
      <selection activeCell="L22" sqref="L22"/>
    </sheetView>
  </sheetViews>
  <sheetFormatPr defaultRowHeight="15" x14ac:dyDescent="0.25"/>
  <cols>
    <col min="4" max="4" width="12.28515625" style="3" customWidth="1"/>
    <col min="5" max="11" width="9.140625" style="3"/>
    <col min="16" max="16" width="14" style="3" customWidth="1"/>
    <col min="19" max="19" width="28" customWidth="1"/>
  </cols>
  <sheetData>
    <row r="1" spans="1:19" x14ac:dyDescent="0.25">
      <c r="A1" t="s">
        <v>0</v>
      </c>
    </row>
    <row r="4" spans="1:19" s="3" customFormat="1" x14ac:dyDescent="0.2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225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11</v>
      </c>
      <c r="P4" s="3" t="s">
        <v>13</v>
      </c>
      <c r="Q4" s="3" t="s">
        <v>14</v>
      </c>
      <c r="R4" s="3" t="s">
        <v>15</v>
      </c>
      <c r="S4" s="3" t="s">
        <v>16</v>
      </c>
    </row>
    <row r="5" spans="1:19" x14ac:dyDescent="0.25">
      <c r="C5">
        <v>3021735</v>
      </c>
      <c r="D5" s="3" t="s">
        <v>17</v>
      </c>
      <c r="E5" s="3">
        <v>1</v>
      </c>
      <c r="F5" s="3" t="s">
        <v>18</v>
      </c>
      <c r="G5" s="3" t="s">
        <v>18</v>
      </c>
      <c r="H5" s="3">
        <v>960</v>
      </c>
      <c r="I5" s="3" t="s">
        <v>19</v>
      </c>
      <c r="J5" s="3">
        <f>H5/60</f>
        <v>16</v>
      </c>
      <c r="K5" s="3" t="s">
        <v>20</v>
      </c>
      <c r="L5" t="s">
        <v>17</v>
      </c>
      <c r="M5" t="s">
        <v>17</v>
      </c>
      <c r="N5" s="1">
        <v>0.3644444444444444</v>
      </c>
      <c r="O5" s="1">
        <v>0.57245370370370374</v>
      </c>
      <c r="P5" s="3">
        <v>4000073467</v>
      </c>
      <c r="Q5">
        <v>10051083</v>
      </c>
      <c r="R5" t="s">
        <v>21</v>
      </c>
    </row>
    <row r="6" spans="1:19" x14ac:dyDescent="0.25">
      <c r="C6">
        <v>3122103</v>
      </c>
      <c r="D6" s="3" t="s">
        <v>22</v>
      </c>
      <c r="E6" s="3">
        <v>1</v>
      </c>
      <c r="F6" s="3" t="s">
        <v>18</v>
      </c>
      <c r="G6" s="3" t="s">
        <v>23</v>
      </c>
      <c r="H6" s="3">
        <v>30</v>
      </c>
      <c r="I6" s="3" t="s">
        <v>19</v>
      </c>
      <c r="J6" s="3">
        <f>H6/60</f>
        <v>0.5</v>
      </c>
      <c r="K6" s="3" t="s">
        <v>20</v>
      </c>
      <c r="L6" t="s">
        <v>24</v>
      </c>
      <c r="M6" t="s">
        <v>25</v>
      </c>
      <c r="N6" s="1">
        <v>0.45833333333333331</v>
      </c>
      <c r="O6" s="1">
        <v>0.47916666666666669</v>
      </c>
      <c r="P6" s="3">
        <v>4000112799</v>
      </c>
      <c r="Q6">
        <v>10070472</v>
      </c>
      <c r="R6" t="s">
        <v>26</v>
      </c>
      <c r="S6" t="s">
        <v>27</v>
      </c>
    </row>
    <row r="7" spans="1:19" x14ac:dyDescent="0.25">
      <c r="C7">
        <v>3134107</v>
      </c>
      <c r="D7" s="3" t="s">
        <v>28</v>
      </c>
      <c r="E7" s="3">
        <v>2</v>
      </c>
      <c r="F7" s="3" t="s">
        <v>29</v>
      </c>
      <c r="G7" s="3" t="s">
        <v>23</v>
      </c>
      <c r="H7" s="3">
        <v>30</v>
      </c>
      <c r="I7" s="3" t="s">
        <v>19</v>
      </c>
      <c r="J7" s="3">
        <f t="shared" ref="J7:J69" si="0">H7/60</f>
        <v>0.5</v>
      </c>
      <c r="K7" s="3" t="s">
        <v>20</v>
      </c>
      <c r="L7" t="s">
        <v>30</v>
      </c>
      <c r="M7" t="s">
        <v>30</v>
      </c>
      <c r="N7" s="1">
        <v>0.41666666666666669</v>
      </c>
      <c r="O7" s="1">
        <v>0.4375</v>
      </c>
      <c r="P7" s="3">
        <v>4000114866</v>
      </c>
      <c r="Q7">
        <v>10051218</v>
      </c>
      <c r="R7" t="s">
        <v>31</v>
      </c>
      <c r="S7" t="s">
        <v>32</v>
      </c>
    </row>
    <row r="8" spans="1:19" x14ac:dyDescent="0.25">
      <c r="C8">
        <v>3110471</v>
      </c>
      <c r="D8" s="3" t="s">
        <v>33</v>
      </c>
      <c r="E8" s="3">
        <v>1</v>
      </c>
      <c r="F8" s="3" t="s">
        <v>34</v>
      </c>
      <c r="G8" s="3" t="s">
        <v>23</v>
      </c>
      <c r="H8" s="3">
        <v>30</v>
      </c>
      <c r="I8" s="3" t="s">
        <v>19</v>
      </c>
      <c r="J8" s="3">
        <f t="shared" si="0"/>
        <v>0.5</v>
      </c>
      <c r="K8" s="3" t="s">
        <v>20</v>
      </c>
      <c r="L8" t="s">
        <v>35</v>
      </c>
      <c r="M8" t="s">
        <v>35</v>
      </c>
      <c r="N8" s="1">
        <v>0.33333333333333331</v>
      </c>
      <c r="O8" s="1">
        <v>0.35416666666666669</v>
      </c>
      <c r="P8" s="3">
        <v>4000107627</v>
      </c>
      <c r="Q8">
        <v>10051396</v>
      </c>
      <c r="R8" t="s">
        <v>36</v>
      </c>
      <c r="S8" t="s">
        <v>37</v>
      </c>
    </row>
    <row r="9" spans="1:19" x14ac:dyDescent="0.25">
      <c r="C9">
        <v>3118352</v>
      </c>
      <c r="D9" s="3" t="s">
        <v>33</v>
      </c>
      <c r="E9" s="3">
        <v>2</v>
      </c>
      <c r="F9" s="3" t="s">
        <v>34</v>
      </c>
      <c r="G9" s="3" t="s">
        <v>23</v>
      </c>
      <c r="H9" s="3">
        <v>20</v>
      </c>
      <c r="I9" s="3" t="s">
        <v>19</v>
      </c>
      <c r="J9" s="3">
        <f t="shared" si="0"/>
        <v>0.33333333333333331</v>
      </c>
      <c r="K9" s="3" t="s">
        <v>20</v>
      </c>
      <c r="L9" t="s">
        <v>35</v>
      </c>
      <c r="M9" t="s">
        <v>35</v>
      </c>
      <c r="N9" s="1">
        <v>0.33333333333333331</v>
      </c>
      <c r="O9" s="1">
        <v>0.34722222222222227</v>
      </c>
      <c r="P9" s="3">
        <v>4000111376</v>
      </c>
      <c r="Q9">
        <v>10051763</v>
      </c>
      <c r="R9" t="s">
        <v>36</v>
      </c>
      <c r="S9" t="s">
        <v>37</v>
      </c>
    </row>
    <row r="10" spans="1:19" x14ac:dyDescent="0.25">
      <c r="C10">
        <v>3122722</v>
      </c>
      <c r="D10" s="3" t="s">
        <v>33</v>
      </c>
      <c r="E10" s="3">
        <v>2</v>
      </c>
      <c r="F10" s="3" t="s">
        <v>34</v>
      </c>
      <c r="G10" s="3" t="s">
        <v>23</v>
      </c>
      <c r="H10" s="3">
        <v>20</v>
      </c>
      <c r="I10" s="3" t="s">
        <v>19</v>
      </c>
      <c r="J10" s="3">
        <f t="shared" si="0"/>
        <v>0.33333333333333331</v>
      </c>
      <c r="K10" s="3" t="s">
        <v>20</v>
      </c>
      <c r="L10" t="s">
        <v>35</v>
      </c>
      <c r="M10" t="s">
        <v>35</v>
      </c>
      <c r="N10" s="1">
        <v>0.3888888888888889</v>
      </c>
      <c r="O10" s="1">
        <v>0.40277777777777773</v>
      </c>
      <c r="P10" s="3">
        <v>4000113249</v>
      </c>
      <c r="Q10">
        <v>10049663</v>
      </c>
      <c r="R10" t="s">
        <v>38</v>
      </c>
      <c r="S10" t="s">
        <v>39</v>
      </c>
    </row>
    <row r="11" spans="1:19" x14ac:dyDescent="0.25">
      <c r="C11">
        <v>3122759</v>
      </c>
      <c r="D11" s="3" t="s">
        <v>33</v>
      </c>
      <c r="E11" s="3">
        <v>1</v>
      </c>
      <c r="F11" s="3" t="s">
        <v>34</v>
      </c>
      <c r="G11" s="3" t="s">
        <v>23</v>
      </c>
      <c r="H11" s="3">
        <v>20</v>
      </c>
      <c r="I11" s="3" t="s">
        <v>19</v>
      </c>
      <c r="J11" s="3">
        <f t="shared" si="0"/>
        <v>0.33333333333333331</v>
      </c>
      <c r="K11" s="3" t="s">
        <v>20</v>
      </c>
      <c r="L11" t="s">
        <v>35</v>
      </c>
      <c r="M11" t="s">
        <v>35</v>
      </c>
      <c r="N11" s="1">
        <v>0.375</v>
      </c>
      <c r="O11" s="1">
        <v>0.3888888888888889</v>
      </c>
      <c r="P11" s="3">
        <v>4000113361</v>
      </c>
      <c r="Q11">
        <v>10049598</v>
      </c>
      <c r="R11" t="s">
        <v>31</v>
      </c>
      <c r="S11" t="s">
        <v>39</v>
      </c>
    </row>
    <row r="12" spans="1:19" x14ac:dyDescent="0.25">
      <c r="C12">
        <v>3122772</v>
      </c>
      <c r="D12" s="3" t="s">
        <v>33</v>
      </c>
      <c r="E12" s="3">
        <v>2</v>
      </c>
      <c r="F12" s="3" t="s">
        <v>34</v>
      </c>
      <c r="G12" s="3" t="s">
        <v>23</v>
      </c>
      <c r="H12" s="3">
        <v>20</v>
      </c>
      <c r="I12" s="3" t="s">
        <v>19</v>
      </c>
      <c r="J12" s="3">
        <f t="shared" si="0"/>
        <v>0.33333333333333331</v>
      </c>
      <c r="K12" s="3" t="s">
        <v>20</v>
      </c>
      <c r="L12" t="s">
        <v>35</v>
      </c>
      <c r="M12" t="s">
        <v>35</v>
      </c>
      <c r="N12" s="1">
        <v>0.79166666666666663</v>
      </c>
      <c r="O12" s="1">
        <v>0.80555555555555547</v>
      </c>
      <c r="P12" s="3">
        <v>4000113374</v>
      </c>
      <c r="Q12">
        <v>10049640</v>
      </c>
      <c r="R12" t="s">
        <v>38</v>
      </c>
      <c r="S12" t="s">
        <v>39</v>
      </c>
    </row>
    <row r="13" spans="1:19" x14ac:dyDescent="0.25">
      <c r="C13">
        <v>3112636</v>
      </c>
      <c r="D13" s="3" t="s">
        <v>17</v>
      </c>
      <c r="E13" s="3">
        <v>2</v>
      </c>
      <c r="F13" s="3" t="s">
        <v>34</v>
      </c>
      <c r="G13" s="3" t="s">
        <v>23</v>
      </c>
      <c r="H13" s="3">
        <v>240</v>
      </c>
      <c r="I13" s="3" t="s">
        <v>19</v>
      </c>
      <c r="J13" s="3">
        <f t="shared" si="0"/>
        <v>4</v>
      </c>
      <c r="K13" s="3" t="s">
        <v>20</v>
      </c>
      <c r="L13" t="s">
        <v>40</v>
      </c>
      <c r="M13" t="s">
        <v>40</v>
      </c>
      <c r="N13" s="1">
        <v>0.33333333333333331</v>
      </c>
      <c r="O13" s="1">
        <v>0.5</v>
      </c>
      <c r="P13" s="3">
        <v>4000108465</v>
      </c>
      <c r="Q13">
        <v>10051386</v>
      </c>
      <c r="R13" t="s">
        <v>36</v>
      </c>
      <c r="S13" t="s">
        <v>41</v>
      </c>
    </row>
    <row r="14" spans="1:19" x14ac:dyDescent="0.25">
      <c r="C14">
        <v>3120186</v>
      </c>
      <c r="D14" s="3" t="s">
        <v>22</v>
      </c>
      <c r="E14" s="3">
        <v>2</v>
      </c>
      <c r="F14" s="3" t="s">
        <v>34</v>
      </c>
      <c r="G14" s="3" t="s">
        <v>23</v>
      </c>
      <c r="H14" s="3">
        <v>30</v>
      </c>
      <c r="I14" s="3" t="s">
        <v>19</v>
      </c>
      <c r="J14" s="3">
        <f t="shared" si="0"/>
        <v>0.5</v>
      </c>
      <c r="K14" s="3" t="s">
        <v>20</v>
      </c>
      <c r="L14" t="s">
        <v>42</v>
      </c>
      <c r="M14" t="s">
        <v>42</v>
      </c>
      <c r="N14" s="1">
        <v>0.875</v>
      </c>
      <c r="O14" s="1">
        <v>0.89583333333333337</v>
      </c>
      <c r="P14" s="3">
        <v>4000112663</v>
      </c>
      <c r="Q14">
        <v>10049361</v>
      </c>
      <c r="R14" t="s">
        <v>36</v>
      </c>
      <c r="S14" t="s">
        <v>43</v>
      </c>
    </row>
    <row r="15" spans="1:19" x14ac:dyDescent="0.25">
      <c r="C15">
        <v>3122008</v>
      </c>
      <c r="D15" s="3" t="s">
        <v>22</v>
      </c>
      <c r="E15" s="3">
        <v>1</v>
      </c>
      <c r="F15" s="3" t="s">
        <v>34</v>
      </c>
      <c r="G15" s="3" t="s">
        <v>23</v>
      </c>
      <c r="H15" s="3">
        <v>30</v>
      </c>
      <c r="I15" s="3" t="s">
        <v>19</v>
      </c>
      <c r="J15" s="3">
        <f t="shared" si="0"/>
        <v>0.5</v>
      </c>
      <c r="K15" s="3" t="s">
        <v>20</v>
      </c>
      <c r="L15" t="s">
        <v>42</v>
      </c>
      <c r="M15" t="s">
        <v>42</v>
      </c>
      <c r="N15" s="1">
        <v>0.95833333333333337</v>
      </c>
      <c r="O15" s="1">
        <v>0.97916666666666663</v>
      </c>
      <c r="P15" s="3">
        <v>4000112705</v>
      </c>
      <c r="Q15">
        <v>10051443</v>
      </c>
      <c r="R15" t="s">
        <v>36</v>
      </c>
      <c r="S15" t="s">
        <v>44</v>
      </c>
    </row>
    <row r="16" spans="1:19" x14ac:dyDescent="0.25">
      <c r="C16">
        <v>3122008</v>
      </c>
      <c r="D16" s="3" t="s">
        <v>22</v>
      </c>
      <c r="E16" s="3">
        <v>3</v>
      </c>
      <c r="F16" s="3" t="s">
        <v>34</v>
      </c>
      <c r="G16" s="3" t="s">
        <v>23</v>
      </c>
      <c r="H16" s="3">
        <v>30</v>
      </c>
      <c r="I16" s="3" t="s">
        <v>19</v>
      </c>
      <c r="J16" s="3">
        <f t="shared" si="0"/>
        <v>0.5</v>
      </c>
      <c r="K16" s="3" t="s">
        <v>20</v>
      </c>
      <c r="L16" t="s">
        <v>42</v>
      </c>
      <c r="M16" t="s">
        <v>42</v>
      </c>
      <c r="N16" s="1">
        <v>0.95833333333333337</v>
      </c>
      <c r="O16" s="1">
        <v>0.97916666666666663</v>
      </c>
      <c r="P16" s="3">
        <v>4000112705</v>
      </c>
      <c r="Q16">
        <v>10051443</v>
      </c>
      <c r="R16" t="s">
        <v>36</v>
      </c>
      <c r="S16" t="s">
        <v>44</v>
      </c>
    </row>
    <row r="17" spans="3:19" x14ac:dyDescent="0.25">
      <c r="C17">
        <v>3122025</v>
      </c>
      <c r="D17" s="3" t="s">
        <v>22</v>
      </c>
      <c r="E17" s="3">
        <v>1</v>
      </c>
      <c r="F17" s="3" t="s">
        <v>34</v>
      </c>
      <c r="G17" s="3" t="s">
        <v>23</v>
      </c>
      <c r="H17" s="3">
        <v>30</v>
      </c>
      <c r="I17" s="3" t="s">
        <v>19</v>
      </c>
      <c r="J17" s="3">
        <f t="shared" si="0"/>
        <v>0.5</v>
      </c>
      <c r="K17" s="3" t="s">
        <v>20</v>
      </c>
      <c r="L17" t="s">
        <v>42</v>
      </c>
      <c r="M17" t="s">
        <v>42</v>
      </c>
      <c r="N17" s="1">
        <v>0.89583333333333337</v>
      </c>
      <c r="O17" s="1">
        <v>0.91666666666666663</v>
      </c>
      <c r="P17" s="3">
        <v>4000112721</v>
      </c>
      <c r="Q17">
        <v>10051386</v>
      </c>
      <c r="R17" t="s">
        <v>36</v>
      </c>
      <c r="S17" t="s">
        <v>43</v>
      </c>
    </row>
    <row r="18" spans="3:19" x14ac:dyDescent="0.25">
      <c r="C18">
        <v>3134113</v>
      </c>
      <c r="D18" s="3" t="s">
        <v>28</v>
      </c>
      <c r="E18" s="3">
        <v>2</v>
      </c>
      <c r="F18" s="3" t="s">
        <v>34</v>
      </c>
      <c r="G18" s="3" t="s">
        <v>23</v>
      </c>
      <c r="H18" s="3">
        <v>30</v>
      </c>
      <c r="I18" s="3" t="s">
        <v>19</v>
      </c>
      <c r="J18" s="3">
        <f t="shared" si="0"/>
        <v>0.5</v>
      </c>
      <c r="K18" s="3" t="s">
        <v>20</v>
      </c>
      <c r="L18" t="s">
        <v>30</v>
      </c>
      <c r="M18" t="s">
        <v>30</v>
      </c>
      <c r="N18" s="1">
        <v>0.35416666666666669</v>
      </c>
      <c r="O18" s="1">
        <v>0.375</v>
      </c>
      <c r="P18" s="3">
        <v>4000114872</v>
      </c>
      <c r="Q18">
        <v>10051218</v>
      </c>
      <c r="R18" t="s">
        <v>31</v>
      </c>
      <c r="S18" t="s">
        <v>45</v>
      </c>
    </row>
    <row r="19" spans="3:19" x14ac:dyDescent="0.25">
      <c r="C19">
        <v>3134116</v>
      </c>
      <c r="D19" s="3" t="s">
        <v>22</v>
      </c>
      <c r="E19" s="3">
        <v>1</v>
      </c>
      <c r="F19" s="3" t="s">
        <v>34</v>
      </c>
      <c r="G19" s="3" t="s">
        <v>23</v>
      </c>
      <c r="H19" s="3">
        <v>30</v>
      </c>
      <c r="I19" s="3" t="s">
        <v>19</v>
      </c>
      <c r="J19" s="3">
        <f t="shared" si="0"/>
        <v>0.5</v>
      </c>
      <c r="K19" s="3" t="s">
        <v>20</v>
      </c>
      <c r="L19" t="s">
        <v>30</v>
      </c>
      <c r="M19" t="s">
        <v>30</v>
      </c>
      <c r="N19" s="1">
        <v>0.54166666666666663</v>
      </c>
      <c r="O19" s="1">
        <v>0.5625</v>
      </c>
      <c r="P19" s="3">
        <v>4000114875</v>
      </c>
      <c r="Q19">
        <v>10049640</v>
      </c>
      <c r="R19" t="s">
        <v>38</v>
      </c>
      <c r="S19" t="s">
        <v>46</v>
      </c>
    </row>
    <row r="20" spans="3:19" x14ac:dyDescent="0.25">
      <c r="C20">
        <v>3134117</v>
      </c>
      <c r="D20" s="3" t="s">
        <v>22</v>
      </c>
      <c r="E20" s="3">
        <v>1</v>
      </c>
      <c r="F20" s="3" t="s">
        <v>34</v>
      </c>
      <c r="G20" s="3" t="s">
        <v>23</v>
      </c>
      <c r="H20" s="3">
        <v>20</v>
      </c>
      <c r="I20" s="3" t="s">
        <v>19</v>
      </c>
      <c r="J20" s="3">
        <f t="shared" si="0"/>
        <v>0.33333333333333331</v>
      </c>
      <c r="K20" s="3" t="s">
        <v>20</v>
      </c>
      <c r="L20" t="s">
        <v>30</v>
      </c>
      <c r="M20" t="s">
        <v>30</v>
      </c>
      <c r="N20" s="1">
        <v>0.64583333333333337</v>
      </c>
      <c r="O20" s="1">
        <v>0.65972222222222221</v>
      </c>
      <c r="P20" s="3">
        <v>4000114876</v>
      </c>
      <c r="Q20">
        <v>10049652</v>
      </c>
      <c r="R20" t="s">
        <v>38</v>
      </c>
      <c r="S20" t="s">
        <v>47</v>
      </c>
    </row>
    <row r="21" spans="3:19" x14ac:dyDescent="0.25">
      <c r="C21">
        <v>3134141</v>
      </c>
      <c r="D21" s="3" t="s">
        <v>22</v>
      </c>
      <c r="E21" s="3">
        <v>1</v>
      </c>
      <c r="F21" s="3" t="s">
        <v>34</v>
      </c>
      <c r="G21" s="3" t="s">
        <v>23</v>
      </c>
      <c r="H21" s="3">
        <v>20</v>
      </c>
      <c r="I21" s="3" t="s">
        <v>19</v>
      </c>
      <c r="J21" s="3">
        <f t="shared" si="0"/>
        <v>0.33333333333333331</v>
      </c>
      <c r="K21" s="3" t="s">
        <v>20</v>
      </c>
      <c r="L21" t="s">
        <v>30</v>
      </c>
      <c r="M21" t="s">
        <v>30</v>
      </c>
      <c r="N21" s="1">
        <v>0.65972222222222221</v>
      </c>
      <c r="O21" s="1">
        <v>0.68055555555555547</v>
      </c>
      <c r="P21" s="3">
        <v>4000114894</v>
      </c>
      <c r="Q21">
        <v>10049657</v>
      </c>
      <c r="R21" t="s">
        <v>38</v>
      </c>
      <c r="S21" t="s">
        <v>48</v>
      </c>
    </row>
    <row r="22" spans="3:19" x14ac:dyDescent="0.25">
      <c r="C22">
        <v>3134141</v>
      </c>
      <c r="D22" s="3" t="s">
        <v>22</v>
      </c>
      <c r="E22" s="3">
        <v>3</v>
      </c>
      <c r="F22" s="3" t="s">
        <v>34</v>
      </c>
      <c r="G22" s="3" t="s">
        <v>23</v>
      </c>
      <c r="H22" s="3">
        <v>20</v>
      </c>
      <c r="I22" s="3" t="s">
        <v>19</v>
      </c>
      <c r="J22" s="3">
        <f t="shared" si="0"/>
        <v>0.33333333333333331</v>
      </c>
      <c r="K22" s="3" t="s">
        <v>20</v>
      </c>
      <c r="L22" t="s">
        <v>30</v>
      </c>
      <c r="M22" t="s">
        <v>30</v>
      </c>
      <c r="N22" s="1">
        <v>0.65972222222222221</v>
      </c>
      <c r="O22" s="1">
        <v>0.68055555555555547</v>
      </c>
      <c r="P22" s="3">
        <v>4000114894</v>
      </c>
      <c r="Q22">
        <v>10049657</v>
      </c>
      <c r="R22" t="s">
        <v>38</v>
      </c>
      <c r="S22" t="s">
        <v>48</v>
      </c>
    </row>
    <row r="23" spans="3:19" x14ac:dyDescent="0.25">
      <c r="C23">
        <v>3134182</v>
      </c>
      <c r="D23" s="3" t="s">
        <v>22</v>
      </c>
      <c r="E23" s="3">
        <v>1</v>
      </c>
      <c r="F23" s="3" t="s">
        <v>34</v>
      </c>
      <c r="G23" s="3" t="s">
        <v>23</v>
      </c>
      <c r="H23" s="3">
        <v>30</v>
      </c>
      <c r="I23" s="3" t="s">
        <v>19</v>
      </c>
      <c r="J23" s="3">
        <f t="shared" si="0"/>
        <v>0.5</v>
      </c>
      <c r="K23" s="3" t="s">
        <v>20</v>
      </c>
      <c r="L23" t="s">
        <v>30</v>
      </c>
      <c r="M23" t="s">
        <v>30</v>
      </c>
      <c r="N23" s="1">
        <v>0.54166666666666663</v>
      </c>
      <c r="O23" s="1">
        <v>0.5625</v>
      </c>
      <c r="P23" s="3">
        <v>4000114931</v>
      </c>
      <c r="Q23">
        <v>10051218</v>
      </c>
      <c r="R23" t="s">
        <v>31</v>
      </c>
      <c r="S23" t="s">
        <v>48</v>
      </c>
    </row>
    <row r="24" spans="3:19" x14ac:dyDescent="0.25">
      <c r="C24">
        <v>3134193</v>
      </c>
      <c r="D24" s="3" t="s">
        <v>22</v>
      </c>
      <c r="E24" s="3">
        <v>1</v>
      </c>
      <c r="F24" s="3" t="s">
        <v>34</v>
      </c>
      <c r="G24" s="3" t="s">
        <v>23</v>
      </c>
      <c r="H24" s="3">
        <v>30</v>
      </c>
      <c r="I24" s="3" t="s">
        <v>19</v>
      </c>
      <c r="J24" s="3">
        <f t="shared" si="0"/>
        <v>0.5</v>
      </c>
      <c r="K24" s="3" t="s">
        <v>20</v>
      </c>
      <c r="L24" t="s">
        <v>30</v>
      </c>
      <c r="M24" t="s">
        <v>30</v>
      </c>
      <c r="N24" s="1">
        <v>0.54166666666666663</v>
      </c>
      <c r="O24" s="1">
        <v>0.56944444444444442</v>
      </c>
      <c r="P24" s="3">
        <v>4000114942</v>
      </c>
      <c r="Q24">
        <v>10049657</v>
      </c>
      <c r="R24" t="s">
        <v>38</v>
      </c>
      <c r="S24" t="s">
        <v>48</v>
      </c>
    </row>
    <row r="25" spans="3:19" x14ac:dyDescent="0.25">
      <c r="C25">
        <v>3134199</v>
      </c>
      <c r="D25" s="3" t="s">
        <v>22</v>
      </c>
      <c r="E25" s="3">
        <v>1</v>
      </c>
      <c r="F25" s="3" t="s">
        <v>34</v>
      </c>
      <c r="G25" s="3" t="s">
        <v>23</v>
      </c>
      <c r="H25" s="3">
        <v>20</v>
      </c>
      <c r="I25" s="3" t="s">
        <v>19</v>
      </c>
      <c r="J25" s="3">
        <f t="shared" si="0"/>
        <v>0.33333333333333331</v>
      </c>
      <c r="K25" s="3" t="s">
        <v>20</v>
      </c>
      <c r="L25" t="s">
        <v>30</v>
      </c>
      <c r="M25" t="s">
        <v>30</v>
      </c>
      <c r="N25" s="1">
        <v>0.45833333333333331</v>
      </c>
      <c r="O25" s="1">
        <v>0.47222222222222227</v>
      </c>
      <c r="P25" s="3">
        <v>4000114948</v>
      </c>
      <c r="Q25">
        <v>10049604</v>
      </c>
      <c r="R25" t="s">
        <v>31</v>
      </c>
      <c r="S25" t="s">
        <v>48</v>
      </c>
    </row>
    <row r="26" spans="3:19" x14ac:dyDescent="0.25">
      <c r="C26">
        <v>3134200</v>
      </c>
      <c r="D26" s="3" t="s">
        <v>22</v>
      </c>
      <c r="E26" s="3">
        <v>1</v>
      </c>
      <c r="F26" s="3" t="s">
        <v>34</v>
      </c>
      <c r="G26" s="3" t="s">
        <v>23</v>
      </c>
      <c r="H26" s="3">
        <v>20</v>
      </c>
      <c r="I26" s="3" t="s">
        <v>19</v>
      </c>
      <c r="J26" s="3">
        <f t="shared" si="0"/>
        <v>0.33333333333333331</v>
      </c>
      <c r="K26" s="3" t="s">
        <v>20</v>
      </c>
      <c r="L26" t="s">
        <v>30</v>
      </c>
      <c r="M26" t="s">
        <v>30</v>
      </c>
      <c r="N26" s="1">
        <v>0.47222222222222227</v>
      </c>
      <c r="O26" s="1">
        <v>0.4861111111111111</v>
      </c>
      <c r="P26" s="3">
        <v>4000114949</v>
      </c>
      <c r="Q26">
        <v>10051218</v>
      </c>
      <c r="R26" t="s">
        <v>31</v>
      </c>
      <c r="S26" t="s">
        <v>27</v>
      </c>
    </row>
    <row r="27" spans="3:19" x14ac:dyDescent="0.25">
      <c r="C27">
        <v>3134201</v>
      </c>
      <c r="D27" s="3" t="s">
        <v>22</v>
      </c>
      <c r="E27" s="3">
        <v>1</v>
      </c>
      <c r="F27" s="3" t="s">
        <v>34</v>
      </c>
      <c r="G27" s="3" t="s">
        <v>23</v>
      </c>
      <c r="H27" s="3">
        <v>30</v>
      </c>
      <c r="I27" s="3" t="s">
        <v>19</v>
      </c>
      <c r="J27" s="3">
        <f t="shared" si="0"/>
        <v>0.5</v>
      </c>
      <c r="K27" s="3" t="s">
        <v>20</v>
      </c>
      <c r="L27" t="s">
        <v>30</v>
      </c>
      <c r="M27" t="s">
        <v>30</v>
      </c>
      <c r="N27" s="1">
        <v>0.4861111111111111</v>
      </c>
      <c r="O27" s="1">
        <v>0.50694444444444442</v>
      </c>
      <c r="P27" s="3">
        <v>4000114950</v>
      </c>
      <c r="Q27">
        <v>10051224</v>
      </c>
      <c r="R27" t="s">
        <v>31</v>
      </c>
      <c r="S27" t="s">
        <v>48</v>
      </c>
    </row>
    <row r="28" spans="3:19" x14ac:dyDescent="0.25">
      <c r="C28">
        <v>3134206</v>
      </c>
      <c r="D28" s="3" t="s">
        <v>22</v>
      </c>
      <c r="E28" s="3">
        <v>1</v>
      </c>
      <c r="F28" s="3" t="s">
        <v>34</v>
      </c>
      <c r="G28" s="3" t="s">
        <v>23</v>
      </c>
      <c r="H28" s="3">
        <v>20</v>
      </c>
      <c r="I28" s="3" t="s">
        <v>19</v>
      </c>
      <c r="J28" s="3">
        <f t="shared" si="0"/>
        <v>0.33333333333333331</v>
      </c>
      <c r="K28" s="3" t="s">
        <v>20</v>
      </c>
      <c r="L28" t="s">
        <v>30</v>
      </c>
      <c r="M28" t="s">
        <v>30</v>
      </c>
      <c r="N28" s="1">
        <v>0.4375</v>
      </c>
      <c r="O28" s="1">
        <v>0.4513888888888889</v>
      </c>
      <c r="P28" s="3">
        <v>4000114955</v>
      </c>
      <c r="Q28">
        <v>10049652</v>
      </c>
      <c r="R28" t="s">
        <v>38</v>
      </c>
      <c r="S28" t="s">
        <v>49</v>
      </c>
    </row>
    <row r="29" spans="3:19" x14ac:dyDescent="0.25">
      <c r="C29">
        <v>3134210</v>
      </c>
      <c r="D29" s="3" t="s">
        <v>22</v>
      </c>
      <c r="E29" s="3">
        <v>1</v>
      </c>
      <c r="F29" s="3" t="s">
        <v>34</v>
      </c>
      <c r="G29" s="3" t="s">
        <v>23</v>
      </c>
      <c r="H29" s="3">
        <v>20</v>
      </c>
      <c r="I29" s="3" t="s">
        <v>19</v>
      </c>
      <c r="J29" s="3">
        <f t="shared" si="0"/>
        <v>0.33333333333333331</v>
      </c>
      <c r="K29" s="3" t="s">
        <v>20</v>
      </c>
      <c r="L29" t="s">
        <v>30</v>
      </c>
      <c r="M29" t="s">
        <v>30</v>
      </c>
      <c r="N29" s="1">
        <v>0.4513888888888889</v>
      </c>
      <c r="O29" s="1">
        <v>0.46527777777777773</v>
      </c>
      <c r="P29" s="3">
        <v>4000114959</v>
      </c>
      <c r="Q29">
        <v>10049663</v>
      </c>
      <c r="R29" t="s">
        <v>38</v>
      </c>
      <c r="S29" t="s">
        <v>49</v>
      </c>
    </row>
    <row r="30" spans="3:19" x14ac:dyDescent="0.25">
      <c r="C30">
        <v>3134220</v>
      </c>
      <c r="D30" s="3" t="s">
        <v>22</v>
      </c>
      <c r="E30" s="3">
        <v>2</v>
      </c>
      <c r="F30" s="3" t="s">
        <v>34</v>
      </c>
      <c r="G30" s="3" t="s">
        <v>23</v>
      </c>
      <c r="H30" s="3">
        <v>20</v>
      </c>
      <c r="I30" s="3" t="s">
        <v>19</v>
      </c>
      <c r="J30" s="3">
        <f t="shared" si="0"/>
        <v>0.33333333333333331</v>
      </c>
      <c r="K30" s="3" t="s">
        <v>20</v>
      </c>
      <c r="L30" t="s">
        <v>30</v>
      </c>
      <c r="M30" t="s">
        <v>30</v>
      </c>
      <c r="N30" s="1">
        <v>0.3888888888888889</v>
      </c>
      <c r="O30" s="1">
        <v>0.40277777777777773</v>
      </c>
      <c r="P30" s="3">
        <v>4000114968</v>
      </c>
      <c r="Q30">
        <v>10049589</v>
      </c>
      <c r="R30" t="s">
        <v>31</v>
      </c>
      <c r="S30" t="s">
        <v>50</v>
      </c>
    </row>
    <row r="31" spans="3:19" x14ac:dyDescent="0.25">
      <c r="C31">
        <v>3134232</v>
      </c>
      <c r="D31" s="3" t="s">
        <v>22</v>
      </c>
      <c r="E31" s="3">
        <v>1</v>
      </c>
      <c r="F31" s="3" t="s">
        <v>34</v>
      </c>
      <c r="G31" s="3" t="s">
        <v>23</v>
      </c>
      <c r="H31" s="3">
        <v>30</v>
      </c>
      <c r="I31" s="3" t="s">
        <v>19</v>
      </c>
      <c r="J31" s="3">
        <f t="shared" si="0"/>
        <v>0.5</v>
      </c>
      <c r="K31" s="3" t="s">
        <v>20</v>
      </c>
      <c r="L31" t="s">
        <v>30</v>
      </c>
      <c r="M31" t="s">
        <v>30</v>
      </c>
      <c r="N31" s="1">
        <v>0.375</v>
      </c>
      <c r="O31" s="1">
        <v>0.39583333333333331</v>
      </c>
      <c r="P31" s="3">
        <v>4000114980</v>
      </c>
      <c r="Q31">
        <v>10051224</v>
      </c>
      <c r="R31" t="s">
        <v>31</v>
      </c>
      <c r="S31" t="s">
        <v>27</v>
      </c>
    </row>
    <row r="32" spans="3:19" x14ac:dyDescent="0.25">
      <c r="C32">
        <v>3134252</v>
      </c>
      <c r="D32" s="3" t="s">
        <v>22</v>
      </c>
      <c r="E32" s="3">
        <v>1</v>
      </c>
      <c r="F32" s="3" t="s">
        <v>34</v>
      </c>
      <c r="G32" s="3" t="s">
        <v>23</v>
      </c>
      <c r="H32" s="3">
        <v>30</v>
      </c>
      <c r="I32" s="3" t="s">
        <v>19</v>
      </c>
      <c r="J32" s="3">
        <f t="shared" si="0"/>
        <v>0.5</v>
      </c>
      <c r="K32" s="3" t="s">
        <v>20</v>
      </c>
      <c r="L32" t="s">
        <v>30</v>
      </c>
      <c r="M32" t="s">
        <v>30</v>
      </c>
      <c r="N32" s="1">
        <v>0.41666666666666669</v>
      </c>
      <c r="O32" s="1">
        <v>0.4375</v>
      </c>
      <c r="P32" s="3">
        <v>4000114998</v>
      </c>
      <c r="Q32">
        <v>10049657</v>
      </c>
      <c r="R32" t="s">
        <v>38</v>
      </c>
      <c r="S32" t="s">
        <v>27</v>
      </c>
    </row>
    <row r="33" spans="3:19" x14ac:dyDescent="0.25">
      <c r="C33">
        <v>3110476</v>
      </c>
      <c r="D33" s="3" t="s">
        <v>22</v>
      </c>
      <c r="E33" s="3">
        <v>2</v>
      </c>
      <c r="F33" s="3" t="s">
        <v>34</v>
      </c>
      <c r="G33" s="3" t="s">
        <v>23</v>
      </c>
      <c r="H33" s="3">
        <v>120</v>
      </c>
      <c r="I33" s="3" t="s">
        <v>19</v>
      </c>
      <c r="J33" s="3">
        <f t="shared" si="0"/>
        <v>2</v>
      </c>
      <c r="K33" s="3" t="s">
        <v>20</v>
      </c>
      <c r="L33" t="s">
        <v>51</v>
      </c>
      <c r="M33" t="s">
        <v>51</v>
      </c>
      <c r="N33" s="1">
        <v>0.8125</v>
      </c>
      <c r="O33" s="1">
        <v>0.9375</v>
      </c>
      <c r="P33" s="3">
        <v>4000107632</v>
      </c>
      <c r="Q33">
        <v>10049361</v>
      </c>
      <c r="R33" t="s">
        <v>36</v>
      </c>
      <c r="S33" t="s">
        <v>52</v>
      </c>
    </row>
    <row r="34" spans="3:19" x14ac:dyDescent="0.25">
      <c r="C34">
        <v>3120194</v>
      </c>
      <c r="D34" s="3" t="s">
        <v>22</v>
      </c>
      <c r="E34" s="3">
        <v>1</v>
      </c>
      <c r="F34" s="3" t="s">
        <v>34</v>
      </c>
      <c r="G34" s="3" t="s">
        <v>23</v>
      </c>
      <c r="H34" s="3">
        <v>30</v>
      </c>
      <c r="I34" s="3" t="s">
        <v>19</v>
      </c>
      <c r="J34" s="3">
        <f t="shared" si="0"/>
        <v>0.5</v>
      </c>
      <c r="K34" s="3" t="s">
        <v>20</v>
      </c>
      <c r="L34" t="s">
        <v>51</v>
      </c>
      <c r="M34" t="s">
        <v>51</v>
      </c>
      <c r="N34" s="1">
        <v>0.79166666666666663</v>
      </c>
      <c r="O34" s="1">
        <v>0.8125</v>
      </c>
      <c r="P34" s="3">
        <v>4000112671</v>
      </c>
      <c r="Q34">
        <v>10049436</v>
      </c>
      <c r="R34" t="s">
        <v>53</v>
      </c>
      <c r="S34" t="s">
        <v>32</v>
      </c>
    </row>
    <row r="35" spans="3:19" x14ac:dyDescent="0.25">
      <c r="C35">
        <v>3122735</v>
      </c>
      <c r="D35" s="3" t="s">
        <v>22</v>
      </c>
      <c r="E35" s="3">
        <v>1</v>
      </c>
      <c r="F35" s="3" t="s">
        <v>34</v>
      </c>
      <c r="G35" s="3" t="s">
        <v>23</v>
      </c>
      <c r="H35" s="3">
        <v>30</v>
      </c>
      <c r="I35" s="3" t="s">
        <v>19</v>
      </c>
      <c r="J35" s="3">
        <f t="shared" si="0"/>
        <v>0.5</v>
      </c>
      <c r="K35" s="3" t="s">
        <v>20</v>
      </c>
      <c r="L35" t="s">
        <v>51</v>
      </c>
      <c r="M35" t="s">
        <v>51</v>
      </c>
      <c r="N35" s="1">
        <v>0.9375</v>
      </c>
      <c r="O35" s="1">
        <v>0.95833333333333337</v>
      </c>
      <c r="P35" s="3">
        <v>4000113260</v>
      </c>
      <c r="Q35">
        <v>10049372</v>
      </c>
      <c r="R35" t="s">
        <v>36</v>
      </c>
      <c r="S35" t="s">
        <v>32</v>
      </c>
    </row>
    <row r="36" spans="3:19" x14ac:dyDescent="0.25">
      <c r="C36">
        <v>3122794</v>
      </c>
      <c r="D36" s="3" t="s">
        <v>22</v>
      </c>
      <c r="E36" s="3">
        <v>1</v>
      </c>
      <c r="F36" s="3" t="s">
        <v>34</v>
      </c>
      <c r="G36" s="3" t="s">
        <v>23</v>
      </c>
      <c r="H36" s="3">
        <v>60</v>
      </c>
      <c r="I36" s="3" t="s">
        <v>19</v>
      </c>
      <c r="J36" s="3">
        <f t="shared" si="0"/>
        <v>1</v>
      </c>
      <c r="K36" s="3" t="s">
        <v>20</v>
      </c>
      <c r="L36" t="s">
        <v>51</v>
      </c>
      <c r="M36" t="s">
        <v>51</v>
      </c>
      <c r="N36" s="1">
        <v>0.91666666666666663</v>
      </c>
      <c r="O36" s="1">
        <v>0.95833333333333337</v>
      </c>
      <c r="P36" s="3">
        <v>4000113396</v>
      </c>
      <c r="Q36">
        <v>10049688</v>
      </c>
      <c r="R36" t="s">
        <v>54</v>
      </c>
      <c r="S36" t="s">
        <v>32</v>
      </c>
    </row>
    <row r="37" spans="3:19" x14ac:dyDescent="0.25">
      <c r="C37">
        <v>3114077</v>
      </c>
      <c r="D37" s="3" t="s">
        <v>55</v>
      </c>
      <c r="E37" s="3">
        <v>2</v>
      </c>
      <c r="F37" s="3" t="s">
        <v>34</v>
      </c>
      <c r="G37" s="3" t="s">
        <v>23</v>
      </c>
      <c r="H37" s="3">
        <v>60</v>
      </c>
      <c r="I37" s="3" t="s">
        <v>19</v>
      </c>
      <c r="J37" s="3">
        <f t="shared" si="0"/>
        <v>1</v>
      </c>
      <c r="K37" s="3" t="s">
        <v>20</v>
      </c>
      <c r="L37" t="s">
        <v>56</v>
      </c>
      <c r="M37" t="s">
        <v>56</v>
      </c>
      <c r="N37" s="1">
        <v>0.375</v>
      </c>
      <c r="O37" s="1">
        <v>0.39583333333333331</v>
      </c>
      <c r="P37" s="3">
        <v>4000109505</v>
      </c>
      <c r="Q37">
        <v>10049451</v>
      </c>
      <c r="R37" t="s">
        <v>57</v>
      </c>
      <c r="S37" t="s">
        <v>32</v>
      </c>
    </row>
    <row r="38" spans="3:19" x14ac:dyDescent="0.25">
      <c r="C38">
        <v>3114084</v>
      </c>
      <c r="D38" s="3" t="s">
        <v>17</v>
      </c>
      <c r="E38" s="3">
        <v>2</v>
      </c>
      <c r="F38" s="3" t="s">
        <v>34</v>
      </c>
      <c r="G38" s="3" t="s">
        <v>23</v>
      </c>
      <c r="H38" s="3">
        <v>30</v>
      </c>
      <c r="I38" s="3" t="s">
        <v>19</v>
      </c>
      <c r="J38" s="3">
        <f t="shared" si="0"/>
        <v>0.5</v>
      </c>
      <c r="K38" s="3" t="s">
        <v>20</v>
      </c>
      <c r="L38" t="s">
        <v>56</v>
      </c>
      <c r="M38" t="s">
        <v>56</v>
      </c>
      <c r="N38" s="1">
        <v>0.91666666666666663</v>
      </c>
      <c r="O38" s="1">
        <v>0.9375</v>
      </c>
      <c r="P38" s="3">
        <v>4000109512</v>
      </c>
      <c r="Q38">
        <v>10051747</v>
      </c>
      <c r="R38" t="s">
        <v>58</v>
      </c>
      <c r="S38" t="s">
        <v>59</v>
      </c>
    </row>
    <row r="39" spans="3:19" x14ac:dyDescent="0.25">
      <c r="C39">
        <v>3122799</v>
      </c>
      <c r="D39" s="3" t="s">
        <v>22</v>
      </c>
      <c r="E39" s="3">
        <v>1</v>
      </c>
      <c r="F39" s="3" t="s">
        <v>34</v>
      </c>
      <c r="G39" s="3" t="s">
        <v>23</v>
      </c>
      <c r="H39" s="3">
        <v>20</v>
      </c>
      <c r="I39" s="3" t="s">
        <v>19</v>
      </c>
      <c r="J39" s="3">
        <f t="shared" si="0"/>
        <v>0.33333333333333331</v>
      </c>
      <c r="K39" s="3" t="s">
        <v>20</v>
      </c>
      <c r="L39" t="s">
        <v>56</v>
      </c>
      <c r="M39" t="s">
        <v>56</v>
      </c>
      <c r="N39" s="1">
        <v>4.1666666666666664E-2</v>
      </c>
      <c r="O39" s="1">
        <v>5.5555555555555552E-2</v>
      </c>
      <c r="P39" s="3">
        <v>4000113401</v>
      </c>
      <c r="Q39">
        <v>10051778</v>
      </c>
      <c r="R39" t="s">
        <v>36</v>
      </c>
      <c r="S39" t="s">
        <v>32</v>
      </c>
    </row>
    <row r="40" spans="3:19" x14ac:dyDescent="0.25">
      <c r="C40">
        <v>3123127</v>
      </c>
      <c r="D40" s="3" t="s">
        <v>22</v>
      </c>
      <c r="E40" s="3">
        <v>2</v>
      </c>
      <c r="F40" s="3" t="s">
        <v>34</v>
      </c>
      <c r="G40" s="3" t="s">
        <v>23</v>
      </c>
      <c r="H40" s="3">
        <v>30</v>
      </c>
      <c r="I40" s="3" t="s">
        <v>19</v>
      </c>
      <c r="J40" s="3">
        <f t="shared" si="0"/>
        <v>0.5</v>
      </c>
      <c r="K40" s="3" t="s">
        <v>20</v>
      </c>
      <c r="L40" t="s">
        <v>56</v>
      </c>
      <c r="M40" t="s">
        <v>56</v>
      </c>
      <c r="N40" s="1">
        <v>2.0833333333333332E-2</v>
      </c>
      <c r="O40" s="1">
        <v>4.1666666666666664E-2</v>
      </c>
      <c r="P40" s="3">
        <v>4000113427</v>
      </c>
      <c r="Q40">
        <v>10051778</v>
      </c>
      <c r="R40" t="s">
        <v>36</v>
      </c>
      <c r="S40" t="s">
        <v>32</v>
      </c>
    </row>
    <row r="41" spans="3:19" x14ac:dyDescent="0.25">
      <c r="C41">
        <v>3112655</v>
      </c>
      <c r="D41" s="3" t="s">
        <v>17</v>
      </c>
      <c r="E41" s="3">
        <v>2</v>
      </c>
      <c r="F41" s="3" t="s">
        <v>34</v>
      </c>
      <c r="G41" s="3" t="s">
        <v>23</v>
      </c>
      <c r="H41" s="3">
        <v>60</v>
      </c>
      <c r="I41" s="3" t="s">
        <v>19</v>
      </c>
      <c r="J41" s="3">
        <f t="shared" si="0"/>
        <v>1</v>
      </c>
      <c r="K41" s="3" t="s">
        <v>20</v>
      </c>
      <c r="L41" t="s">
        <v>24</v>
      </c>
      <c r="M41" t="s">
        <v>24</v>
      </c>
      <c r="N41" s="1">
        <v>0.54166666666666663</v>
      </c>
      <c r="O41" s="1">
        <v>0.58333333333333337</v>
      </c>
      <c r="P41" s="3">
        <v>4000108484</v>
      </c>
      <c r="Q41">
        <v>10051769</v>
      </c>
      <c r="R41" t="s">
        <v>36</v>
      </c>
      <c r="S41" t="s">
        <v>60</v>
      </c>
    </row>
    <row r="42" spans="3:19" x14ac:dyDescent="0.25">
      <c r="C42">
        <v>3118354</v>
      </c>
      <c r="D42" s="3" t="s">
        <v>17</v>
      </c>
      <c r="E42" s="3">
        <v>2</v>
      </c>
      <c r="F42" s="3" t="s">
        <v>34</v>
      </c>
      <c r="G42" s="3" t="s">
        <v>23</v>
      </c>
      <c r="H42" s="3">
        <v>60</v>
      </c>
      <c r="I42" s="3" t="s">
        <v>19</v>
      </c>
      <c r="J42" s="3">
        <f t="shared" si="0"/>
        <v>1</v>
      </c>
      <c r="K42" s="3" t="s">
        <v>20</v>
      </c>
      <c r="L42" t="s">
        <v>24</v>
      </c>
      <c r="M42" t="s">
        <v>24</v>
      </c>
      <c r="N42" s="1">
        <v>0.58333333333333337</v>
      </c>
      <c r="O42" s="1">
        <v>0.625</v>
      </c>
      <c r="P42" s="3">
        <v>4000111378</v>
      </c>
      <c r="Q42">
        <v>10049372</v>
      </c>
      <c r="R42" t="s">
        <v>36</v>
      </c>
      <c r="S42" t="s">
        <v>61</v>
      </c>
    </row>
    <row r="43" spans="3:19" x14ac:dyDescent="0.25">
      <c r="C43">
        <v>3119958</v>
      </c>
      <c r="D43" s="3" t="s">
        <v>17</v>
      </c>
      <c r="E43" s="3">
        <v>2</v>
      </c>
      <c r="F43" s="3" t="s">
        <v>34</v>
      </c>
      <c r="G43" s="3" t="s">
        <v>23</v>
      </c>
      <c r="H43" s="3">
        <v>60</v>
      </c>
      <c r="I43" s="3" t="s">
        <v>19</v>
      </c>
      <c r="J43" s="3">
        <f t="shared" si="0"/>
        <v>1</v>
      </c>
      <c r="K43" s="3" t="s">
        <v>20</v>
      </c>
      <c r="L43" t="s">
        <v>24</v>
      </c>
      <c r="M43" t="s">
        <v>24</v>
      </c>
      <c r="N43" s="1">
        <v>0.45833333333333331</v>
      </c>
      <c r="O43" s="1">
        <v>0.5</v>
      </c>
      <c r="P43" s="3">
        <v>4000112032</v>
      </c>
      <c r="Q43">
        <v>10051481</v>
      </c>
      <c r="R43" t="s">
        <v>53</v>
      </c>
      <c r="S43" t="s">
        <v>62</v>
      </c>
    </row>
    <row r="44" spans="3:19" x14ac:dyDescent="0.25">
      <c r="C44">
        <v>3120191</v>
      </c>
      <c r="D44" s="3" t="s">
        <v>17</v>
      </c>
      <c r="E44" s="3">
        <v>2</v>
      </c>
      <c r="F44" s="3" t="s">
        <v>34</v>
      </c>
      <c r="G44" s="3" t="s">
        <v>23</v>
      </c>
      <c r="H44" s="3">
        <v>60</v>
      </c>
      <c r="I44" s="3" t="s">
        <v>19</v>
      </c>
      <c r="J44" s="3">
        <f t="shared" si="0"/>
        <v>1</v>
      </c>
      <c r="K44" s="3" t="s">
        <v>20</v>
      </c>
      <c r="L44" t="s">
        <v>24</v>
      </c>
      <c r="M44" t="s">
        <v>24</v>
      </c>
      <c r="N44" s="1">
        <v>0.66666666666666663</v>
      </c>
      <c r="O44" s="1">
        <v>0.70833333333333337</v>
      </c>
      <c r="P44" s="3">
        <v>4000112668</v>
      </c>
      <c r="Q44">
        <v>10051396</v>
      </c>
      <c r="R44" t="s">
        <v>36</v>
      </c>
      <c r="S44" t="s">
        <v>62</v>
      </c>
    </row>
    <row r="45" spans="3:19" x14ac:dyDescent="0.25">
      <c r="C45">
        <v>3120195</v>
      </c>
      <c r="D45" s="3" t="s">
        <v>17</v>
      </c>
      <c r="E45" s="3">
        <v>2</v>
      </c>
      <c r="F45" s="3" t="s">
        <v>34</v>
      </c>
      <c r="G45" s="3" t="s">
        <v>23</v>
      </c>
      <c r="H45" s="3">
        <v>120</v>
      </c>
      <c r="I45" s="3" t="s">
        <v>19</v>
      </c>
      <c r="J45" s="3">
        <f t="shared" si="0"/>
        <v>2</v>
      </c>
      <c r="K45" s="3" t="s">
        <v>20</v>
      </c>
      <c r="L45" t="s">
        <v>24</v>
      </c>
      <c r="M45" t="s">
        <v>24</v>
      </c>
      <c r="N45" s="1">
        <v>0.33333333333333331</v>
      </c>
      <c r="O45" s="1">
        <v>0.41666666666666669</v>
      </c>
      <c r="P45" s="3">
        <v>4000112672</v>
      </c>
      <c r="Q45">
        <v>10049436</v>
      </c>
      <c r="R45" t="s">
        <v>53</v>
      </c>
      <c r="S45" t="s">
        <v>63</v>
      </c>
    </row>
    <row r="46" spans="3:19" x14ac:dyDescent="0.25">
      <c r="C46">
        <v>3120200</v>
      </c>
      <c r="D46" s="3" t="s">
        <v>17</v>
      </c>
      <c r="E46" s="3">
        <v>3</v>
      </c>
      <c r="F46" s="3" t="s">
        <v>34</v>
      </c>
      <c r="G46" s="3" t="s">
        <v>23</v>
      </c>
      <c r="H46" s="3">
        <v>60</v>
      </c>
      <c r="I46" s="3" t="s">
        <v>19</v>
      </c>
      <c r="J46" s="3">
        <f t="shared" si="0"/>
        <v>1</v>
      </c>
      <c r="K46" s="3" t="s">
        <v>20</v>
      </c>
      <c r="L46" t="s">
        <v>24</v>
      </c>
      <c r="M46" t="s">
        <v>24</v>
      </c>
      <c r="N46" s="1">
        <v>0.41666666666666669</v>
      </c>
      <c r="O46" s="1">
        <v>0.45833333333333331</v>
      </c>
      <c r="P46" s="3">
        <v>4000112677</v>
      </c>
      <c r="Q46">
        <v>10049399</v>
      </c>
      <c r="R46" t="s">
        <v>53</v>
      </c>
      <c r="S46" t="s">
        <v>62</v>
      </c>
    </row>
    <row r="47" spans="3:19" x14ac:dyDescent="0.25">
      <c r="C47">
        <v>3122016</v>
      </c>
      <c r="D47" s="3" t="s">
        <v>17</v>
      </c>
      <c r="E47" s="3">
        <v>3</v>
      </c>
      <c r="F47" s="3" t="s">
        <v>34</v>
      </c>
      <c r="G47" s="3" t="s">
        <v>23</v>
      </c>
      <c r="H47" s="3">
        <v>60</v>
      </c>
      <c r="I47" s="3" t="s">
        <v>19</v>
      </c>
      <c r="J47" s="3">
        <f t="shared" si="0"/>
        <v>1</v>
      </c>
      <c r="K47" s="3" t="s">
        <v>20</v>
      </c>
      <c r="L47" t="s">
        <v>24</v>
      </c>
      <c r="M47" t="s">
        <v>24</v>
      </c>
      <c r="N47" s="1">
        <v>0.625</v>
      </c>
      <c r="O47" s="1">
        <v>0.66666666666666663</v>
      </c>
      <c r="P47" s="3">
        <v>4000112713</v>
      </c>
      <c r="Q47">
        <v>10051386</v>
      </c>
      <c r="R47" t="s">
        <v>36</v>
      </c>
      <c r="S47" t="s">
        <v>62</v>
      </c>
    </row>
    <row r="48" spans="3:19" x14ac:dyDescent="0.25">
      <c r="C48">
        <v>3122018</v>
      </c>
      <c r="D48" s="3" t="s">
        <v>17</v>
      </c>
      <c r="E48" s="3">
        <v>2</v>
      </c>
      <c r="F48" s="3" t="s">
        <v>34</v>
      </c>
      <c r="G48" s="3" t="s">
        <v>23</v>
      </c>
      <c r="H48" s="3">
        <v>60</v>
      </c>
      <c r="I48" s="3" t="s">
        <v>19</v>
      </c>
      <c r="J48" s="3">
        <f t="shared" si="0"/>
        <v>1</v>
      </c>
      <c r="K48" s="3" t="s">
        <v>20</v>
      </c>
      <c r="L48" t="s">
        <v>24</v>
      </c>
      <c r="M48" t="s">
        <v>24</v>
      </c>
      <c r="N48" s="1">
        <v>0.58333333333333337</v>
      </c>
      <c r="O48" s="1">
        <v>0.625</v>
      </c>
      <c r="P48" s="3">
        <v>4000112715</v>
      </c>
      <c r="Q48">
        <v>10051443</v>
      </c>
      <c r="R48" t="s">
        <v>36</v>
      </c>
      <c r="S48" t="s">
        <v>62</v>
      </c>
    </row>
    <row r="49" spans="3:19" x14ac:dyDescent="0.25">
      <c r="C49">
        <v>3122752</v>
      </c>
      <c r="D49" s="3" t="s">
        <v>17</v>
      </c>
      <c r="E49" s="3">
        <v>2</v>
      </c>
      <c r="F49" s="3" t="s">
        <v>34</v>
      </c>
      <c r="G49" s="3" t="s">
        <v>23</v>
      </c>
      <c r="H49" s="3">
        <v>30</v>
      </c>
      <c r="I49" s="3" t="s">
        <v>19</v>
      </c>
      <c r="J49" s="3">
        <f t="shared" si="0"/>
        <v>0.5</v>
      </c>
      <c r="K49" s="3" t="s">
        <v>20</v>
      </c>
      <c r="L49" t="s">
        <v>24</v>
      </c>
      <c r="M49" t="s">
        <v>24</v>
      </c>
      <c r="N49" s="1">
        <v>0.5</v>
      </c>
      <c r="O49" s="1">
        <v>0.52083333333333337</v>
      </c>
      <c r="P49" s="3">
        <v>4000113354</v>
      </c>
      <c r="Q49">
        <v>10051443</v>
      </c>
      <c r="R49" t="s">
        <v>36</v>
      </c>
      <c r="S49" t="s">
        <v>62</v>
      </c>
    </row>
    <row r="50" spans="3:19" x14ac:dyDescent="0.25">
      <c r="C50">
        <v>3122756</v>
      </c>
      <c r="D50" s="3" t="s">
        <v>17</v>
      </c>
      <c r="E50" s="3">
        <v>2</v>
      </c>
      <c r="F50" s="3" t="s">
        <v>34</v>
      </c>
      <c r="G50" s="3" t="s">
        <v>23</v>
      </c>
      <c r="H50" s="3">
        <v>30</v>
      </c>
      <c r="I50" s="3" t="s">
        <v>19</v>
      </c>
      <c r="J50" s="3">
        <f t="shared" si="0"/>
        <v>0.5</v>
      </c>
      <c r="K50" s="3" t="s">
        <v>20</v>
      </c>
      <c r="L50" t="s">
        <v>24</v>
      </c>
      <c r="M50" t="s">
        <v>24</v>
      </c>
      <c r="N50" s="1">
        <v>0.39583333333333331</v>
      </c>
      <c r="O50" s="1">
        <v>0.41666666666666669</v>
      </c>
      <c r="P50" s="3">
        <v>4000113358</v>
      </c>
      <c r="Q50">
        <v>10049427</v>
      </c>
      <c r="R50" t="s">
        <v>53</v>
      </c>
      <c r="S50" t="s">
        <v>63</v>
      </c>
    </row>
    <row r="51" spans="3:19" x14ac:dyDescent="0.25">
      <c r="C51">
        <v>3122767</v>
      </c>
      <c r="D51" s="3" t="s">
        <v>55</v>
      </c>
      <c r="E51" s="3">
        <v>2</v>
      </c>
      <c r="F51" s="3" t="s">
        <v>34</v>
      </c>
      <c r="G51" s="3" t="s">
        <v>23</v>
      </c>
      <c r="H51" s="3">
        <v>60</v>
      </c>
      <c r="I51" s="3" t="s">
        <v>19</v>
      </c>
      <c r="J51" s="3">
        <f t="shared" si="0"/>
        <v>1</v>
      </c>
      <c r="K51" s="3" t="s">
        <v>20</v>
      </c>
      <c r="L51" t="s">
        <v>24</v>
      </c>
      <c r="M51" t="s">
        <v>24</v>
      </c>
      <c r="N51" s="1">
        <v>0.33333333333333331</v>
      </c>
      <c r="O51" s="1">
        <v>0.375</v>
      </c>
      <c r="P51" s="3">
        <v>4000113369</v>
      </c>
      <c r="Q51">
        <v>10049451</v>
      </c>
      <c r="R51" t="s">
        <v>57</v>
      </c>
      <c r="S51" t="s">
        <v>32</v>
      </c>
    </row>
    <row r="52" spans="3:19" x14ac:dyDescent="0.25">
      <c r="C52">
        <v>3122785</v>
      </c>
      <c r="D52" s="3" t="s">
        <v>17</v>
      </c>
      <c r="E52" s="3">
        <v>2</v>
      </c>
      <c r="F52" s="3" t="s">
        <v>34</v>
      </c>
      <c r="G52" s="3" t="s">
        <v>23</v>
      </c>
      <c r="H52" s="3">
        <v>30</v>
      </c>
      <c r="I52" s="3" t="s">
        <v>19</v>
      </c>
      <c r="J52" s="3">
        <f t="shared" si="0"/>
        <v>0.5</v>
      </c>
      <c r="K52" s="3" t="s">
        <v>20</v>
      </c>
      <c r="L52" t="s">
        <v>24</v>
      </c>
      <c r="M52" t="s">
        <v>24</v>
      </c>
      <c r="N52" s="1">
        <v>0.58333333333333337</v>
      </c>
      <c r="O52" s="1">
        <v>0.60416666666666663</v>
      </c>
      <c r="P52" s="3">
        <v>4000113387</v>
      </c>
      <c r="Q52">
        <v>10051769</v>
      </c>
      <c r="R52" t="s">
        <v>36</v>
      </c>
      <c r="S52" t="s">
        <v>62</v>
      </c>
    </row>
    <row r="53" spans="3:19" x14ac:dyDescent="0.25">
      <c r="C53">
        <v>3122789</v>
      </c>
      <c r="D53" s="3" t="s">
        <v>17</v>
      </c>
      <c r="E53" s="3">
        <v>2</v>
      </c>
      <c r="F53" s="3" t="s">
        <v>34</v>
      </c>
      <c r="G53" s="3" t="s">
        <v>23</v>
      </c>
      <c r="H53" s="3">
        <v>20</v>
      </c>
      <c r="I53" s="3" t="s">
        <v>19</v>
      </c>
      <c r="J53" s="3">
        <f t="shared" si="0"/>
        <v>0.33333333333333331</v>
      </c>
      <c r="K53" s="3" t="s">
        <v>20</v>
      </c>
      <c r="L53" t="s">
        <v>24</v>
      </c>
      <c r="M53" t="s">
        <v>24</v>
      </c>
      <c r="N53" s="1">
        <v>0.58333333333333337</v>
      </c>
      <c r="O53" s="1">
        <v>0.59722222222222221</v>
      </c>
      <c r="P53" s="3">
        <v>4000113391</v>
      </c>
      <c r="Q53">
        <v>10049361</v>
      </c>
      <c r="R53" t="s">
        <v>36</v>
      </c>
      <c r="S53" t="s">
        <v>62</v>
      </c>
    </row>
    <row r="54" spans="3:19" x14ac:dyDescent="0.25">
      <c r="C54">
        <v>3134142</v>
      </c>
      <c r="D54" s="3" t="s">
        <v>22</v>
      </c>
      <c r="E54" s="3">
        <v>2</v>
      </c>
      <c r="F54" s="3" t="s">
        <v>34</v>
      </c>
      <c r="G54" s="3" t="s">
        <v>23</v>
      </c>
      <c r="H54" s="3">
        <v>60</v>
      </c>
      <c r="I54" s="3" t="s">
        <v>19</v>
      </c>
      <c r="J54" s="3">
        <f t="shared" si="0"/>
        <v>1</v>
      </c>
      <c r="K54" s="3" t="s">
        <v>20</v>
      </c>
      <c r="L54" t="s">
        <v>24</v>
      </c>
      <c r="M54" t="s">
        <v>24</v>
      </c>
      <c r="N54" s="1">
        <v>0.41666666666666669</v>
      </c>
      <c r="O54" s="1">
        <v>0.45833333333333331</v>
      </c>
      <c r="P54" s="3">
        <v>4000114895</v>
      </c>
      <c r="Q54">
        <v>10051218</v>
      </c>
      <c r="R54" t="s">
        <v>31</v>
      </c>
      <c r="S54" t="s">
        <v>27</v>
      </c>
    </row>
    <row r="55" spans="3:19" x14ac:dyDescent="0.25">
      <c r="C55">
        <v>3137175</v>
      </c>
      <c r="D55" s="3" t="s">
        <v>22</v>
      </c>
      <c r="E55" s="3">
        <v>1</v>
      </c>
      <c r="F55" s="3" t="s">
        <v>34</v>
      </c>
      <c r="G55" s="3" t="s">
        <v>23</v>
      </c>
      <c r="H55" s="3">
        <v>20</v>
      </c>
      <c r="I55" s="3" t="s">
        <v>19</v>
      </c>
      <c r="J55" s="3">
        <f t="shared" si="0"/>
        <v>0.33333333333333331</v>
      </c>
      <c r="K55" s="3" t="s">
        <v>20</v>
      </c>
      <c r="L55" t="s">
        <v>24</v>
      </c>
      <c r="M55" t="s">
        <v>24</v>
      </c>
      <c r="N55" s="1">
        <v>0.41666666666666669</v>
      </c>
      <c r="O55" s="1">
        <v>0.43055555555555558</v>
      </c>
      <c r="P55" s="3">
        <v>4000115996</v>
      </c>
      <c r="Q55">
        <v>10049663</v>
      </c>
      <c r="R55" t="s">
        <v>38</v>
      </c>
      <c r="S55" t="s">
        <v>50</v>
      </c>
    </row>
    <row r="56" spans="3:19" x14ac:dyDescent="0.25">
      <c r="C56">
        <v>3118381</v>
      </c>
      <c r="D56" s="3" t="s">
        <v>28</v>
      </c>
      <c r="E56" s="3">
        <v>1</v>
      </c>
      <c r="F56" s="3" t="s">
        <v>34</v>
      </c>
      <c r="G56" s="3" t="s">
        <v>23</v>
      </c>
      <c r="H56" s="3">
        <v>60</v>
      </c>
      <c r="I56" s="3" t="s">
        <v>19</v>
      </c>
      <c r="J56" s="3">
        <f t="shared" si="0"/>
        <v>1</v>
      </c>
      <c r="K56" s="3" t="s">
        <v>20</v>
      </c>
      <c r="L56" t="s">
        <v>17</v>
      </c>
      <c r="M56" t="s">
        <v>17</v>
      </c>
      <c r="N56" s="1">
        <v>0.41666666666666669</v>
      </c>
      <c r="O56" s="1">
        <v>0.45833333333333331</v>
      </c>
      <c r="P56" s="3">
        <v>4000111405</v>
      </c>
      <c r="Q56">
        <v>10051759</v>
      </c>
      <c r="R56" t="s">
        <v>58</v>
      </c>
      <c r="S56" t="s">
        <v>32</v>
      </c>
    </row>
    <row r="57" spans="3:19" x14ac:dyDescent="0.25">
      <c r="C57">
        <v>3122775</v>
      </c>
      <c r="D57" s="3" t="s">
        <v>28</v>
      </c>
      <c r="E57" s="3">
        <v>2</v>
      </c>
      <c r="F57" s="3" t="s">
        <v>34</v>
      </c>
      <c r="G57" s="3" t="s">
        <v>23</v>
      </c>
      <c r="H57" s="3">
        <v>30</v>
      </c>
      <c r="I57" s="3" t="s">
        <v>19</v>
      </c>
      <c r="J57" s="3">
        <f t="shared" si="0"/>
        <v>0.5</v>
      </c>
      <c r="K57" s="3" t="s">
        <v>20</v>
      </c>
      <c r="L57" t="s">
        <v>17</v>
      </c>
      <c r="M57" t="s">
        <v>17</v>
      </c>
      <c r="N57" s="1">
        <v>0.33333333333333331</v>
      </c>
      <c r="O57" s="1">
        <v>0.35416666666666669</v>
      </c>
      <c r="P57" s="3">
        <v>4000113377</v>
      </c>
      <c r="Q57">
        <v>10051548</v>
      </c>
      <c r="R57" t="s">
        <v>57</v>
      </c>
      <c r="S57" t="s">
        <v>45</v>
      </c>
    </row>
    <row r="58" spans="3:19" x14ac:dyDescent="0.25">
      <c r="C58">
        <v>3112704</v>
      </c>
      <c r="D58" s="3" t="s">
        <v>22</v>
      </c>
      <c r="E58" s="3">
        <v>2</v>
      </c>
      <c r="F58" s="3" t="s">
        <v>34</v>
      </c>
      <c r="G58" s="3" t="s">
        <v>23</v>
      </c>
      <c r="H58" s="3">
        <v>60</v>
      </c>
      <c r="I58" s="3" t="s">
        <v>19</v>
      </c>
      <c r="J58" s="3">
        <f t="shared" si="0"/>
        <v>1</v>
      </c>
      <c r="K58" s="3" t="s">
        <v>20</v>
      </c>
      <c r="L58" t="s">
        <v>55</v>
      </c>
      <c r="M58" t="s">
        <v>55</v>
      </c>
      <c r="N58" s="1">
        <v>0.6875</v>
      </c>
      <c r="O58" s="1">
        <v>0.72916666666666663</v>
      </c>
      <c r="P58" s="3">
        <v>4000108532</v>
      </c>
      <c r="Q58">
        <v>10049372</v>
      </c>
      <c r="R58" t="s">
        <v>36</v>
      </c>
      <c r="S58" t="s">
        <v>64</v>
      </c>
    </row>
    <row r="59" spans="3:19" x14ac:dyDescent="0.25">
      <c r="C59">
        <v>3122783</v>
      </c>
      <c r="D59" s="3" t="s">
        <v>22</v>
      </c>
      <c r="E59" s="3">
        <v>2</v>
      </c>
      <c r="F59" s="3" t="s">
        <v>34</v>
      </c>
      <c r="G59" s="3" t="s">
        <v>23</v>
      </c>
      <c r="H59" s="3">
        <v>30</v>
      </c>
      <c r="I59" s="3" t="s">
        <v>19</v>
      </c>
      <c r="J59" s="3">
        <f t="shared" si="0"/>
        <v>0.5</v>
      </c>
      <c r="K59" s="3" t="s">
        <v>20</v>
      </c>
      <c r="L59" t="s">
        <v>55</v>
      </c>
      <c r="M59" t="s">
        <v>55</v>
      </c>
      <c r="N59" s="1">
        <v>0.66666666666666663</v>
      </c>
      <c r="O59" s="1">
        <v>0.6875</v>
      </c>
      <c r="P59" s="3">
        <v>4000113385</v>
      </c>
      <c r="Q59">
        <v>10049372</v>
      </c>
      <c r="R59" t="s">
        <v>36</v>
      </c>
      <c r="S59" t="s">
        <v>65</v>
      </c>
    </row>
    <row r="60" spans="3:19" x14ac:dyDescent="0.25">
      <c r="C60">
        <v>3123122</v>
      </c>
      <c r="D60" s="3" t="s">
        <v>22</v>
      </c>
      <c r="E60" s="3">
        <v>2</v>
      </c>
      <c r="F60" s="3" t="s">
        <v>34</v>
      </c>
      <c r="G60" s="3" t="s">
        <v>23</v>
      </c>
      <c r="H60" s="3">
        <v>30</v>
      </c>
      <c r="I60" s="3" t="s">
        <v>19</v>
      </c>
      <c r="J60" s="3">
        <f t="shared" si="0"/>
        <v>0.5</v>
      </c>
      <c r="K60" s="3" t="s">
        <v>20</v>
      </c>
      <c r="L60" t="s">
        <v>55</v>
      </c>
      <c r="M60" t="s">
        <v>55</v>
      </c>
      <c r="N60" s="1">
        <v>0.625</v>
      </c>
      <c r="O60" s="1">
        <v>0.64583333333333337</v>
      </c>
      <c r="P60" s="3">
        <v>4000113422</v>
      </c>
      <c r="Q60">
        <v>10051704</v>
      </c>
      <c r="R60" t="s">
        <v>58</v>
      </c>
      <c r="S60" t="s">
        <v>66</v>
      </c>
    </row>
    <row r="61" spans="3:19" x14ac:dyDescent="0.25">
      <c r="C61">
        <v>3123148</v>
      </c>
      <c r="D61" s="3" t="s">
        <v>22</v>
      </c>
      <c r="E61" s="3">
        <v>1</v>
      </c>
      <c r="F61" s="3" t="s">
        <v>34</v>
      </c>
      <c r="G61" s="3" t="s">
        <v>23</v>
      </c>
      <c r="H61" s="3">
        <v>30</v>
      </c>
      <c r="I61" s="3" t="s">
        <v>19</v>
      </c>
      <c r="J61" s="3">
        <f t="shared" si="0"/>
        <v>0.5</v>
      </c>
      <c r="K61" s="3" t="s">
        <v>20</v>
      </c>
      <c r="L61" t="s">
        <v>55</v>
      </c>
      <c r="M61" t="s">
        <v>55</v>
      </c>
      <c r="N61" s="1">
        <v>0.64583333333333337</v>
      </c>
      <c r="O61" s="1">
        <v>0.65972222222222221</v>
      </c>
      <c r="P61" s="3">
        <v>4000113444</v>
      </c>
      <c r="Q61">
        <v>10051778</v>
      </c>
      <c r="R61" t="s">
        <v>36</v>
      </c>
      <c r="S61" t="s">
        <v>43</v>
      </c>
    </row>
    <row r="62" spans="3:19" x14ac:dyDescent="0.25">
      <c r="C62">
        <v>3134108</v>
      </c>
      <c r="D62" s="3" t="s">
        <v>22</v>
      </c>
      <c r="E62" s="3">
        <v>2</v>
      </c>
      <c r="F62" s="3" t="s">
        <v>34</v>
      </c>
      <c r="G62" s="3" t="s">
        <v>23</v>
      </c>
      <c r="H62" s="3">
        <v>0</v>
      </c>
      <c r="I62" s="3" t="s">
        <v>19</v>
      </c>
      <c r="J62" s="3">
        <f t="shared" si="0"/>
        <v>0</v>
      </c>
      <c r="K62" s="3" t="s">
        <v>20</v>
      </c>
      <c r="L62" t="s">
        <v>55</v>
      </c>
      <c r="M62" t="s">
        <v>55</v>
      </c>
      <c r="N62" s="1">
        <v>0.5625</v>
      </c>
      <c r="O62" s="1">
        <v>0.58333333333333337</v>
      </c>
      <c r="P62" s="3">
        <v>4000114867</v>
      </c>
      <c r="Q62">
        <v>10051230</v>
      </c>
      <c r="R62" t="s">
        <v>31</v>
      </c>
      <c r="S62" t="s">
        <v>46</v>
      </c>
    </row>
    <row r="63" spans="3:19" x14ac:dyDescent="0.25">
      <c r="C63">
        <v>3134111</v>
      </c>
      <c r="D63" s="3" t="s">
        <v>22</v>
      </c>
      <c r="E63" s="3">
        <v>1</v>
      </c>
      <c r="F63" s="3" t="s">
        <v>34</v>
      </c>
      <c r="G63" s="3" t="s">
        <v>23</v>
      </c>
      <c r="H63" s="3">
        <v>30</v>
      </c>
      <c r="I63" s="3" t="s">
        <v>19</v>
      </c>
      <c r="J63" s="3">
        <f t="shared" si="0"/>
        <v>0.5</v>
      </c>
      <c r="K63" s="3" t="s">
        <v>20</v>
      </c>
      <c r="L63" t="s">
        <v>55</v>
      </c>
      <c r="M63" t="s">
        <v>55</v>
      </c>
      <c r="N63" s="1">
        <v>0.58333333333333337</v>
      </c>
      <c r="O63" s="1">
        <v>0.60416666666666663</v>
      </c>
      <c r="P63" s="3">
        <v>4000114870</v>
      </c>
      <c r="Q63">
        <v>10049589</v>
      </c>
      <c r="R63" t="s">
        <v>31</v>
      </c>
      <c r="S63" t="s">
        <v>32</v>
      </c>
    </row>
    <row r="64" spans="3:19" x14ac:dyDescent="0.25">
      <c r="C64">
        <v>3134112</v>
      </c>
      <c r="D64" s="3" t="s">
        <v>22</v>
      </c>
      <c r="E64" s="3">
        <v>1</v>
      </c>
      <c r="F64" s="3" t="s">
        <v>34</v>
      </c>
      <c r="G64" s="3" t="s">
        <v>23</v>
      </c>
      <c r="H64" s="3">
        <v>20</v>
      </c>
      <c r="I64" s="3" t="s">
        <v>19</v>
      </c>
      <c r="J64" s="3">
        <f t="shared" si="0"/>
        <v>0.33333333333333331</v>
      </c>
      <c r="K64" s="3" t="s">
        <v>20</v>
      </c>
      <c r="L64" t="s">
        <v>55</v>
      </c>
      <c r="M64" t="s">
        <v>55</v>
      </c>
      <c r="N64" s="1">
        <v>0.60416666666666663</v>
      </c>
      <c r="O64" s="1">
        <v>0.61805555555555558</v>
      </c>
      <c r="P64" s="3">
        <v>4000114871</v>
      </c>
      <c r="Q64">
        <v>10049598</v>
      </c>
      <c r="R64" t="s">
        <v>31</v>
      </c>
      <c r="S64" t="s">
        <v>65</v>
      </c>
    </row>
    <row r="65" spans="3:19" x14ac:dyDescent="0.25">
      <c r="C65">
        <v>3132485</v>
      </c>
      <c r="D65" s="3" t="s">
        <v>28</v>
      </c>
      <c r="E65" s="3">
        <v>2</v>
      </c>
      <c r="F65" s="3" t="s">
        <v>34</v>
      </c>
      <c r="G65" s="3" t="s">
        <v>23</v>
      </c>
      <c r="H65" s="3">
        <v>20</v>
      </c>
      <c r="I65" s="3" t="s">
        <v>19</v>
      </c>
      <c r="J65" s="3">
        <f t="shared" si="0"/>
        <v>0.33333333333333331</v>
      </c>
      <c r="K65" s="3" t="s">
        <v>20</v>
      </c>
      <c r="L65" t="s">
        <v>22</v>
      </c>
      <c r="M65" t="s">
        <v>22</v>
      </c>
      <c r="N65" s="1">
        <v>0.33333333333333331</v>
      </c>
      <c r="O65" s="1">
        <v>0.34722222222222227</v>
      </c>
      <c r="P65" s="3">
        <v>4000114043</v>
      </c>
      <c r="Q65">
        <v>10051396</v>
      </c>
      <c r="R65" t="s">
        <v>36</v>
      </c>
      <c r="S65" t="s">
        <v>32</v>
      </c>
    </row>
    <row r="66" spans="3:19" x14ac:dyDescent="0.25">
      <c r="C66">
        <v>3112706</v>
      </c>
      <c r="D66" s="3" t="s">
        <v>28</v>
      </c>
      <c r="E66" s="3">
        <v>2</v>
      </c>
      <c r="F66" s="3" t="s">
        <v>34</v>
      </c>
      <c r="G66" s="3" t="s">
        <v>23</v>
      </c>
      <c r="H66" s="3">
        <v>120</v>
      </c>
      <c r="I66" s="3" t="s">
        <v>19</v>
      </c>
      <c r="J66" s="3">
        <f t="shared" si="0"/>
        <v>2</v>
      </c>
      <c r="K66" s="3" t="s">
        <v>20</v>
      </c>
      <c r="L66" t="s">
        <v>67</v>
      </c>
      <c r="M66" t="s">
        <v>67</v>
      </c>
      <c r="N66" s="1">
        <v>0.33333333333333331</v>
      </c>
      <c r="O66" s="1">
        <v>0.41666666666666669</v>
      </c>
      <c r="P66" s="3">
        <v>4000108534</v>
      </c>
      <c r="Q66">
        <v>10049361</v>
      </c>
      <c r="R66" t="s">
        <v>36</v>
      </c>
      <c r="S66" t="s">
        <v>68</v>
      </c>
    </row>
    <row r="67" spans="3:19" x14ac:dyDescent="0.25">
      <c r="C67">
        <v>3114091</v>
      </c>
      <c r="D67" s="3" t="s">
        <v>28</v>
      </c>
      <c r="E67" s="3">
        <v>2</v>
      </c>
      <c r="F67" s="3" t="s">
        <v>34</v>
      </c>
      <c r="G67" s="3" t="s">
        <v>23</v>
      </c>
      <c r="H67" s="3">
        <v>120</v>
      </c>
      <c r="I67" s="3" t="s">
        <v>19</v>
      </c>
      <c r="J67" s="3">
        <f t="shared" si="0"/>
        <v>2</v>
      </c>
      <c r="K67" s="3" t="s">
        <v>20</v>
      </c>
      <c r="L67" t="s">
        <v>67</v>
      </c>
      <c r="M67" t="s">
        <v>67</v>
      </c>
      <c r="N67" s="1">
        <v>0.54166666666666663</v>
      </c>
      <c r="O67" s="1">
        <v>0.625</v>
      </c>
      <c r="P67" s="3">
        <v>4000109519</v>
      </c>
      <c r="Q67">
        <v>10051443</v>
      </c>
      <c r="R67" t="s">
        <v>36</v>
      </c>
      <c r="S67" t="s">
        <v>69</v>
      </c>
    </row>
    <row r="68" spans="3:19" x14ac:dyDescent="0.25">
      <c r="C68">
        <v>3118388</v>
      </c>
      <c r="D68" s="3" t="s">
        <v>28</v>
      </c>
      <c r="E68" s="3">
        <v>2</v>
      </c>
      <c r="F68" s="3" t="s">
        <v>34</v>
      </c>
      <c r="G68" s="3" t="s">
        <v>23</v>
      </c>
      <c r="H68" s="3">
        <v>120</v>
      </c>
      <c r="I68" s="3" t="s">
        <v>19</v>
      </c>
      <c r="J68" s="3">
        <f t="shared" si="0"/>
        <v>2</v>
      </c>
      <c r="K68" s="3" t="s">
        <v>20</v>
      </c>
      <c r="L68" t="s">
        <v>67</v>
      </c>
      <c r="M68" t="s">
        <v>67</v>
      </c>
      <c r="N68" s="1">
        <v>0.41666666666666669</v>
      </c>
      <c r="O68" s="1">
        <v>0.5</v>
      </c>
      <c r="P68" s="3">
        <v>4000111412</v>
      </c>
      <c r="Q68">
        <v>10051778</v>
      </c>
      <c r="R68" t="s">
        <v>36</v>
      </c>
      <c r="S68" t="s">
        <v>70</v>
      </c>
    </row>
    <row r="69" spans="3:19" x14ac:dyDescent="0.25">
      <c r="C69">
        <v>3134132</v>
      </c>
      <c r="D69" s="3" t="s">
        <v>28</v>
      </c>
      <c r="E69" s="3">
        <v>2</v>
      </c>
      <c r="F69" s="3" t="s">
        <v>34</v>
      </c>
      <c r="G69" s="3" t="s">
        <v>23</v>
      </c>
      <c r="H69" s="3">
        <v>60</v>
      </c>
      <c r="I69" s="3" t="s">
        <v>19</v>
      </c>
      <c r="J69" s="3">
        <f t="shared" si="0"/>
        <v>1</v>
      </c>
      <c r="K69" s="3" t="s">
        <v>20</v>
      </c>
      <c r="L69" t="s">
        <v>67</v>
      </c>
      <c r="M69" t="s">
        <v>67</v>
      </c>
      <c r="N69" s="1">
        <v>0.33333333333333331</v>
      </c>
      <c r="O69" s="1">
        <v>0.375</v>
      </c>
      <c r="P69" s="3">
        <v>4000114888</v>
      </c>
      <c r="Q69">
        <v>10051548</v>
      </c>
      <c r="R69" t="s">
        <v>57</v>
      </c>
      <c r="S69" t="s">
        <v>32</v>
      </c>
    </row>
    <row r="70" spans="3:19" x14ac:dyDescent="0.25">
      <c r="C70">
        <v>3134133</v>
      </c>
      <c r="D70" s="3" t="s">
        <v>28</v>
      </c>
      <c r="E70" s="3">
        <v>2</v>
      </c>
      <c r="F70" s="3" t="s">
        <v>34</v>
      </c>
      <c r="G70" s="3" t="s">
        <v>23</v>
      </c>
      <c r="H70" s="3">
        <v>30</v>
      </c>
      <c r="I70" s="3" t="s">
        <v>19</v>
      </c>
      <c r="J70" s="3">
        <f t="shared" ref="J70:J133" si="1">H70/60</f>
        <v>0.5</v>
      </c>
      <c r="K70" s="3" t="s">
        <v>20</v>
      </c>
      <c r="L70" t="s">
        <v>67</v>
      </c>
      <c r="M70" t="s">
        <v>67</v>
      </c>
      <c r="N70" s="1">
        <v>0.39583333333333331</v>
      </c>
      <c r="O70" s="1">
        <v>0.41666666666666669</v>
      </c>
      <c r="P70" s="3">
        <v>4000114889</v>
      </c>
      <c r="Q70">
        <v>10051548</v>
      </c>
      <c r="R70" t="s">
        <v>57</v>
      </c>
      <c r="S70" t="s">
        <v>32</v>
      </c>
    </row>
    <row r="71" spans="3:19" x14ac:dyDescent="0.25">
      <c r="C71">
        <v>3134138</v>
      </c>
      <c r="D71" s="3" t="s">
        <v>28</v>
      </c>
      <c r="E71" s="3">
        <v>1</v>
      </c>
      <c r="F71" s="3" t="s">
        <v>34</v>
      </c>
      <c r="G71" s="3" t="s">
        <v>23</v>
      </c>
      <c r="H71" s="3">
        <v>30</v>
      </c>
      <c r="I71" s="3" t="s">
        <v>19</v>
      </c>
      <c r="J71" s="3">
        <f t="shared" si="1"/>
        <v>0.5</v>
      </c>
      <c r="K71" s="3" t="s">
        <v>20</v>
      </c>
      <c r="L71" t="s">
        <v>67</v>
      </c>
      <c r="M71" t="s">
        <v>67</v>
      </c>
      <c r="N71" s="1">
        <v>0.375</v>
      </c>
      <c r="O71" s="1">
        <v>0.39583333333333331</v>
      </c>
      <c r="P71" s="3">
        <v>4000114891</v>
      </c>
      <c r="Q71">
        <v>10049465</v>
      </c>
      <c r="R71" t="s">
        <v>57</v>
      </c>
      <c r="S71" t="s">
        <v>32</v>
      </c>
    </row>
    <row r="72" spans="3:19" x14ac:dyDescent="0.25">
      <c r="C72">
        <v>3134255</v>
      </c>
      <c r="D72" s="3" t="s">
        <v>28</v>
      </c>
      <c r="E72" s="3">
        <v>2</v>
      </c>
      <c r="F72" s="3" t="s">
        <v>34</v>
      </c>
      <c r="G72" s="3" t="s">
        <v>23</v>
      </c>
      <c r="H72" s="3">
        <v>60</v>
      </c>
      <c r="I72" s="3" t="s">
        <v>19</v>
      </c>
      <c r="J72" s="3">
        <f t="shared" si="1"/>
        <v>1</v>
      </c>
      <c r="K72" s="3" t="s">
        <v>20</v>
      </c>
      <c r="L72" t="s">
        <v>67</v>
      </c>
      <c r="M72" t="s">
        <v>67</v>
      </c>
      <c r="N72" s="1">
        <v>0.41666666666666669</v>
      </c>
      <c r="O72" s="1">
        <v>0.45833333333333331</v>
      </c>
      <c r="P72" s="3">
        <v>4000115001</v>
      </c>
      <c r="Q72">
        <v>10049372</v>
      </c>
      <c r="R72" t="s">
        <v>36</v>
      </c>
      <c r="S72" t="s">
        <v>71</v>
      </c>
    </row>
    <row r="73" spans="3:19" x14ac:dyDescent="0.25">
      <c r="C73">
        <v>3134263</v>
      </c>
      <c r="D73" s="3" t="s">
        <v>28</v>
      </c>
      <c r="E73" s="3">
        <v>2</v>
      </c>
      <c r="F73" s="3" t="s">
        <v>34</v>
      </c>
      <c r="G73" s="3" t="s">
        <v>23</v>
      </c>
      <c r="H73" s="3">
        <v>30</v>
      </c>
      <c r="I73" s="3" t="s">
        <v>19</v>
      </c>
      <c r="J73" s="3">
        <f t="shared" si="1"/>
        <v>0.5</v>
      </c>
      <c r="K73" s="3" t="s">
        <v>20</v>
      </c>
      <c r="L73" t="s">
        <v>67</v>
      </c>
      <c r="M73" t="s">
        <v>67</v>
      </c>
      <c r="N73" s="1">
        <v>0.375</v>
      </c>
      <c r="O73" s="1">
        <v>0.39583333333333331</v>
      </c>
      <c r="P73" s="3">
        <v>4000115009</v>
      </c>
      <c r="Q73">
        <v>10049578</v>
      </c>
      <c r="R73" t="s">
        <v>58</v>
      </c>
      <c r="S73" t="s">
        <v>72</v>
      </c>
    </row>
    <row r="74" spans="3:19" x14ac:dyDescent="0.25">
      <c r="C74">
        <v>3118399</v>
      </c>
      <c r="D74" s="3" t="s">
        <v>73</v>
      </c>
      <c r="E74" s="3">
        <v>2</v>
      </c>
      <c r="F74" s="3" t="s">
        <v>18</v>
      </c>
      <c r="G74" s="3" t="s">
        <v>74</v>
      </c>
      <c r="H74" s="3">
        <v>60</v>
      </c>
      <c r="I74" s="3" t="s">
        <v>19</v>
      </c>
      <c r="J74" s="3">
        <f t="shared" si="1"/>
        <v>1</v>
      </c>
      <c r="K74" s="3" t="s">
        <v>20</v>
      </c>
      <c r="L74" t="s">
        <v>73</v>
      </c>
      <c r="M74" t="s">
        <v>73</v>
      </c>
      <c r="N74" s="1">
        <v>0.29166666666666669</v>
      </c>
      <c r="O74" s="1">
        <v>0.33333333333333331</v>
      </c>
      <c r="P74" s="3">
        <v>4000111423</v>
      </c>
      <c r="Q74">
        <v>10051134</v>
      </c>
      <c r="R74" t="s">
        <v>75</v>
      </c>
      <c r="S74" t="s">
        <v>76</v>
      </c>
    </row>
    <row r="75" spans="3:19" x14ac:dyDescent="0.25">
      <c r="C75">
        <v>3118399</v>
      </c>
      <c r="D75" s="3" t="s">
        <v>33</v>
      </c>
      <c r="E75" s="3">
        <v>3</v>
      </c>
      <c r="F75" s="3" t="s">
        <v>18</v>
      </c>
      <c r="G75" s="3" t="s">
        <v>74</v>
      </c>
      <c r="H75" s="3">
        <v>30</v>
      </c>
      <c r="I75" s="3" t="s">
        <v>19</v>
      </c>
      <c r="J75" s="3">
        <f t="shared" si="1"/>
        <v>0.5</v>
      </c>
      <c r="K75" s="3" t="s">
        <v>20</v>
      </c>
      <c r="L75" t="s">
        <v>73</v>
      </c>
      <c r="M75" t="s">
        <v>73</v>
      </c>
      <c r="N75" s="1">
        <v>0.33333333333333331</v>
      </c>
      <c r="O75" s="1">
        <v>0.35416666666666669</v>
      </c>
      <c r="P75" s="3">
        <v>4000111423</v>
      </c>
      <c r="Q75">
        <v>10051134</v>
      </c>
      <c r="R75" t="s">
        <v>75</v>
      </c>
      <c r="S75" t="s">
        <v>77</v>
      </c>
    </row>
    <row r="76" spans="3:19" x14ac:dyDescent="0.25">
      <c r="C76">
        <v>3122033</v>
      </c>
      <c r="D76" s="3" t="s">
        <v>33</v>
      </c>
      <c r="E76" s="3">
        <v>1</v>
      </c>
      <c r="F76" s="3" t="s">
        <v>18</v>
      </c>
      <c r="G76" s="3" t="s">
        <v>74</v>
      </c>
      <c r="H76" s="3">
        <v>25</v>
      </c>
      <c r="I76" s="3" t="s">
        <v>19</v>
      </c>
      <c r="J76" s="3">
        <f t="shared" si="1"/>
        <v>0.41666666666666669</v>
      </c>
      <c r="K76" s="3" t="s">
        <v>20</v>
      </c>
      <c r="L76" t="s">
        <v>51</v>
      </c>
      <c r="M76" t="s">
        <v>51</v>
      </c>
      <c r="N76" s="1">
        <v>0.4236111111111111</v>
      </c>
      <c r="O76" s="1">
        <v>0.44097222222222227</v>
      </c>
      <c r="P76" s="3">
        <v>4000112729</v>
      </c>
      <c r="Q76">
        <v>10051199</v>
      </c>
      <c r="R76" t="s">
        <v>75</v>
      </c>
      <c r="S76" t="s">
        <v>78</v>
      </c>
    </row>
    <row r="77" spans="3:19" x14ac:dyDescent="0.25">
      <c r="C77">
        <v>3122056</v>
      </c>
      <c r="D77" s="3" t="s">
        <v>33</v>
      </c>
      <c r="E77" s="3">
        <v>1</v>
      </c>
      <c r="F77" s="3" t="s">
        <v>18</v>
      </c>
      <c r="G77" s="3" t="s">
        <v>74</v>
      </c>
      <c r="H77" s="3">
        <v>10</v>
      </c>
      <c r="I77" s="3" t="s">
        <v>19</v>
      </c>
      <c r="J77" s="3">
        <f t="shared" si="1"/>
        <v>0.16666666666666666</v>
      </c>
      <c r="K77" s="3" t="s">
        <v>20</v>
      </c>
      <c r="L77" t="s">
        <v>51</v>
      </c>
      <c r="M77" t="s">
        <v>51</v>
      </c>
      <c r="N77" s="1">
        <v>0.38194444444444442</v>
      </c>
      <c r="O77" s="1">
        <v>0.3888888888888889</v>
      </c>
      <c r="P77" s="3">
        <v>4000112752</v>
      </c>
      <c r="Q77">
        <v>10070536</v>
      </c>
      <c r="R77" t="s">
        <v>75</v>
      </c>
      <c r="S77" t="s">
        <v>79</v>
      </c>
    </row>
    <row r="78" spans="3:19" x14ac:dyDescent="0.25">
      <c r="C78">
        <v>3122059</v>
      </c>
      <c r="D78" s="3" t="s">
        <v>33</v>
      </c>
      <c r="E78" s="3">
        <v>1</v>
      </c>
      <c r="F78" s="3" t="s">
        <v>18</v>
      </c>
      <c r="G78" s="3" t="s">
        <v>74</v>
      </c>
      <c r="H78" s="3">
        <v>15</v>
      </c>
      <c r="I78" s="3" t="s">
        <v>19</v>
      </c>
      <c r="J78" s="3">
        <f t="shared" si="1"/>
        <v>0.25</v>
      </c>
      <c r="K78" s="3" t="s">
        <v>20</v>
      </c>
      <c r="L78" t="s">
        <v>51</v>
      </c>
      <c r="M78" t="s">
        <v>51</v>
      </c>
      <c r="N78" s="1">
        <v>0.39930555555555558</v>
      </c>
      <c r="O78" s="1">
        <v>0.40625</v>
      </c>
      <c r="P78" s="3">
        <v>4000112755</v>
      </c>
      <c r="Q78">
        <v>10051201</v>
      </c>
      <c r="R78" t="s">
        <v>75</v>
      </c>
      <c r="S78" t="s">
        <v>80</v>
      </c>
    </row>
    <row r="79" spans="3:19" x14ac:dyDescent="0.25">
      <c r="C79">
        <v>3122060</v>
      </c>
      <c r="D79" s="3" t="s">
        <v>33</v>
      </c>
      <c r="E79" s="3">
        <v>1</v>
      </c>
      <c r="F79" s="3" t="s">
        <v>18</v>
      </c>
      <c r="G79" s="3" t="s">
        <v>74</v>
      </c>
      <c r="H79" s="3">
        <v>10</v>
      </c>
      <c r="I79" s="3" t="s">
        <v>19</v>
      </c>
      <c r="J79" s="3">
        <f t="shared" si="1"/>
        <v>0.16666666666666666</v>
      </c>
      <c r="K79" s="3" t="s">
        <v>20</v>
      </c>
      <c r="L79" t="s">
        <v>51</v>
      </c>
      <c r="M79" t="s">
        <v>51</v>
      </c>
      <c r="N79" s="1">
        <v>0.375</v>
      </c>
      <c r="O79" s="1">
        <v>0.38194444444444442</v>
      </c>
      <c r="P79" s="3">
        <v>4000112756</v>
      </c>
      <c r="Q79">
        <v>10070535</v>
      </c>
      <c r="R79" t="s">
        <v>75</v>
      </c>
      <c r="S79" t="s">
        <v>79</v>
      </c>
    </row>
    <row r="80" spans="3:19" x14ac:dyDescent="0.25">
      <c r="C80">
        <v>3122065</v>
      </c>
      <c r="D80" s="3" t="s">
        <v>33</v>
      </c>
      <c r="E80" s="3">
        <v>1</v>
      </c>
      <c r="F80" s="3" t="s">
        <v>18</v>
      </c>
      <c r="G80" s="3" t="s">
        <v>74</v>
      </c>
      <c r="H80" s="3">
        <v>30</v>
      </c>
      <c r="I80" s="3" t="s">
        <v>19</v>
      </c>
      <c r="J80" s="3">
        <f t="shared" si="1"/>
        <v>0.5</v>
      </c>
      <c r="K80" s="3" t="s">
        <v>20</v>
      </c>
      <c r="L80" t="s">
        <v>51</v>
      </c>
      <c r="M80" t="s">
        <v>51</v>
      </c>
      <c r="N80" s="1">
        <v>0.39583333333333331</v>
      </c>
      <c r="O80" s="1">
        <v>0.41666666666666669</v>
      </c>
      <c r="P80" s="3">
        <v>4000112761</v>
      </c>
      <c r="Q80">
        <v>10049878</v>
      </c>
      <c r="R80" t="s">
        <v>21</v>
      </c>
      <c r="S80" t="s">
        <v>81</v>
      </c>
    </row>
    <row r="81" spans="3:19" x14ac:dyDescent="0.25">
      <c r="C81">
        <v>3122066</v>
      </c>
      <c r="D81" s="3" t="s">
        <v>33</v>
      </c>
      <c r="E81" s="3">
        <v>1</v>
      </c>
      <c r="F81" s="3" t="s">
        <v>18</v>
      </c>
      <c r="G81" s="3" t="s">
        <v>74</v>
      </c>
      <c r="H81" s="3">
        <v>30</v>
      </c>
      <c r="I81" s="3" t="s">
        <v>19</v>
      </c>
      <c r="J81" s="3">
        <f t="shared" si="1"/>
        <v>0.5</v>
      </c>
      <c r="K81" s="3" t="s">
        <v>20</v>
      </c>
      <c r="L81" t="s">
        <v>51</v>
      </c>
      <c r="M81" t="s">
        <v>51</v>
      </c>
      <c r="N81" s="1">
        <v>0.39583333333333331</v>
      </c>
      <c r="O81" s="1">
        <v>0.41666666666666669</v>
      </c>
      <c r="P81" s="3">
        <v>4000112762</v>
      </c>
      <c r="Q81">
        <v>10049876</v>
      </c>
      <c r="R81" t="s">
        <v>21</v>
      </c>
      <c r="S81" t="s">
        <v>79</v>
      </c>
    </row>
    <row r="82" spans="3:19" x14ac:dyDescent="0.25">
      <c r="C82">
        <v>3122067</v>
      </c>
      <c r="D82" s="3" t="s">
        <v>33</v>
      </c>
      <c r="E82" s="3">
        <v>1</v>
      </c>
      <c r="F82" s="3" t="s">
        <v>18</v>
      </c>
      <c r="G82" s="3" t="s">
        <v>74</v>
      </c>
      <c r="H82" s="3">
        <v>30</v>
      </c>
      <c r="I82" s="3" t="s">
        <v>19</v>
      </c>
      <c r="J82" s="3">
        <f t="shared" si="1"/>
        <v>0.5</v>
      </c>
      <c r="K82" s="3" t="s">
        <v>20</v>
      </c>
      <c r="L82" t="s">
        <v>51</v>
      </c>
      <c r="M82" t="s">
        <v>51</v>
      </c>
      <c r="N82" s="1">
        <v>0.39583333333333331</v>
      </c>
      <c r="O82" s="1">
        <v>0.41666666666666669</v>
      </c>
      <c r="P82" s="3">
        <v>4000112763</v>
      </c>
      <c r="Q82">
        <v>10049877</v>
      </c>
      <c r="R82" t="s">
        <v>21</v>
      </c>
      <c r="S82" t="s">
        <v>79</v>
      </c>
    </row>
    <row r="83" spans="3:19" x14ac:dyDescent="0.25">
      <c r="C83">
        <v>3122096</v>
      </c>
      <c r="D83" s="3" t="s">
        <v>33</v>
      </c>
      <c r="E83" s="3">
        <v>1</v>
      </c>
      <c r="F83" s="3" t="s">
        <v>18</v>
      </c>
      <c r="G83" s="3" t="s">
        <v>74</v>
      </c>
      <c r="H83" s="3">
        <v>30</v>
      </c>
      <c r="I83" s="3" t="s">
        <v>19</v>
      </c>
      <c r="J83" s="3">
        <f t="shared" si="1"/>
        <v>0.5</v>
      </c>
      <c r="K83" s="3" t="s">
        <v>20</v>
      </c>
      <c r="L83" t="s">
        <v>51</v>
      </c>
      <c r="M83" t="s">
        <v>51</v>
      </c>
      <c r="N83" s="1">
        <v>0.39583333333333331</v>
      </c>
      <c r="O83" s="1">
        <v>0.41666666666666669</v>
      </c>
      <c r="P83" s="3">
        <v>4000112792</v>
      </c>
      <c r="Q83">
        <v>10051077</v>
      </c>
      <c r="R83" t="s">
        <v>21</v>
      </c>
      <c r="S83" t="s">
        <v>79</v>
      </c>
    </row>
    <row r="84" spans="3:19" x14ac:dyDescent="0.25">
      <c r="C84">
        <v>3122097</v>
      </c>
      <c r="D84" s="3" t="s">
        <v>33</v>
      </c>
      <c r="E84" s="3">
        <v>1</v>
      </c>
      <c r="F84" s="3" t="s">
        <v>18</v>
      </c>
      <c r="G84" s="3" t="s">
        <v>74</v>
      </c>
      <c r="H84" s="3">
        <v>30</v>
      </c>
      <c r="I84" s="3" t="s">
        <v>19</v>
      </c>
      <c r="J84" s="3">
        <f t="shared" si="1"/>
        <v>0.5</v>
      </c>
      <c r="K84" s="3" t="s">
        <v>20</v>
      </c>
      <c r="L84" t="s">
        <v>51</v>
      </c>
      <c r="M84" t="s">
        <v>51</v>
      </c>
      <c r="N84" s="1">
        <v>0.39583333333333331</v>
      </c>
      <c r="O84" s="1">
        <v>0.41666666666666669</v>
      </c>
      <c r="P84" s="3">
        <v>4000112793</v>
      </c>
      <c r="Q84">
        <v>10051078</v>
      </c>
      <c r="R84" t="s">
        <v>21</v>
      </c>
      <c r="S84" t="s">
        <v>79</v>
      </c>
    </row>
    <row r="85" spans="3:19" x14ac:dyDescent="0.25">
      <c r="C85">
        <v>3122107</v>
      </c>
      <c r="D85" s="3" t="s">
        <v>33</v>
      </c>
      <c r="E85" s="3">
        <v>1</v>
      </c>
      <c r="F85" s="3" t="s">
        <v>18</v>
      </c>
      <c r="G85" s="3" t="s">
        <v>74</v>
      </c>
      <c r="H85" s="3">
        <v>60</v>
      </c>
      <c r="I85" s="3" t="s">
        <v>19</v>
      </c>
      <c r="J85" s="3">
        <f t="shared" si="1"/>
        <v>1</v>
      </c>
      <c r="K85" s="3" t="s">
        <v>20</v>
      </c>
      <c r="L85" t="s">
        <v>51</v>
      </c>
      <c r="M85" t="s">
        <v>51</v>
      </c>
      <c r="N85" s="1">
        <v>0.39583333333333331</v>
      </c>
      <c r="O85" s="1">
        <v>0.41666666666666669</v>
      </c>
      <c r="P85" s="3">
        <v>4000112803</v>
      </c>
      <c r="Q85">
        <v>10049798</v>
      </c>
      <c r="R85" t="s">
        <v>21</v>
      </c>
      <c r="S85" t="s">
        <v>79</v>
      </c>
    </row>
    <row r="86" spans="3:19" x14ac:dyDescent="0.25">
      <c r="C86">
        <v>3028686</v>
      </c>
      <c r="D86" s="3" t="s">
        <v>22</v>
      </c>
      <c r="E86" s="3">
        <v>1</v>
      </c>
      <c r="F86" s="3" t="s">
        <v>18</v>
      </c>
      <c r="G86" s="3" t="s">
        <v>74</v>
      </c>
      <c r="H86" s="3">
        <v>20</v>
      </c>
      <c r="I86" s="3" t="s">
        <v>19</v>
      </c>
      <c r="J86" s="3">
        <f t="shared" si="1"/>
        <v>0.33333333333333331</v>
      </c>
      <c r="K86" s="3" t="s">
        <v>20</v>
      </c>
      <c r="L86" t="s">
        <v>55</v>
      </c>
      <c r="M86" t="s">
        <v>55</v>
      </c>
      <c r="N86" s="1">
        <v>0.85416666666666663</v>
      </c>
      <c r="O86" s="1">
        <v>0.86805555555555547</v>
      </c>
      <c r="P86" s="3">
        <v>4000076868</v>
      </c>
      <c r="Q86">
        <v>10051091</v>
      </c>
      <c r="R86" t="s">
        <v>21</v>
      </c>
      <c r="S86" t="s">
        <v>82</v>
      </c>
    </row>
    <row r="87" spans="3:19" x14ac:dyDescent="0.25">
      <c r="C87">
        <v>3028686</v>
      </c>
      <c r="D87" s="3" t="s">
        <v>22</v>
      </c>
      <c r="E87" s="3">
        <v>2</v>
      </c>
      <c r="F87" s="3" t="s">
        <v>18</v>
      </c>
      <c r="G87" s="3" t="s">
        <v>74</v>
      </c>
      <c r="H87" s="3">
        <v>20</v>
      </c>
      <c r="I87" s="3" t="s">
        <v>19</v>
      </c>
      <c r="J87" s="3">
        <f t="shared" si="1"/>
        <v>0.33333333333333331</v>
      </c>
      <c r="K87" s="3" t="s">
        <v>20</v>
      </c>
      <c r="L87" t="s">
        <v>55</v>
      </c>
      <c r="M87" t="s">
        <v>55</v>
      </c>
      <c r="N87" s="1">
        <v>0.85416666666666663</v>
      </c>
      <c r="O87" s="1">
        <v>0.86805555555555547</v>
      </c>
      <c r="P87" s="3">
        <v>4000076868</v>
      </c>
      <c r="Q87">
        <v>10051091</v>
      </c>
      <c r="R87" t="s">
        <v>21</v>
      </c>
      <c r="S87" t="s">
        <v>82</v>
      </c>
    </row>
    <row r="88" spans="3:19" x14ac:dyDescent="0.25">
      <c r="C88">
        <v>3122791</v>
      </c>
      <c r="D88" s="3" t="s">
        <v>22</v>
      </c>
      <c r="E88" s="3">
        <v>1</v>
      </c>
      <c r="F88" s="3" t="s">
        <v>18</v>
      </c>
      <c r="G88" s="3" t="s">
        <v>74</v>
      </c>
      <c r="H88" s="3">
        <v>20</v>
      </c>
      <c r="I88" s="3" t="s">
        <v>19</v>
      </c>
      <c r="J88" s="3">
        <f t="shared" si="1"/>
        <v>0.33333333333333331</v>
      </c>
      <c r="K88" s="3" t="s">
        <v>20</v>
      </c>
      <c r="L88" t="s">
        <v>55</v>
      </c>
      <c r="M88" t="s">
        <v>55</v>
      </c>
      <c r="N88" s="1">
        <v>0.86111111111111116</v>
      </c>
      <c r="O88" s="1">
        <v>0.875</v>
      </c>
      <c r="P88" s="3">
        <v>4000113393</v>
      </c>
      <c r="Q88">
        <v>10050860</v>
      </c>
      <c r="R88" t="s">
        <v>83</v>
      </c>
      <c r="S88" t="s">
        <v>84</v>
      </c>
    </row>
    <row r="89" spans="3:19" x14ac:dyDescent="0.25">
      <c r="C89">
        <v>3028656</v>
      </c>
      <c r="D89" s="3" t="s">
        <v>22</v>
      </c>
      <c r="E89" s="3">
        <v>2</v>
      </c>
      <c r="F89" s="3" t="s">
        <v>18</v>
      </c>
      <c r="G89" s="3" t="s">
        <v>74</v>
      </c>
      <c r="H89" s="3">
        <v>10</v>
      </c>
      <c r="I89" s="3" t="s">
        <v>19</v>
      </c>
      <c r="J89" s="3">
        <f t="shared" si="1"/>
        <v>0.16666666666666666</v>
      </c>
      <c r="K89" s="3" t="s">
        <v>20</v>
      </c>
      <c r="L89" t="s">
        <v>25</v>
      </c>
      <c r="M89" t="s">
        <v>25</v>
      </c>
      <c r="N89" s="1">
        <v>0.90277777777777779</v>
      </c>
      <c r="O89" s="1">
        <v>0.90972222222222221</v>
      </c>
      <c r="P89" s="3">
        <v>4000076855</v>
      </c>
      <c r="Q89">
        <v>10051715</v>
      </c>
      <c r="R89" t="s">
        <v>21</v>
      </c>
      <c r="S89" t="s">
        <v>85</v>
      </c>
    </row>
    <row r="90" spans="3:19" x14ac:dyDescent="0.25">
      <c r="C90">
        <v>3028682</v>
      </c>
      <c r="D90" s="3" t="s">
        <v>22</v>
      </c>
      <c r="E90" s="3">
        <v>2</v>
      </c>
      <c r="F90" s="3" t="s">
        <v>18</v>
      </c>
      <c r="G90" s="3" t="s">
        <v>74</v>
      </c>
      <c r="H90" s="3">
        <v>10</v>
      </c>
      <c r="I90" s="3" t="s">
        <v>19</v>
      </c>
      <c r="J90" s="3">
        <f t="shared" si="1"/>
        <v>0.16666666666666666</v>
      </c>
      <c r="K90" s="3" t="s">
        <v>20</v>
      </c>
      <c r="L90" t="s">
        <v>25</v>
      </c>
      <c r="M90" t="s">
        <v>25</v>
      </c>
      <c r="N90" s="1">
        <v>0.92361111111111116</v>
      </c>
      <c r="O90" s="1">
        <v>0.93055555555555547</v>
      </c>
      <c r="P90" s="3">
        <v>4000076865</v>
      </c>
      <c r="Q90">
        <v>10051716</v>
      </c>
      <c r="R90" t="s">
        <v>21</v>
      </c>
      <c r="S90" t="s">
        <v>85</v>
      </c>
    </row>
    <row r="91" spans="3:19" x14ac:dyDescent="0.25">
      <c r="C91">
        <v>3028683</v>
      </c>
      <c r="D91" s="3" t="s">
        <v>22</v>
      </c>
      <c r="E91" s="3">
        <v>2</v>
      </c>
      <c r="F91" s="3" t="s">
        <v>18</v>
      </c>
      <c r="G91" s="3" t="s">
        <v>74</v>
      </c>
      <c r="H91" s="3">
        <v>10</v>
      </c>
      <c r="I91" s="3" t="s">
        <v>19</v>
      </c>
      <c r="J91" s="3">
        <f t="shared" si="1"/>
        <v>0.16666666666666666</v>
      </c>
      <c r="K91" s="3" t="s">
        <v>20</v>
      </c>
      <c r="L91" t="s">
        <v>25</v>
      </c>
      <c r="M91" t="s">
        <v>25</v>
      </c>
      <c r="N91" s="1">
        <v>0.92361111111111116</v>
      </c>
      <c r="O91" s="1">
        <v>0.93055555555555547</v>
      </c>
      <c r="P91" s="3">
        <v>4000076865</v>
      </c>
      <c r="Q91">
        <v>10051716</v>
      </c>
      <c r="R91" t="s">
        <v>21</v>
      </c>
      <c r="S91" t="s">
        <v>85</v>
      </c>
    </row>
    <row r="92" spans="3:19" x14ac:dyDescent="0.25">
      <c r="C92">
        <v>3028688</v>
      </c>
      <c r="D92" s="3" t="s">
        <v>22</v>
      </c>
      <c r="E92" s="3">
        <v>2</v>
      </c>
      <c r="F92" s="3" t="s">
        <v>18</v>
      </c>
      <c r="G92" s="3" t="s">
        <v>74</v>
      </c>
      <c r="H92" s="3">
        <v>10</v>
      </c>
      <c r="I92" s="3" t="s">
        <v>19</v>
      </c>
      <c r="J92" s="3">
        <f t="shared" si="1"/>
        <v>0.16666666666666666</v>
      </c>
      <c r="K92" s="3" t="s">
        <v>20</v>
      </c>
      <c r="L92" t="s">
        <v>25</v>
      </c>
      <c r="M92" t="s">
        <v>25</v>
      </c>
      <c r="N92" s="1">
        <v>0.90972222222222221</v>
      </c>
      <c r="O92" s="1">
        <v>0.91666666666666663</v>
      </c>
      <c r="P92" s="3">
        <v>4000076869</v>
      </c>
      <c r="Q92">
        <v>10051715</v>
      </c>
      <c r="R92" t="s">
        <v>21</v>
      </c>
      <c r="S92" t="s">
        <v>85</v>
      </c>
    </row>
    <row r="93" spans="3:19" x14ac:dyDescent="0.25">
      <c r="C93">
        <v>3028689</v>
      </c>
      <c r="D93" s="3" t="s">
        <v>22</v>
      </c>
      <c r="E93" s="3">
        <v>2</v>
      </c>
      <c r="F93" s="3" t="s">
        <v>18</v>
      </c>
      <c r="G93" s="3" t="s">
        <v>74</v>
      </c>
      <c r="H93" s="3">
        <v>10</v>
      </c>
      <c r="I93" s="3" t="s">
        <v>19</v>
      </c>
      <c r="J93" s="3">
        <f t="shared" si="1"/>
        <v>0.16666666666666666</v>
      </c>
      <c r="K93" s="3" t="s">
        <v>20</v>
      </c>
      <c r="L93" t="s">
        <v>25</v>
      </c>
      <c r="M93" t="s">
        <v>25</v>
      </c>
      <c r="N93" s="1">
        <v>0.90972222222222221</v>
      </c>
      <c r="O93" s="1">
        <v>0.91666666666666663</v>
      </c>
      <c r="P93" s="3">
        <v>4000076869</v>
      </c>
      <c r="Q93">
        <v>10051715</v>
      </c>
      <c r="R93" t="s">
        <v>21</v>
      </c>
      <c r="S93" t="s">
        <v>85</v>
      </c>
    </row>
    <row r="94" spans="3:19" x14ac:dyDescent="0.25">
      <c r="C94">
        <v>3028690</v>
      </c>
      <c r="D94" s="3" t="s">
        <v>22</v>
      </c>
      <c r="E94" s="3">
        <v>2</v>
      </c>
      <c r="F94" s="3" t="s">
        <v>18</v>
      </c>
      <c r="G94" s="3" t="s">
        <v>74</v>
      </c>
      <c r="H94" s="3">
        <v>10</v>
      </c>
      <c r="I94" s="3" t="s">
        <v>19</v>
      </c>
      <c r="J94" s="3">
        <f t="shared" si="1"/>
        <v>0.16666666666666666</v>
      </c>
      <c r="K94" s="3" t="s">
        <v>20</v>
      </c>
      <c r="L94" t="s">
        <v>25</v>
      </c>
      <c r="M94" t="s">
        <v>25</v>
      </c>
      <c r="N94" s="1">
        <v>0.91666666666666663</v>
      </c>
      <c r="O94" s="1">
        <v>0.92361111111111116</v>
      </c>
      <c r="P94" s="3">
        <v>4000076870</v>
      </c>
      <c r="Q94">
        <v>10051716</v>
      </c>
      <c r="R94" t="s">
        <v>21</v>
      </c>
      <c r="S94" t="s">
        <v>85</v>
      </c>
    </row>
    <row r="95" spans="3:19" x14ac:dyDescent="0.25">
      <c r="C95">
        <v>3028691</v>
      </c>
      <c r="D95" s="3" t="s">
        <v>22</v>
      </c>
      <c r="E95" s="3">
        <v>1</v>
      </c>
      <c r="F95" s="3" t="s">
        <v>18</v>
      </c>
      <c r="G95" s="3" t="s">
        <v>74</v>
      </c>
      <c r="H95" s="3">
        <v>10</v>
      </c>
      <c r="I95" s="3" t="s">
        <v>19</v>
      </c>
      <c r="J95" s="3">
        <f t="shared" si="1"/>
        <v>0.16666666666666666</v>
      </c>
      <c r="K95" s="3" t="s">
        <v>20</v>
      </c>
      <c r="L95" t="s">
        <v>25</v>
      </c>
      <c r="M95" t="s">
        <v>25</v>
      </c>
      <c r="N95" s="1">
        <v>0.91666666666666663</v>
      </c>
      <c r="O95" s="1">
        <v>0.92361111111111116</v>
      </c>
      <c r="P95" s="3">
        <v>4000076870</v>
      </c>
      <c r="Q95">
        <v>10051716</v>
      </c>
      <c r="R95" t="s">
        <v>21</v>
      </c>
      <c r="S95" t="s">
        <v>85</v>
      </c>
    </row>
    <row r="96" spans="3:19" x14ac:dyDescent="0.25">
      <c r="C96">
        <v>3132471</v>
      </c>
      <c r="D96" s="3" t="s">
        <v>22</v>
      </c>
      <c r="E96" s="3">
        <v>1</v>
      </c>
      <c r="F96" s="3" t="s">
        <v>29</v>
      </c>
      <c r="G96" s="3" t="s">
        <v>74</v>
      </c>
      <c r="H96" s="3">
        <v>10</v>
      </c>
      <c r="I96" s="3" t="s">
        <v>19</v>
      </c>
      <c r="J96" s="3">
        <f t="shared" si="1"/>
        <v>0.16666666666666666</v>
      </c>
      <c r="K96" s="3" t="s">
        <v>20</v>
      </c>
      <c r="L96" t="s">
        <v>55</v>
      </c>
      <c r="M96" t="s">
        <v>55</v>
      </c>
      <c r="N96" s="1">
        <v>0.84027777777777779</v>
      </c>
      <c r="O96" s="1">
        <v>0.84722222222222221</v>
      </c>
      <c r="P96" s="3">
        <v>4000114009</v>
      </c>
      <c r="Q96">
        <v>10049350</v>
      </c>
      <c r="R96" t="s">
        <v>36</v>
      </c>
      <c r="S96" t="s">
        <v>86</v>
      </c>
    </row>
    <row r="97" spans="3:19" x14ac:dyDescent="0.25">
      <c r="C97">
        <v>3134115</v>
      </c>
      <c r="D97" s="3" t="s">
        <v>22</v>
      </c>
      <c r="E97" s="3">
        <v>2</v>
      </c>
      <c r="F97" s="3" t="s">
        <v>29</v>
      </c>
      <c r="G97" s="3" t="s">
        <v>74</v>
      </c>
      <c r="H97" s="3">
        <v>30</v>
      </c>
      <c r="I97" s="3" t="s">
        <v>19</v>
      </c>
      <c r="J97" s="3">
        <f t="shared" si="1"/>
        <v>0.5</v>
      </c>
      <c r="K97" s="3" t="s">
        <v>20</v>
      </c>
      <c r="L97" t="s">
        <v>55</v>
      </c>
      <c r="M97" t="s">
        <v>55</v>
      </c>
      <c r="N97" s="1">
        <v>0.8125</v>
      </c>
      <c r="O97" s="1">
        <v>0.83333333333333337</v>
      </c>
      <c r="P97" s="3">
        <v>4000114874</v>
      </c>
      <c r="Q97">
        <v>10049663</v>
      </c>
      <c r="R97" t="s">
        <v>38</v>
      </c>
      <c r="S97" t="s">
        <v>86</v>
      </c>
    </row>
    <row r="98" spans="3:19" x14ac:dyDescent="0.25">
      <c r="C98">
        <v>3134139</v>
      </c>
      <c r="D98" s="3" t="s">
        <v>22</v>
      </c>
      <c r="E98" s="3">
        <v>2</v>
      </c>
      <c r="F98" s="3" t="s">
        <v>29</v>
      </c>
      <c r="G98" s="3" t="s">
        <v>74</v>
      </c>
      <c r="H98" s="3">
        <v>30</v>
      </c>
      <c r="I98" s="3" t="s">
        <v>19</v>
      </c>
      <c r="J98" s="3">
        <f t="shared" si="1"/>
        <v>0.5</v>
      </c>
      <c r="K98" s="3" t="s">
        <v>20</v>
      </c>
      <c r="L98" t="s">
        <v>55</v>
      </c>
      <c r="M98" t="s">
        <v>55</v>
      </c>
      <c r="N98" s="1">
        <v>0.8125</v>
      </c>
      <c r="O98" s="1">
        <v>0.83333333333333337</v>
      </c>
      <c r="P98" s="3">
        <v>4000114892</v>
      </c>
      <c r="Q98">
        <v>10049652</v>
      </c>
      <c r="R98" t="s">
        <v>38</v>
      </c>
      <c r="S98" t="s">
        <v>87</v>
      </c>
    </row>
    <row r="99" spans="3:19" x14ac:dyDescent="0.25">
      <c r="C99">
        <v>3134140</v>
      </c>
      <c r="D99" s="3" t="s">
        <v>22</v>
      </c>
      <c r="E99" s="3">
        <v>2</v>
      </c>
      <c r="F99" s="3" t="s">
        <v>29</v>
      </c>
      <c r="G99" s="3" t="s">
        <v>74</v>
      </c>
      <c r="H99" s="3">
        <v>30</v>
      </c>
      <c r="I99" s="3" t="s">
        <v>19</v>
      </c>
      <c r="J99" s="3">
        <f t="shared" si="1"/>
        <v>0.5</v>
      </c>
      <c r="K99" s="3" t="s">
        <v>20</v>
      </c>
      <c r="L99" t="s">
        <v>55</v>
      </c>
      <c r="M99" t="s">
        <v>55</v>
      </c>
      <c r="N99" s="1">
        <v>0.8125</v>
      </c>
      <c r="O99" s="1">
        <v>0.83333333333333337</v>
      </c>
      <c r="P99" s="3">
        <v>4000114893</v>
      </c>
      <c r="Q99">
        <v>10049663</v>
      </c>
      <c r="R99" t="s">
        <v>38</v>
      </c>
      <c r="S99" t="s">
        <v>88</v>
      </c>
    </row>
    <row r="100" spans="3:19" x14ac:dyDescent="0.25">
      <c r="C100">
        <v>3134176</v>
      </c>
      <c r="D100" s="3" t="s">
        <v>22</v>
      </c>
      <c r="E100" s="3">
        <v>1</v>
      </c>
      <c r="F100" s="3" t="s">
        <v>29</v>
      </c>
      <c r="G100" s="3" t="s">
        <v>74</v>
      </c>
      <c r="H100" s="3">
        <v>30</v>
      </c>
      <c r="I100" s="3" t="s">
        <v>19</v>
      </c>
      <c r="J100" s="3">
        <f t="shared" si="1"/>
        <v>0.5</v>
      </c>
      <c r="K100" s="3" t="s">
        <v>20</v>
      </c>
      <c r="L100" t="s">
        <v>55</v>
      </c>
      <c r="M100" t="s">
        <v>55</v>
      </c>
      <c r="N100" s="1">
        <v>0.83333333333333337</v>
      </c>
      <c r="O100" s="1">
        <v>0.85416666666666663</v>
      </c>
      <c r="P100" s="3">
        <v>4000114925</v>
      </c>
      <c r="Q100">
        <v>10049461</v>
      </c>
      <c r="R100" t="s">
        <v>57</v>
      </c>
      <c r="S100" t="s">
        <v>89</v>
      </c>
    </row>
    <row r="101" spans="3:19" x14ac:dyDescent="0.25">
      <c r="C101">
        <v>3134183</v>
      </c>
      <c r="D101" s="3" t="s">
        <v>22</v>
      </c>
      <c r="E101" s="3">
        <v>1</v>
      </c>
      <c r="F101" s="3" t="s">
        <v>29</v>
      </c>
      <c r="G101" s="3" t="s">
        <v>74</v>
      </c>
      <c r="H101" s="3">
        <v>30</v>
      </c>
      <c r="I101" s="3" t="s">
        <v>19</v>
      </c>
      <c r="J101" s="3">
        <f t="shared" si="1"/>
        <v>0.5</v>
      </c>
      <c r="K101" s="3" t="s">
        <v>20</v>
      </c>
      <c r="L101" t="s">
        <v>55</v>
      </c>
      <c r="M101" t="s">
        <v>55</v>
      </c>
      <c r="N101" s="1">
        <v>0.83333333333333337</v>
      </c>
      <c r="O101" s="1">
        <v>0.85416666666666663</v>
      </c>
      <c r="P101" s="3">
        <v>4000114932</v>
      </c>
      <c r="Q101">
        <v>10051218</v>
      </c>
      <c r="R101" t="s">
        <v>31</v>
      </c>
      <c r="S101" t="s">
        <v>86</v>
      </c>
    </row>
    <row r="102" spans="3:19" x14ac:dyDescent="0.25">
      <c r="C102">
        <v>3134213</v>
      </c>
      <c r="D102" s="3" t="s">
        <v>22</v>
      </c>
      <c r="E102" s="3">
        <v>1</v>
      </c>
      <c r="F102" s="3" t="s">
        <v>29</v>
      </c>
      <c r="G102" s="3" t="s">
        <v>74</v>
      </c>
      <c r="H102" s="3">
        <v>30</v>
      </c>
      <c r="I102" s="3" t="s">
        <v>19</v>
      </c>
      <c r="J102" s="3">
        <f t="shared" si="1"/>
        <v>0.5</v>
      </c>
      <c r="K102" s="3" t="s">
        <v>20</v>
      </c>
      <c r="L102" t="s">
        <v>55</v>
      </c>
      <c r="M102" t="s">
        <v>55</v>
      </c>
      <c r="N102" s="1">
        <v>0.83333333333333337</v>
      </c>
      <c r="O102" s="1">
        <v>0.85416666666666663</v>
      </c>
      <c r="P102" s="3">
        <v>4000114962</v>
      </c>
      <c r="Q102">
        <v>10049451</v>
      </c>
      <c r="R102" t="s">
        <v>57</v>
      </c>
      <c r="S102" t="s">
        <v>90</v>
      </c>
    </row>
    <row r="103" spans="3:19" x14ac:dyDescent="0.25">
      <c r="C103">
        <v>3134233</v>
      </c>
      <c r="D103" s="3" t="s">
        <v>22</v>
      </c>
      <c r="E103" s="3">
        <v>1</v>
      </c>
      <c r="F103" s="3" t="s">
        <v>29</v>
      </c>
      <c r="G103" s="3" t="s">
        <v>74</v>
      </c>
      <c r="H103" s="3">
        <v>30</v>
      </c>
      <c r="I103" s="3" t="s">
        <v>19</v>
      </c>
      <c r="J103" s="3">
        <f t="shared" si="1"/>
        <v>0.5</v>
      </c>
      <c r="K103" s="3" t="s">
        <v>20</v>
      </c>
      <c r="L103" t="s">
        <v>55</v>
      </c>
      <c r="M103" t="s">
        <v>55</v>
      </c>
      <c r="N103" s="1">
        <v>0.83333333333333337</v>
      </c>
      <c r="O103" s="1">
        <v>0.85416666666666663</v>
      </c>
      <c r="P103" s="3">
        <v>4000114981</v>
      </c>
      <c r="Q103">
        <v>10049451</v>
      </c>
      <c r="R103" t="s">
        <v>57</v>
      </c>
      <c r="S103" t="s">
        <v>86</v>
      </c>
    </row>
    <row r="104" spans="3:19" x14ac:dyDescent="0.25">
      <c r="C104">
        <v>3120256</v>
      </c>
      <c r="D104" s="3" t="s">
        <v>22</v>
      </c>
      <c r="E104" s="3">
        <v>2</v>
      </c>
      <c r="F104" s="3" t="s">
        <v>29</v>
      </c>
      <c r="G104" s="3" t="s">
        <v>74</v>
      </c>
      <c r="H104" s="3">
        <v>20</v>
      </c>
      <c r="I104" s="3" t="s">
        <v>19</v>
      </c>
      <c r="J104" s="3">
        <f t="shared" si="1"/>
        <v>0.33333333333333331</v>
      </c>
      <c r="K104" s="3" t="s">
        <v>20</v>
      </c>
      <c r="L104" t="s">
        <v>25</v>
      </c>
      <c r="M104" t="s">
        <v>25</v>
      </c>
      <c r="N104" s="1">
        <v>0.86111111111111116</v>
      </c>
      <c r="O104" s="1">
        <v>0.875</v>
      </c>
      <c r="P104" s="3">
        <v>4000112123</v>
      </c>
      <c r="Q104">
        <v>10049540</v>
      </c>
      <c r="R104" t="s">
        <v>58</v>
      </c>
      <c r="S104" t="s">
        <v>86</v>
      </c>
    </row>
    <row r="105" spans="3:19" x14ac:dyDescent="0.25">
      <c r="C105">
        <v>3120257</v>
      </c>
      <c r="D105" s="3" t="s">
        <v>22</v>
      </c>
      <c r="E105" s="3">
        <v>3</v>
      </c>
      <c r="F105" s="3" t="s">
        <v>29</v>
      </c>
      <c r="G105" s="3" t="s">
        <v>74</v>
      </c>
      <c r="H105" s="3">
        <v>15</v>
      </c>
      <c r="I105" s="3" t="s">
        <v>19</v>
      </c>
      <c r="J105" s="3">
        <f t="shared" si="1"/>
        <v>0.25</v>
      </c>
      <c r="K105" s="3" t="s">
        <v>20</v>
      </c>
      <c r="L105" t="s">
        <v>25</v>
      </c>
      <c r="M105" t="s">
        <v>25</v>
      </c>
      <c r="N105" s="1">
        <v>0.84722222222222221</v>
      </c>
      <c r="O105" s="1">
        <v>0.85763888888888884</v>
      </c>
      <c r="P105" s="3">
        <v>4000112124</v>
      </c>
      <c r="Q105">
        <v>10049549</v>
      </c>
      <c r="R105" t="s">
        <v>58</v>
      </c>
      <c r="S105" t="s">
        <v>86</v>
      </c>
    </row>
    <row r="106" spans="3:19" x14ac:dyDescent="0.25">
      <c r="C106">
        <v>3132709</v>
      </c>
      <c r="D106" s="3" t="s">
        <v>22</v>
      </c>
      <c r="E106" s="3">
        <v>2</v>
      </c>
      <c r="F106" s="3" t="s">
        <v>29</v>
      </c>
      <c r="G106" s="3" t="s">
        <v>74</v>
      </c>
      <c r="H106" s="3">
        <v>10</v>
      </c>
      <c r="I106" s="3" t="s">
        <v>19</v>
      </c>
      <c r="J106" s="3">
        <f t="shared" si="1"/>
        <v>0.16666666666666666</v>
      </c>
      <c r="K106" s="3" t="s">
        <v>20</v>
      </c>
      <c r="L106" t="s">
        <v>25</v>
      </c>
      <c r="M106" t="s">
        <v>25</v>
      </c>
      <c r="N106" s="1">
        <v>0.84722222222222221</v>
      </c>
      <c r="O106" s="1">
        <v>0.85416666666666663</v>
      </c>
      <c r="P106" s="3">
        <v>4000114066</v>
      </c>
      <c r="Q106">
        <v>10049540</v>
      </c>
      <c r="R106" t="s">
        <v>58</v>
      </c>
      <c r="S106" t="s">
        <v>91</v>
      </c>
    </row>
    <row r="107" spans="3:19" x14ac:dyDescent="0.25">
      <c r="C107">
        <v>3132716</v>
      </c>
      <c r="D107" s="3" t="s">
        <v>22</v>
      </c>
      <c r="E107" s="3">
        <v>2</v>
      </c>
      <c r="F107" s="3" t="s">
        <v>29</v>
      </c>
      <c r="G107" s="3" t="s">
        <v>74</v>
      </c>
      <c r="H107" s="3">
        <v>30</v>
      </c>
      <c r="I107" s="3" t="s">
        <v>19</v>
      </c>
      <c r="J107" s="3">
        <f t="shared" si="1"/>
        <v>0.5</v>
      </c>
      <c r="K107" s="3" t="s">
        <v>20</v>
      </c>
      <c r="L107" t="s">
        <v>25</v>
      </c>
      <c r="M107" t="s">
        <v>25</v>
      </c>
      <c r="N107" s="1">
        <v>0.83333333333333337</v>
      </c>
      <c r="O107" s="1">
        <v>0.85416666666666663</v>
      </c>
      <c r="P107" s="3">
        <v>4000114073</v>
      </c>
      <c r="Q107">
        <v>10051704</v>
      </c>
      <c r="R107" t="s">
        <v>58</v>
      </c>
      <c r="S107" t="s">
        <v>92</v>
      </c>
    </row>
    <row r="108" spans="3:19" x14ac:dyDescent="0.25">
      <c r="C108">
        <v>3132717</v>
      </c>
      <c r="D108" s="3" t="s">
        <v>22</v>
      </c>
      <c r="E108" s="3">
        <v>2</v>
      </c>
      <c r="F108" s="3" t="s">
        <v>29</v>
      </c>
      <c r="G108" s="3" t="s">
        <v>74</v>
      </c>
      <c r="H108" s="3">
        <v>30</v>
      </c>
      <c r="I108" s="3" t="s">
        <v>19</v>
      </c>
      <c r="J108" s="3">
        <f t="shared" si="1"/>
        <v>0.5</v>
      </c>
      <c r="K108" s="3" t="s">
        <v>20</v>
      </c>
      <c r="L108" t="s">
        <v>25</v>
      </c>
      <c r="M108" t="s">
        <v>25</v>
      </c>
      <c r="N108" s="1">
        <v>0.83333333333333337</v>
      </c>
      <c r="O108" s="1">
        <v>0.85416666666666663</v>
      </c>
      <c r="P108" s="3">
        <v>4000114074</v>
      </c>
      <c r="Q108">
        <v>10051704</v>
      </c>
      <c r="R108" t="s">
        <v>58</v>
      </c>
      <c r="S108" t="s">
        <v>86</v>
      </c>
    </row>
    <row r="109" spans="3:19" x14ac:dyDescent="0.25">
      <c r="C109">
        <v>3134276</v>
      </c>
      <c r="D109" s="3" t="s">
        <v>22</v>
      </c>
      <c r="E109" s="3">
        <v>2</v>
      </c>
      <c r="F109" s="3" t="s">
        <v>29</v>
      </c>
      <c r="G109" s="3" t="s">
        <v>74</v>
      </c>
      <c r="H109" s="3">
        <v>20</v>
      </c>
      <c r="I109" s="3" t="s">
        <v>19</v>
      </c>
      <c r="J109" s="3">
        <f t="shared" si="1"/>
        <v>0.33333333333333331</v>
      </c>
      <c r="K109" s="3" t="s">
        <v>20</v>
      </c>
      <c r="L109" t="s">
        <v>25</v>
      </c>
      <c r="M109" t="s">
        <v>25</v>
      </c>
      <c r="N109" s="1">
        <v>0.875</v>
      </c>
      <c r="O109" s="1">
        <v>0.88888888888888884</v>
      </c>
      <c r="P109" s="3">
        <v>4000115022</v>
      </c>
      <c r="Q109">
        <v>10049578</v>
      </c>
      <c r="R109" t="s">
        <v>58</v>
      </c>
      <c r="S109" t="s">
        <v>86</v>
      </c>
    </row>
    <row r="110" spans="3:19" x14ac:dyDescent="0.25">
      <c r="C110">
        <v>3134299</v>
      </c>
      <c r="D110" s="3" t="s">
        <v>22</v>
      </c>
      <c r="E110" s="3">
        <v>2</v>
      </c>
      <c r="F110" s="3" t="s">
        <v>29</v>
      </c>
      <c r="G110" s="3" t="s">
        <v>74</v>
      </c>
      <c r="H110" s="3">
        <v>20</v>
      </c>
      <c r="I110" s="3" t="s">
        <v>19</v>
      </c>
      <c r="J110" s="3">
        <f t="shared" si="1"/>
        <v>0.33333333333333331</v>
      </c>
      <c r="K110" s="3" t="s">
        <v>20</v>
      </c>
      <c r="L110" t="s">
        <v>25</v>
      </c>
      <c r="M110" t="s">
        <v>25</v>
      </c>
      <c r="N110" s="1">
        <v>0.88888888888888884</v>
      </c>
      <c r="O110" s="1">
        <v>0.90277777777777779</v>
      </c>
      <c r="P110" s="3">
        <v>4000115045</v>
      </c>
      <c r="Q110">
        <v>10049565</v>
      </c>
      <c r="R110" t="s">
        <v>58</v>
      </c>
      <c r="S110" t="s">
        <v>86</v>
      </c>
    </row>
    <row r="111" spans="3:19" x14ac:dyDescent="0.25">
      <c r="C111">
        <v>3134300</v>
      </c>
      <c r="D111" s="3" t="s">
        <v>22</v>
      </c>
      <c r="E111" s="3">
        <v>3</v>
      </c>
      <c r="F111" s="3" t="s">
        <v>29</v>
      </c>
      <c r="G111" s="3" t="s">
        <v>74</v>
      </c>
      <c r="H111" s="3">
        <v>10</v>
      </c>
      <c r="I111" s="3" t="s">
        <v>19</v>
      </c>
      <c r="J111" s="3">
        <f t="shared" si="1"/>
        <v>0.16666666666666666</v>
      </c>
      <c r="K111" s="3" t="s">
        <v>20</v>
      </c>
      <c r="L111" t="s">
        <v>25</v>
      </c>
      <c r="M111" t="s">
        <v>25</v>
      </c>
      <c r="N111" s="1">
        <v>0.88194444444444453</v>
      </c>
      <c r="O111" s="1">
        <v>0.88888888888888884</v>
      </c>
      <c r="P111" s="3">
        <v>4000115046</v>
      </c>
      <c r="Q111">
        <v>10049540</v>
      </c>
      <c r="R111" t="s">
        <v>58</v>
      </c>
      <c r="S111" t="s">
        <v>93</v>
      </c>
    </row>
    <row r="112" spans="3:19" x14ac:dyDescent="0.25">
      <c r="C112">
        <v>3134305</v>
      </c>
      <c r="D112" s="3" t="s">
        <v>22</v>
      </c>
      <c r="E112" s="3">
        <v>3</v>
      </c>
      <c r="F112" s="3" t="s">
        <v>29</v>
      </c>
      <c r="G112" s="3" t="s">
        <v>74</v>
      </c>
      <c r="H112" s="3">
        <v>25</v>
      </c>
      <c r="I112" s="3" t="s">
        <v>19</v>
      </c>
      <c r="J112" s="3">
        <f t="shared" si="1"/>
        <v>0.41666666666666669</v>
      </c>
      <c r="K112" s="3" t="s">
        <v>20</v>
      </c>
      <c r="L112" t="s">
        <v>25</v>
      </c>
      <c r="M112" t="s">
        <v>25</v>
      </c>
      <c r="N112" s="1">
        <v>0.85763888888888884</v>
      </c>
      <c r="O112" s="1">
        <v>0.875</v>
      </c>
      <c r="P112" s="3">
        <v>4000115051</v>
      </c>
      <c r="Q112">
        <v>10051174</v>
      </c>
      <c r="R112" t="s">
        <v>58</v>
      </c>
      <c r="S112" t="s">
        <v>86</v>
      </c>
    </row>
    <row r="113" spans="3:19" x14ac:dyDescent="0.25">
      <c r="C113">
        <v>3134306</v>
      </c>
      <c r="D113" s="3" t="s">
        <v>22</v>
      </c>
      <c r="E113" s="3">
        <v>3</v>
      </c>
      <c r="F113" s="3" t="s">
        <v>29</v>
      </c>
      <c r="G113" s="3" t="s">
        <v>74</v>
      </c>
      <c r="H113" s="3">
        <v>10</v>
      </c>
      <c r="I113" s="3" t="s">
        <v>19</v>
      </c>
      <c r="J113" s="3">
        <f t="shared" si="1"/>
        <v>0.16666666666666666</v>
      </c>
      <c r="K113" s="3" t="s">
        <v>20</v>
      </c>
      <c r="L113" t="s">
        <v>25</v>
      </c>
      <c r="M113" t="s">
        <v>25</v>
      </c>
      <c r="N113" s="1">
        <v>0.84027777777777779</v>
      </c>
      <c r="O113" s="1">
        <v>0.84722222222222221</v>
      </c>
      <c r="P113" s="3">
        <v>4000115052</v>
      </c>
      <c r="Q113">
        <v>10051704</v>
      </c>
      <c r="R113" t="s">
        <v>58</v>
      </c>
      <c r="S113" t="s">
        <v>94</v>
      </c>
    </row>
    <row r="114" spans="3:19" x14ac:dyDescent="0.25">
      <c r="C114">
        <v>3134307</v>
      </c>
      <c r="D114" s="3" t="s">
        <v>22</v>
      </c>
      <c r="E114" s="3">
        <v>2</v>
      </c>
      <c r="F114" s="3" t="s">
        <v>29</v>
      </c>
      <c r="G114" s="3" t="s">
        <v>74</v>
      </c>
      <c r="H114" s="3">
        <v>10</v>
      </c>
      <c r="I114" s="3" t="s">
        <v>19</v>
      </c>
      <c r="J114" s="3">
        <f t="shared" si="1"/>
        <v>0.16666666666666666</v>
      </c>
      <c r="K114" s="3" t="s">
        <v>20</v>
      </c>
      <c r="L114" t="s">
        <v>25</v>
      </c>
      <c r="M114" t="s">
        <v>25</v>
      </c>
      <c r="N114" s="1">
        <v>0.875</v>
      </c>
      <c r="O114" s="1">
        <v>0.88888888888888884</v>
      </c>
      <c r="P114" s="3">
        <v>4000115053</v>
      </c>
      <c r="Q114">
        <v>10049549</v>
      </c>
      <c r="R114" t="s">
        <v>58</v>
      </c>
      <c r="S114" t="s">
        <v>94</v>
      </c>
    </row>
    <row r="115" spans="3:19" x14ac:dyDescent="0.25">
      <c r="C115">
        <v>3134310</v>
      </c>
      <c r="D115" s="3" t="s">
        <v>22</v>
      </c>
      <c r="E115" s="3">
        <v>3</v>
      </c>
      <c r="F115" s="3" t="s">
        <v>29</v>
      </c>
      <c r="G115" s="3" t="s">
        <v>74</v>
      </c>
      <c r="H115" s="3">
        <v>10</v>
      </c>
      <c r="I115" s="3" t="s">
        <v>19</v>
      </c>
      <c r="J115" s="3">
        <f t="shared" si="1"/>
        <v>0.16666666666666666</v>
      </c>
      <c r="K115" s="3" t="s">
        <v>20</v>
      </c>
      <c r="L115" t="s">
        <v>25</v>
      </c>
      <c r="M115" t="s">
        <v>25</v>
      </c>
      <c r="N115" s="1">
        <v>0.88888888888888884</v>
      </c>
      <c r="O115" s="1">
        <v>0.89583333333333337</v>
      </c>
      <c r="P115" s="3">
        <v>4000115056</v>
      </c>
      <c r="Q115">
        <v>10049549</v>
      </c>
      <c r="R115" t="s">
        <v>58</v>
      </c>
      <c r="S115" t="s">
        <v>95</v>
      </c>
    </row>
    <row r="116" spans="3:19" x14ac:dyDescent="0.25">
      <c r="C116">
        <v>3134172</v>
      </c>
      <c r="D116" s="3" t="s">
        <v>28</v>
      </c>
      <c r="E116" s="3">
        <v>2</v>
      </c>
      <c r="F116" s="3" t="s">
        <v>29</v>
      </c>
      <c r="G116" s="3" t="s">
        <v>74</v>
      </c>
      <c r="H116" s="3">
        <v>15</v>
      </c>
      <c r="I116" s="3" t="s">
        <v>19</v>
      </c>
      <c r="J116" s="3">
        <f t="shared" si="1"/>
        <v>0.25</v>
      </c>
      <c r="K116" s="3" t="s">
        <v>20</v>
      </c>
      <c r="L116" t="s">
        <v>67</v>
      </c>
      <c r="M116" t="s">
        <v>67</v>
      </c>
      <c r="N116" s="1">
        <v>0.4375</v>
      </c>
      <c r="O116" s="1">
        <v>0.44791666666666669</v>
      </c>
      <c r="P116" s="3">
        <v>4000114921</v>
      </c>
      <c r="Q116">
        <v>10051555</v>
      </c>
      <c r="R116" t="s">
        <v>57</v>
      </c>
      <c r="S116" t="s">
        <v>96</v>
      </c>
    </row>
    <row r="117" spans="3:19" x14ac:dyDescent="0.25">
      <c r="C117">
        <v>3134173</v>
      </c>
      <c r="D117" s="3" t="s">
        <v>28</v>
      </c>
      <c r="E117" s="3">
        <v>2</v>
      </c>
      <c r="F117" s="3" t="s">
        <v>29</v>
      </c>
      <c r="G117" s="3" t="s">
        <v>74</v>
      </c>
      <c r="H117" s="3">
        <v>30</v>
      </c>
      <c r="I117" s="3" t="s">
        <v>19</v>
      </c>
      <c r="J117" s="3">
        <f t="shared" si="1"/>
        <v>0.5</v>
      </c>
      <c r="K117" s="3" t="s">
        <v>20</v>
      </c>
      <c r="L117" t="s">
        <v>67</v>
      </c>
      <c r="M117" t="s">
        <v>67</v>
      </c>
      <c r="N117" s="1">
        <v>0.5</v>
      </c>
      <c r="O117" s="1">
        <v>0.52083333333333337</v>
      </c>
      <c r="P117" s="3">
        <v>4000114922</v>
      </c>
      <c r="Q117">
        <v>10051555</v>
      </c>
      <c r="R117" t="s">
        <v>57</v>
      </c>
      <c r="S117" t="s">
        <v>97</v>
      </c>
    </row>
    <row r="118" spans="3:19" x14ac:dyDescent="0.25">
      <c r="C118">
        <v>3134175</v>
      </c>
      <c r="D118" s="3" t="s">
        <v>28</v>
      </c>
      <c r="E118" s="3">
        <v>2</v>
      </c>
      <c r="F118" s="3" t="s">
        <v>29</v>
      </c>
      <c r="G118" s="3" t="s">
        <v>74</v>
      </c>
      <c r="H118" s="3">
        <v>25</v>
      </c>
      <c r="I118" s="3" t="s">
        <v>19</v>
      </c>
      <c r="J118" s="3">
        <f t="shared" si="1"/>
        <v>0.41666666666666669</v>
      </c>
      <c r="K118" s="3" t="s">
        <v>20</v>
      </c>
      <c r="L118" t="s">
        <v>67</v>
      </c>
      <c r="M118" t="s">
        <v>67</v>
      </c>
      <c r="N118" s="1">
        <v>0.42708333333333331</v>
      </c>
      <c r="O118" s="1">
        <v>0.4375</v>
      </c>
      <c r="P118" s="3">
        <v>4000114924</v>
      </c>
      <c r="Q118">
        <v>10049451</v>
      </c>
      <c r="R118" t="s">
        <v>57</v>
      </c>
      <c r="S118" t="s">
        <v>98</v>
      </c>
    </row>
    <row r="119" spans="3:19" x14ac:dyDescent="0.25">
      <c r="C119">
        <v>3134177</v>
      </c>
      <c r="D119" s="3" t="s">
        <v>28</v>
      </c>
      <c r="E119" s="3">
        <v>2</v>
      </c>
      <c r="F119" s="3" t="s">
        <v>29</v>
      </c>
      <c r="G119" s="3" t="s">
        <v>74</v>
      </c>
      <c r="H119" s="3">
        <v>5</v>
      </c>
      <c r="I119" s="3" t="s">
        <v>19</v>
      </c>
      <c r="J119" s="3">
        <f t="shared" si="1"/>
        <v>8.3333333333333329E-2</v>
      </c>
      <c r="K119" s="3" t="s">
        <v>20</v>
      </c>
      <c r="L119" t="s">
        <v>67</v>
      </c>
      <c r="M119" t="s">
        <v>67</v>
      </c>
      <c r="N119" s="1">
        <v>0.43402777777777773</v>
      </c>
      <c r="O119" s="1">
        <v>0.4375</v>
      </c>
      <c r="P119" s="3">
        <v>4000114926</v>
      </c>
      <c r="Q119">
        <v>10049461</v>
      </c>
      <c r="R119" t="s">
        <v>57</v>
      </c>
      <c r="S119" t="s">
        <v>96</v>
      </c>
    </row>
    <row r="120" spans="3:19" x14ac:dyDescent="0.25">
      <c r="C120">
        <v>3134212</v>
      </c>
      <c r="D120" s="3" t="s">
        <v>28</v>
      </c>
      <c r="E120" s="3">
        <v>2</v>
      </c>
      <c r="F120" s="3" t="s">
        <v>29</v>
      </c>
      <c r="G120" s="3" t="s">
        <v>74</v>
      </c>
      <c r="H120" s="3">
        <v>20</v>
      </c>
      <c r="I120" s="3" t="s">
        <v>19</v>
      </c>
      <c r="J120" s="3">
        <f t="shared" si="1"/>
        <v>0.33333333333333331</v>
      </c>
      <c r="K120" s="3" t="s">
        <v>20</v>
      </c>
      <c r="L120" t="s">
        <v>67</v>
      </c>
      <c r="M120" t="s">
        <v>67</v>
      </c>
      <c r="N120" s="1">
        <v>0.41666666666666669</v>
      </c>
      <c r="O120" s="1">
        <v>0.43055555555555558</v>
      </c>
      <c r="P120" s="3">
        <v>4000114961</v>
      </c>
      <c r="Q120">
        <v>10051555</v>
      </c>
      <c r="R120" t="s">
        <v>57</v>
      </c>
      <c r="S120" t="s">
        <v>99</v>
      </c>
    </row>
    <row r="121" spans="3:19" x14ac:dyDescent="0.25">
      <c r="C121">
        <v>3134214</v>
      </c>
      <c r="D121" s="3" t="s">
        <v>28</v>
      </c>
      <c r="E121" s="3">
        <v>1</v>
      </c>
      <c r="F121" s="3" t="s">
        <v>29</v>
      </c>
      <c r="G121" s="3" t="s">
        <v>74</v>
      </c>
      <c r="H121" s="3">
        <v>10</v>
      </c>
      <c r="I121" s="3" t="s">
        <v>19</v>
      </c>
      <c r="J121" s="3">
        <f t="shared" si="1"/>
        <v>0.16666666666666666</v>
      </c>
      <c r="K121" s="3" t="s">
        <v>20</v>
      </c>
      <c r="L121" t="s">
        <v>67</v>
      </c>
      <c r="M121" t="s">
        <v>67</v>
      </c>
      <c r="N121" s="1">
        <v>0.45833333333333331</v>
      </c>
      <c r="O121" s="1">
        <v>0.46527777777777773</v>
      </c>
      <c r="P121" s="3">
        <v>4000114963</v>
      </c>
      <c r="Q121">
        <v>10049461</v>
      </c>
      <c r="R121" t="s">
        <v>57</v>
      </c>
      <c r="S121" t="s">
        <v>100</v>
      </c>
    </row>
    <row r="122" spans="3:19" x14ac:dyDescent="0.25">
      <c r="C122">
        <v>3134250</v>
      </c>
      <c r="D122" s="3" t="s">
        <v>28</v>
      </c>
      <c r="E122" s="3">
        <v>3</v>
      </c>
      <c r="F122" s="3" t="s">
        <v>29</v>
      </c>
      <c r="G122" s="3" t="s">
        <v>74</v>
      </c>
      <c r="H122" s="3">
        <v>50</v>
      </c>
      <c r="I122" s="3" t="s">
        <v>19</v>
      </c>
      <c r="J122" s="3">
        <f t="shared" si="1"/>
        <v>0.83333333333333337</v>
      </c>
      <c r="K122" s="3" t="s">
        <v>20</v>
      </c>
      <c r="L122" t="s">
        <v>67</v>
      </c>
      <c r="M122" t="s">
        <v>67</v>
      </c>
      <c r="N122" s="1">
        <v>0.33333333333333331</v>
      </c>
      <c r="O122" s="1">
        <v>0.36805555555555558</v>
      </c>
      <c r="P122" s="3">
        <v>4000114996</v>
      </c>
      <c r="Q122">
        <v>10049465</v>
      </c>
      <c r="R122" t="s">
        <v>57</v>
      </c>
      <c r="S122" t="s">
        <v>101</v>
      </c>
    </row>
    <row r="123" spans="3:19" x14ac:dyDescent="0.25">
      <c r="C123">
        <v>3134253</v>
      </c>
      <c r="D123" s="3" t="s">
        <v>28</v>
      </c>
      <c r="E123" s="3">
        <v>2</v>
      </c>
      <c r="F123" s="3" t="s">
        <v>29</v>
      </c>
      <c r="G123" s="3" t="s">
        <v>74</v>
      </c>
      <c r="H123" s="3">
        <v>40</v>
      </c>
      <c r="I123" s="3" t="s">
        <v>19</v>
      </c>
      <c r="J123" s="3">
        <f t="shared" si="1"/>
        <v>0.66666666666666663</v>
      </c>
      <c r="K123" s="3" t="s">
        <v>20</v>
      </c>
      <c r="L123" t="s">
        <v>67</v>
      </c>
      <c r="M123" t="s">
        <v>67</v>
      </c>
      <c r="N123" s="1">
        <v>0.41666666666666669</v>
      </c>
      <c r="O123" s="1">
        <v>0.44444444444444442</v>
      </c>
      <c r="P123" s="3">
        <v>4000114999</v>
      </c>
      <c r="Q123">
        <v>10049549</v>
      </c>
      <c r="R123" t="s">
        <v>58</v>
      </c>
      <c r="S123" t="s">
        <v>102</v>
      </c>
    </row>
    <row r="124" spans="3:19" x14ac:dyDescent="0.25">
      <c r="C124">
        <v>3137627</v>
      </c>
      <c r="D124" s="3" t="s">
        <v>28</v>
      </c>
      <c r="E124" s="3">
        <v>2</v>
      </c>
      <c r="F124" s="3" t="s">
        <v>29</v>
      </c>
      <c r="G124" s="3" t="s">
        <v>74</v>
      </c>
      <c r="H124" s="3">
        <v>20</v>
      </c>
      <c r="I124" s="3" t="s">
        <v>19</v>
      </c>
      <c r="J124" s="3">
        <f t="shared" si="1"/>
        <v>0.33333333333333331</v>
      </c>
      <c r="K124" s="3" t="s">
        <v>20</v>
      </c>
      <c r="L124" t="s">
        <v>67</v>
      </c>
      <c r="M124" t="s">
        <v>67</v>
      </c>
      <c r="N124" s="1">
        <v>0.41666666666666669</v>
      </c>
      <c r="O124" s="1">
        <v>0.43055555555555558</v>
      </c>
      <c r="P124" s="3">
        <v>4000116060</v>
      </c>
      <c r="Q124">
        <v>10051555</v>
      </c>
      <c r="R124" t="s">
        <v>57</v>
      </c>
      <c r="S124" t="s">
        <v>96</v>
      </c>
    </row>
    <row r="125" spans="3:19" x14ac:dyDescent="0.25">
      <c r="C125">
        <v>3135197</v>
      </c>
      <c r="D125" s="3" t="s">
        <v>25</v>
      </c>
      <c r="E125" s="3">
        <v>1</v>
      </c>
      <c r="F125" s="3" t="s">
        <v>103</v>
      </c>
      <c r="G125" s="3" t="s">
        <v>103</v>
      </c>
      <c r="H125" s="3">
        <v>30</v>
      </c>
      <c r="I125" s="3" t="s">
        <v>19</v>
      </c>
      <c r="J125" s="3">
        <f t="shared" si="1"/>
        <v>0.5</v>
      </c>
      <c r="K125" s="3" t="s">
        <v>20</v>
      </c>
      <c r="L125" t="s">
        <v>51</v>
      </c>
      <c r="M125" t="s">
        <v>51</v>
      </c>
      <c r="N125" s="1">
        <v>2.0833333333333332E-2</v>
      </c>
      <c r="O125" s="1">
        <v>4.1666666666666664E-2</v>
      </c>
      <c r="P125" s="3">
        <v>4000115783</v>
      </c>
      <c r="Q125">
        <v>10049992</v>
      </c>
      <c r="R125" t="s">
        <v>104</v>
      </c>
      <c r="S125" t="s">
        <v>105</v>
      </c>
    </row>
    <row r="126" spans="3:19" x14ac:dyDescent="0.25">
      <c r="C126">
        <v>3122031</v>
      </c>
      <c r="D126" s="3" t="s">
        <v>33</v>
      </c>
      <c r="E126" s="3">
        <v>1</v>
      </c>
      <c r="F126" s="3" t="s">
        <v>106</v>
      </c>
      <c r="G126" s="3" t="s">
        <v>103</v>
      </c>
      <c r="H126" s="3">
        <v>30</v>
      </c>
      <c r="I126" s="3" t="s">
        <v>19</v>
      </c>
      <c r="J126" s="3">
        <f t="shared" si="1"/>
        <v>0.5</v>
      </c>
      <c r="K126" s="3" t="s">
        <v>20</v>
      </c>
      <c r="L126" t="s">
        <v>73</v>
      </c>
      <c r="M126" t="s">
        <v>73</v>
      </c>
      <c r="N126" s="1">
        <v>0.14583333333333334</v>
      </c>
      <c r="O126" s="1">
        <v>0.16666666666666666</v>
      </c>
      <c r="P126" s="3">
        <v>4000112727</v>
      </c>
      <c r="Q126">
        <v>10051738</v>
      </c>
      <c r="R126" t="s">
        <v>58</v>
      </c>
      <c r="S126" t="s">
        <v>107</v>
      </c>
    </row>
    <row r="127" spans="3:19" x14ac:dyDescent="0.25">
      <c r="C127">
        <v>3118382</v>
      </c>
      <c r="D127" s="3" t="s">
        <v>33</v>
      </c>
      <c r="E127" s="3">
        <v>1</v>
      </c>
      <c r="F127" s="3" t="s">
        <v>29</v>
      </c>
      <c r="G127" s="3" t="s">
        <v>103</v>
      </c>
      <c r="H127" s="3">
        <v>30</v>
      </c>
      <c r="I127" s="3" t="s">
        <v>19</v>
      </c>
      <c r="J127" s="3">
        <f t="shared" si="1"/>
        <v>0.5</v>
      </c>
      <c r="K127" s="3" t="s">
        <v>20</v>
      </c>
      <c r="L127" t="s">
        <v>73</v>
      </c>
      <c r="M127" t="s">
        <v>73</v>
      </c>
      <c r="N127" s="1">
        <v>0.125</v>
      </c>
      <c r="O127" s="1">
        <v>0.14583333333333334</v>
      </c>
      <c r="P127" s="3">
        <v>4000111406</v>
      </c>
      <c r="Q127">
        <v>10049540</v>
      </c>
      <c r="R127" t="s">
        <v>58</v>
      </c>
      <c r="S127" t="s">
        <v>108</v>
      </c>
    </row>
    <row r="128" spans="3:19" x14ac:dyDescent="0.25">
      <c r="C128">
        <v>3118394</v>
      </c>
      <c r="D128" s="3" t="s">
        <v>33</v>
      </c>
      <c r="E128" s="3">
        <v>2</v>
      </c>
      <c r="F128" s="3" t="s">
        <v>29</v>
      </c>
      <c r="G128" s="3" t="s">
        <v>103</v>
      </c>
      <c r="H128" s="3">
        <v>30</v>
      </c>
      <c r="I128" s="3" t="s">
        <v>19</v>
      </c>
      <c r="J128" s="3">
        <f t="shared" si="1"/>
        <v>0.5</v>
      </c>
      <c r="K128" s="3" t="s">
        <v>20</v>
      </c>
      <c r="L128" t="s">
        <v>73</v>
      </c>
      <c r="M128" t="s">
        <v>73</v>
      </c>
      <c r="N128" s="1">
        <v>0.10416666666666667</v>
      </c>
      <c r="O128" s="1">
        <v>0.125</v>
      </c>
      <c r="P128" s="3">
        <v>4000111418</v>
      </c>
      <c r="Q128">
        <v>10051704</v>
      </c>
      <c r="R128" t="s">
        <v>58</v>
      </c>
    </row>
    <row r="129" spans="3:19" x14ac:dyDescent="0.25">
      <c r="C129">
        <v>3120245</v>
      </c>
      <c r="D129" s="3" t="s">
        <v>33</v>
      </c>
      <c r="E129" s="3">
        <v>2</v>
      </c>
      <c r="F129" s="3" t="s">
        <v>29</v>
      </c>
      <c r="G129" s="3" t="s">
        <v>103</v>
      </c>
      <c r="H129" s="3">
        <v>30</v>
      </c>
      <c r="I129" s="3" t="s">
        <v>19</v>
      </c>
      <c r="J129" s="3">
        <f t="shared" si="1"/>
        <v>0.5</v>
      </c>
      <c r="K129" s="3" t="s">
        <v>20</v>
      </c>
      <c r="L129" t="s">
        <v>73</v>
      </c>
      <c r="M129" t="s">
        <v>73</v>
      </c>
      <c r="N129" s="1">
        <v>0.16666666666666666</v>
      </c>
      <c r="O129" s="1">
        <v>0.1875</v>
      </c>
      <c r="P129" s="3">
        <v>4000112112</v>
      </c>
      <c r="Q129">
        <v>10051738</v>
      </c>
      <c r="R129" t="s">
        <v>58</v>
      </c>
      <c r="S129" t="s">
        <v>108</v>
      </c>
    </row>
    <row r="130" spans="3:19" x14ac:dyDescent="0.25">
      <c r="C130">
        <v>3120246</v>
      </c>
      <c r="D130" s="3" t="s">
        <v>33</v>
      </c>
      <c r="E130" s="3">
        <v>2</v>
      </c>
      <c r="F130" s="3" t="s">
        <v>29</v>
      </c>
      <c r="G130" s="3" t="s">
        <v>103</v>
      </c>
      <c r="H130" s="3">
        <v>30</v>
      </c>
      <c r="I130" s="3" t="s">
        <v>19</v>
      </c>
      <c r="J130" s="3">
        <f t="shared" si="1"/>
        <v>0.5</v>
      </c>
      <c r="K130" s="3" t="s">
        <v>20</v>
      </c>
      <c r="L130" t="s">
        <v>73</v>
      </c>
      <c r="M130" t="s">
        <v>73</v>
      </c>
      <c r="N130" s="1">
        <v>0.22916666666666666</v>
      </c>
      <c r="O130" s="1">
        <v>0.25</v>
      </c>
      <c r="P130" s="3">
        <v>4000112113</v>
      </c>
      <c r="Q130">
        <v>10051759</v>
      </c>
      <c r="R130" t="s">
        <v>58</v>
      </c>
      <c r="S130" t="s">
        <v>107</v>
      </c>
    </row>
    <row r="131" spans="3:19" x14ac:dyDescent="0.25">
      <c r="C131">
        <v>3120258</v>
      </c>
      <c r="D131" s="3" t="s">
        <v>33</v>
      </c>
      <c r="E131" s="3">
        <v>2</v>
      </c>
      <c r="F131" s="3" t="s">
        <v>29</v>
      </c>
      <c r="G131" s="3" t="s">
        <v>103</v>
      </c>
      <c r="H131" s="3">
        <v>30</v>
      </c>
      <c r="I131" s="3" t="s">
        <v>19</v>
      </c>
      <c r="J131" s="3">
        <f t="shared" si="1"/>
        <v>0.5</v>
      </c>
      <c r="K131" s="3" t="s">
        <v>20</v>
      </c>
      <c r="L131" t="s">
        <v>73</v>
      </c>
      <c r="M131" t="s">
        <v>73</v>
      </c>
      <c r="N131" s="1">
        <v>0.25</v>
      </c>
      <c r="O131" s="1">
        <v>0.27083333333333331</v>
      </c>
      <c r="P131" s="3">
        <v>4000112125</v>
      </c>
      <c r="Q131">
        <v>10051738</v>
      </c>
      <c r="R131" t="s">
        <v>58</v>
      </c>
    </row>
    <row r="132" spans="3:19" x14ac:dyDescent="0.25">
      <c r="C132">
        <v>3120252</v>
      </c>
      <c r="D132" s="3" t="s">
        <v>33</v>
      </c>
      <c r="E132" s="3">
        <v>2</v>
      </c>
      <c r="F132" s="3" t="s">
        <v>29</v>
      </c>
      <c r="G132" s="3" t="s">
        <v>103</v>
      </c>
      <c r="H132" s="3">
        <v>30</v>
      </c>
      <c r="I132" s="3" t="s">
        <v>19</v>
      </c>
      <c r="J132" s="3">
        <f t="shared" si="1"/>
        <v>0.5</v>
      </c>
      <c r="K132" s="3" t="s">
        <v>20</v>
      </c>
      <c r="L132" t="s">
        <v>109</v>
      </c>
      <c r="M132" t="s">
        <v>40</v>
      </c>
      <c r="N132" s="1">
        <v>0.95833333333333337</v>
      </c>
      <c r="O132" s="1">
        <v>0.97916666666666663</v>
      </c>
      <c r="P132" s="3">
        <v>4000112119</v>
      </c>
      <c r="Q132">
        <v>10049578</v>
      </c>
      <c r="R132" t="s">
        <v>58</v>
      </c>
      <c r="S132" t="s">
        <v>107</v>
      </c>
    </row>
    <row r="133" spans="3:19" x14ac:dyDescent="0.25">
      <c r="C133">
        <v>3120261</v>
      </c>
      <c r="D133" s="3" t="s">
        <v>33</v>
      </c>
      <c r="E133" s="3">
        <v>2</v>
      </c>
      <c r="F133" s="3" t="s">
        <v>29</v>
      </c>
      <c r="G133" s="3" t="s">
        <v>103</v>
      </c>
      <c r="H133" s="3">
        <v>30</v>
      </c>
      <c r="I133" s="3" t="s">
        <v>19</v>
      </c>
      <c r="J133" s="3">
        <f t="shared" si="1"/>
        <v>0.5</v>
      </c>
      <c r="K133" s="3" t="s">
        <v>20</v>
      </c>
      <c r="L133" t="s">
        <v>109</v>
      </c>
      <c r="M133" t="s">
        <v>40</v>
      </c>
      <c r="N133" s="1">
        <v>0</v>
      </c>
      <c r="O133" s="1">
        <v>2.0833333333333332E-2</v>
      </c>
      <c r="P133" s="3">
        <v>4000112128</v>
      </c>
      <c r="Q133">
        <v>10051174</v>
      </c>
      <c r="R133" t="s">
        <v>58</v>
      </c>
      <c r="S133" t="s">
        <v>107</v>
      </c>
    </row>
    <row r="134" spans="3:19" x14ac:dyDescent="0.25">
      <c r="C134">
        <v>3122771</v>
      </c>
      <c r="D134" s="3" t="s">
        <v>33</v>
      </c>
      <c r="E134" s="3">
        <v>2</v>
      </c>
      <c r="F134" s="3" t="s">
        <v>29</v>
      </c>
      <c r="G134" s="3" t="s">
        <v>103</v>
      </c>
      <c r="H134" s="3">
        <v>30</v>
      </c>
      <c r="I134" s="3" t="s">
        <v>19</v>
      </c>
      <c r="J134" s="3">
        <f t="shared" ref="J134:J197" si="2">H134/60</f>
        <v>0.5</v>
      </c>
      <c r="K134" s="3" t="s">
        <v>20</v>
      </c>
      <c r="L134" t="s">
        <v>109</v>
      </c>
      <c r="M134" t="s">
        <v>109</v>
      </c>
      <c r="N134" s="1">
        <v>0.20833333333333334</v>
      </c>
      <c r="O134" s="1">
        <v>0.22916666666666666</v>
      </c>
      <c r="P134" s="3">
        <v>4000113373</v>
      </c>
      <c r="Q134">
        <v>10049604</v>
      </c>
      <c r="R134" t="s">
        <v>31</v>
      </c>
      <c r="S134" t="s">
        <v>107</v>
      </c>
    </row>
    <row r="135" spans="3:19" x14ac:dyDescent="0.25">
      <c r="C135">
        <v>3122778</v>
      </c>
      <c r="D135" s="3" t="s">
        <v>33</v>
      </c>
      <c r="E135" s="3">
        <v>2</v>
      </c>
      <c r="F135" s="3" t="s">
        <v>29</v>
      </c>
      <c r="G135" s="3" t="s">
        <v>103</v>
      </c>
      <c r="H135" s="3">
        <v>30</v>
      </c>
      <c r="I135" s="3" t="s">
        <v>19</v>
      </c>
      <c r="J135" s="3">
        <f t="shared" si="2"/>
        <v>0.5</v>
      </c>
      <c r="K135" s="3" t="s">
        <v>20</v>
      </c>
      <c r="L135" t="s">
        <v>109</v>
      </c>
      <c r="M135" t="s">
        <v>109</v>
      </c>
      <c r="N135" s="1">
        <v>0.27083333333333331</v>
      </c>
      <c r="O135" s="1">
        <v>0.29166666666666669</v>
      </c>
      <c r="P135" s="3">
        <v>4000113380</v>
      </c>
      <c r="Q135">
        <v>10051230</v>
      </c>
      <c r="R135" t="s">
        <v>31</v>
      </c>
      <c r="S135" t="s">
        <v>107</v>
      </c>
    </row>
    <row r="136" spans="3:19" x14ac:dyDescent="0.25">
      <c r="C136">
        <v>3122779</v>
      </c>
      <c r="D136" s="3" t="s">
        <v>33</v>
      </c>
      <c r="E136" s="3">
        <v>2</v>
      </c>
      <c r="F136" s="3" t="s">
        <v>29</v>
      </c>
      <c r="G136" s="3" t="s">
        <v>103</v>
      </c>
      <c r="H136" s="3">
        <v>15</v>
      </c>
      <c r="I136" s="3" t="s">
        <v>19</v>
      </c>
      <c r="J136" s="3">
        <f t="shared" si="2"/>
        <v>0.25</v>
      </c>
      <c r="K136" s="3" t="s">
        <v>20</v>
      </c>
      <c r="L136" t="s">
        <v>109</v>
      </c>
      <c r="M136" t="s">
        <v>109</v>
      </c>
      <c r="N136" s="1">
        <v>0.11458333333333333</v>
      </c>
      <c r="O136" s="1">
        <v>0.125</v>
      </c>
      <c r="P136" s="3">
        <v>4000113381</v>
      </c>
      <c r="Q136">
        <v>10049598</v>
      </c>
      <c r="R136" t="s">
        <v>31</v>
      </c>
      <c r="S136" t="s">
        <v>37</v>
      </c>
    </row>
    <row r="137" spans="3:19" x14ac:dyDescent="0.25">
      <c r="C137">
        <v>3120227</v>
      </c>
      <c r="D137" s="3" t="s">
        <v>33</v>
      </c>
      <c r="E137" s="3">
        <v>2</v>
      </c>
      <c r="F137" s="3" t="s">
        <v>29</v>
      </c>
      <c r="G137" s="3" t="s">
        <v>103</v>
      </c>
      <c r="H137" s="3">
        <v>30</v>
      </c>
      <c r="I137" s="3" t="s">
        <v>19</v>
      </c>
      <c r="J137" s="3">
        <f t="shared" si="2"/>
        <v>0.5</v>
      </c>
      <c r="K137" s="3" t="s">
        <v>20</v>
      </c>
      <c r="L137" t="s">
        <v>40</v>
      </c>
      <c r="M137" t="s">
        <v>42</v>
      </c>
      <c r="N137" s="1">
        <v>2.0833333333333332E-2</v>
      </c>
      <c r="O137" s="1">
        <v>4.1666666666666664E-2</v>
      </c>
      <c r="P137" s="3">
        <v>4000112094</v>
      </c>
      <c r="Q137">
        <v>10049451</v>
      </c>
      <c r="R137" t="s">
        <v>57</v>
      </c>
      <c r="S137" t="s">
        <v>107</v>
      </c>
    </row>
    <row r="138" spans="3:19" x14ac:dyDescent="0.25">
      <c r="C138">
        <v>3120234</v>
      </c>
      <c r="D138" s="3" t="s">
        <v>33</v>
      </c>
      <c r="E138" s="3">
        <v>1</v>
      </c>
      <c r="F138" s="3" t="s">
        <v>29</v>
      </c>
      <c r="G138" s="3" t="s">
        <v>103</v>
      </c>
      <c r="H138" s="3">
        <v>30</v>
      </c>
      <c r="I138" s="3" t="s">
        <v>19</v>
      </c>
      <c r="J138" s="3">
        <f t="shared" si="2"/>
        <v>0.5</v>
      </c>
      <c r="K138" s="3" t="s">
        <v>20</v>
      </c>
      <c r="L138" t="s">
        <v>40</v>
      </c>
      <c r="M138" t="s">
        <v>42</v>
      </c>
      <c r="N138" s="1">
        <v>0</v>
      </c>
      <c r="O138" s="1">
        <v>2.0833333333333332E-2</v>
      </c>
      <c r="P138" s="3">
        <v>4000112101</v>
      </c>
      <c r="Q138">
        <v>10051541</v>
      </c>
      <c r="R138" t="s">
        <v>57</v>
      </c>
      <c r="S138" t="s">
        <v>108</v>
      </c>
    </row>
    <row r="139" spans="3:19" x14ac:dyDescent="0.25">
      <c r="C139">
        <v>3120252</v>
      </c>
      <c r="D139" s="3" t="s">
        <v>33</v>
      </c>
      <c r="E139" s="3">
        <v>3</v>
      </c>
      <c r="F139" s="3" t="s">
        <v>29</v>
      </c>
      <c r="G139" s="3" t="s">
        <v>103</v>
      </c>
      <c r="H139" s="3">
        <v>0</v>
      </c>
      <c r="I139" s="3" t="s">
        <v>19</v>
      </c>
      <c r="J139" s="3">
        <f t="shared" si="2"/>
        <v>0</v>
      </c>
      <c r="K139" s="3" t="s">
        <v>20</v>
      </c>
      <c r="L139" t="s">
        <v>40</v>
      </c>
      <c r="M139" t="s">
        <v>33</v>
      </c>
      <c r="N139" s="1">
        <v>0.97916666666666663</v>
      </c>
      <c r="O139" s="1">
        <v>0.36986111111111114</v>
      </c>
      <c r="P139" s="3">
        <v>4000112119</v>
      </c>
      <c r="Q139">
        <v>10049578</v>
      </c>
      <c r="R139" t="s">
        <v>58</v>
      </c>
    </row>
    <row r="140" spans="3:19" x14ac:dyDescent="0.25">
      <c r="C140">
        <v>3119982</v>
      </c>
      <c r="D140" s="3" t="s">
        <v>33</v>
      </c>
      <c r="E140" s="3">
        <v>2</v>
      </c>
      <c r="F140" s="3" t="s">
        <v>29</v>
      </c>
      <c r="G140" s="3" t="s">
        <v>103</v>
      </c>
      <c r="H140" s="3">
        <v>30</v>
      </c>
      <c r="I140" s="3" t="s">
        <v>19</v>
      </c>
      <c r="J140" s="3">
        <f t="shared" si="2"/>
        <v>0.5</v>
      </c>
      <c r="K140" s="3" t="s">
        <v>20</v>
      </c>
      <c r="L140" t="s">
        <v>42</v>
      </c>
      <c r="M140" t="s">
        <v>42</v>
      </c>
      <c r="N140" s="1">
        <v>0.25</v>
      </c>
      <c r="O140" s="1">
        <v>0.27083333333333331</v>
      </c>
      <c r="P140" s="3">
        <v>4000112053</v>
      </c>
      <c r="Q140">
        <v>10051555</v>
      </c>
      <c r="R140" t="s">
        <v>57</v>
      </c>
      <c r="S140" t="s">
        <v>107</v>
      </c>
    </row>
    <row r="141" spans="3:19" x14ac:dyDescent="0.25">
      <c r="C141">
        <v>3119987</v>
      </c>
      <c r="D141" s="3" t="s">
        <v>33</v>
      </c>
      <c r="E141" s="3">
        <v>2</v>
      </c>
      <c r="F141" s="3" t="s">
        <v>29</v>
      </c>
      <c r="G141" s="3" t="s">
        <v>103</v>
      </c>
      <c r="H141" s="3">
        <v>30</v>
      </c>
      <c r="I141" s="3" t="s">
        <v>19</v>
      </c>
      <c r="J141" s="3">
        <f t="shared" si="2"/>
        <v>0.5</v>
      </c>
      <c r="K141" s="3" t="s">
        <v>20</v>
      </c>
      <c r="L141" t="s">
        <v>42</v>
      </c>
      <c r="M141" t="s">
        <v>42</v>
      </c>
      <c r="N141" s="1">
        <v>0.10416666666666667</v>
      </c>
      <c r="O141" s="1">
        <v>0.125</v>
      </c>
      <c r="P141" s="3">
        <v>4000112058</v>
      </c>
      <c r="Q141">
        <v>10049461</v>
      </c>
      <c r="R141" t="s">
        <v>57</v>
      </c>
      <c r="S141" t="s">
        <v>107</v>
      </c>
    </row>
    <row r="142" spans="3:19" x14ac:dyDescent="0.25">
      <c r="C142">
        <v>3122115</v>
      </c>
      <c r="D142" s="3" t="s">
        <v>22</v>
      </c>
      <c r="E142" s="3">
        <v>2</v>
      </c>
      <c r="F142" s="3" t="s">
        <v>29</v>
      </c>
      <c r="G142" s="3" t="s">
        <v>103</v>
      </c>
      <c r="H142" s="3">
        <v>30</v>
      </c>
      <c r="I142" s="3" t="s">
        <v>19</v>
      </c>
      <c r="J142" s="3">
        <f t="shared" si="2"/>
        <v>0.5</v>
      </c>
      <c r="K142" s="3" t="s">
        <v>20</v>
      </c>
      <c r="L142" t="s">
        <v>51</v>
      </c>
      <c r="M142" t="s">
        <v>51</v>
      </c>
      <c r="N142" s="1">
        <v>0.85416666666666663</v>
      </c>
      <c r="O142" s="1">
        <v>0.91666666666666663</v>
      </c>
      <c r="P142" s="3">
        <v>4000112811</v>
      </c>
      <c r="Q142">
        <v>10051759</v>
      </c>
      <c r="R142" t="s">
        <v>58</v>
      </c>
      <c r="S142" t="s">
        <v>110</v>
      </c>
    </row>
    <row r="143" spans="3:19" x14ac:dyDescent="0.25">
      <c r="C143">
        <v>3123101</v>
      </c>
      <c r="D143" s="3" t="s">
        <v>22</v>
      </c>
      <c r="E143" s="3">
        <v>2</v>
      </c>
      <c r="F143" s="3" t="s">
        <v>29</v>
      </c>
      <c r="G143" s="3" t="s">
        <v>103</v>
      </c>
      <c r="H143" s="3">
        <v>30</v>
      </c>
      <c r="I143" s="3" t="s">
        <v>19</v>
      </c>
      <c r="J143" s="3">
        <f t="shared" si="2"/>
        <v>0.5</v>
      </c>
      <c r="K143" s="3" t="s">
        <v>20</v>
      </c>
      <c r="L143" t="s">
        <v>51</v>
      </c>
      <c r="M143" t="s">
        <v>51</v>
      </c>
      <c r="N143" s="1">
        <v>0.95833333333333337</v>
      </c>
      <c r="O143" s="1">
        <v>0.97916666666666663</v>
      </c>
      <c r="P143" s="3">
        <v>4000113403</v>
      </c>
      <c r="Q143">
        <v>10049565</v>
      </c>
      <c r="R143" t="s">
        <v>58</v>
      </c>
      <c r="S143" t="s">
        <v>65</v>
      </c>
    </row>
    <row r="144" spans="3:19" x14ac:dyDescent="0.25">
      <c r="C144">
        <v>3123138</v>
      </c>
      <c r="D144" s="3" t="s">
        <v>22</v>
      </c>
      <c r="E144" s="3">
        <v>2</v>
      </c>
      <c r="F144" s="3" t="s">
        <v>29</v>
      </c>
      <c r="G144" s="3" t="s">
        <v>103</v>
      </c>
      <c r="H144" s="3">
        <v>30</v>
      </c>
      <c r="I144" s="3" t="s">
        <v>19</v>
      </c>
      <c r="J144" s="3">
        <f t="shared" si="2"/>
        <v>0.5</v>
      </c>
      <c r="K144" s="3" t="s">
        <v>20</v>
      </c>
      <c r="L144" t="s">
        <v>51</v>
      </c>
      <c r="M144" t="s">
        <v>51</v>
      </c>
      <c r="N144" s="1">
        <v>0.95833333333333337</v>
      </c>
      <c r="O144" s="1">
        <v>0.97916666666666663</v>
      </c>
      <c r="P144" s="3">
        <v>4000113434</v>
      </c>
      <c r="Q144">
        <v>10051747</v>
      </c>
      <c r="R144" t="s">
        <v>58</v>
      </c>
      <c r="S144" t="s">
        <v>111</v>
      </c>
    </row>
    <row r="145" spans="3:19" x14ac:dyDescent="0.25">
      <c r="C145">
        <v>3132720</v>
      </c>
      <c r="D145" s="3" t="s">
        <v>22</v>
      </c>
      <c r="E145" s="3">
        <v>2</v>
      </c>
      <c r="F145" s="3" t="s">
        <v>29</v>
      </c>
      <c r="G145" s="3" t="s">
        <v>103</v>
      </c>
      <c r="H145" s="3">
        <v>30</v>
      </c>
      <c r="I145" s="3" t="s">
        <v>19</v>
      </c>
      <c r="J145" s="3">
        <f t="shared" si="2"/>
        <v>0.5</v>
      </c>
      <c r="K145" s="3" t="s">
        <v>20</v>
      </c>
      <c r="L145" t="s">
        <v>51</v>
      </c>
      <c r="M145" t="s">
        <v>51</v>
      </c>
      <c r="N145" s="1">
        <v>0.91666666666666663</v>
      </c>
      <c r="O145" s="1">
        <v>0.9375</v>
      </c>
      <c r="P145" s="3">
        <v>4000114077</v>
      </c>
      <c r="Q145">
        <v>10049534</v>
      </c>
      <c r="R145" t="s">
        <v>58</v>
      </c>
      <c r="S145" t="s">
        <v>112</v>
      </c>
    </row>
    <row r="146" spans="3:19" x14ac:dyDescent="0.25">
      <c r="C146">
        <v>3132721</v>
      </c>
      <c r="D146" s="3" t="s">
        <v>22</v>
      </c>
      <c r="E146" s="3">
        <v>2</v>
      </c>
      <c r="F146" s="3" t="s">
        <v>29</v>
      </c>
      <c r="G146" s="3" t="s">
        <v>103</v>
      </c>
      <c r="H146" s="3">
        <v>30</v>
      </c>
      <c r="I146" s="3" t="s">
        <v>19</v>
      </c>
      <c r="J146" s="3">
        <f t="shared" si="2"/>
        <v>0.5</v>
      </c>
      <c r="K146" s="3" t="s">
        <v>20</v>
      </c>
      <c r="L146" t="s">
        <v>51</v>
      </c>
      <c r="M146" t="s">
        <v>51</v>
      </c>
      <c r="N146" s="1">
        <v>0.9375</v>
      </c>
      <c r="O146" s="1">
        <v>0.95833333333333337</v>
      </c>
      <c r="P146" s="3">
        <v>4000114078</v>
      </c>
      <c r="Q146">
        <v>10049534</v>
      </c>
      <c r="R146" t="s">
        <v>58</v>
      </c>
      <c r="S146" t="s">
        <v>113</v>
      </c>
    </row>
    <row r="147" spans="3:19" x14ac:dyDescent="0.25">
      <c r="C147">
        <v>3123118</v>
      </c>
      <c r="D147" s="3" t="s">
        <v>22</v>
      </c>
      <c r="E147" s="3">
        <v>2</v>
      </c>
      <c r="F147" s="3" t="s">
        <v>29</v>
      </c>
      <c r="G147" s="3" t="s">
        <v>103</v>
      </c>
      <c r="H147" s="3">
        <v>30</v>
      </c>
      <c r="I147" s="3" t="s">
        <v>19</v>
      </c>
      <c r="J147" s="3">
        <f t="shared" si="2"/>
        <v>0.5</v>
      </c>
      <c r="K147" s="3" t="s">
        <v>20</v>
      </c>
      <c r="L147" t="s">
        <v>56</v>
      </c>
      <c r="M147" t="s">
        <v>56</v>
      </c>
      <c r="N147" s="1">
        <v>0</v>
      </c>
      <c r="O147" s="1">
        <v>2.0833333333333332E-2</v>
      </c>
      <c r="P147" s="3">
        <v>4000113418</v>
      </c>
      <c r="Q147">
        <v>10049578</v>
      </c>
      <c r="R147" t="s">
        <v>58</v>
      </c>
      <c r="S147" t="s">
        <v>65</v>
      </c>
    </row>
    <row r="148" spans="3:19" x14ac:dyDescent="0.25">
      <c r="C148">
        <v>3123143</v>
      </c>
      <c r="D148" s="3" t="s">
        <v>22</v>
      </c>
      <c r="E148" s="3">
        <v>2</v>
      </c>
      <c r="F148" s="3" t="s">
        <v>29</v>
      </c>
      <c r="G148" s="3" t="s">
        <v>103</v>
      </c>
      <c r="H148" s="3">
        <v>30</v>
      </c>
      <c r="I148" s="3" t="s">
        <v>19</v>
      </c>
      <c r="J148" s="3">
        <f t="shared" si="2"/>
        <v>0.5</v>
      </c>
      <c r="K148" s="3" t="s">
        <v>20</v>
      </c>
      <c r="L148" t="s">
        <v>56</v>
      </c>
      <c r="M148" t="s">
        <v>56</v>
      </c>
      <c r="N148" s="1">
        <v>2.0833333333333332E-2</v>
      </c>
      <c r="O148" s="1">
        <v>4.1666666666666664E-2</v>
      </c>
      <c r="P148" s="3">
        <v>4000113439</v>
      </c>
      <c r="Q148">
        <v>10051174</v>
      </c>
      <c r="R148" t="s">
        <v>58</v>
      </c>
      <c r="S148" t="s">
        <v>65</v>
      </c>
    </row>
    <row r="149" spans="3:19" x14ac:dyDescent="0.25">
      <c r="C149">
        <v>3120190</v>
      </c>
      <c r="D149" s="3" t="s">
        <v>28</v>
      </c>
      <c r="E149" s="3">
        <v>3</v>
      </c>
      <c r="F149" s="3" t="s">
        <v>29</v>
      </c>
      <c r="G149" s="3" t="s">
        <v>103</v>
      </c>
      <c r="H149" s="3">
        <v>30</v>
      </c>
      <c r="I149" s="3" t="s">
        <v>19</v>
      </c>
      <c r="J149" s="3">
        <f t="shared" si="2"/>
        <v>0.5</v>
      </c>
      <c r="K149" s="3" t="s">
        <v>20</v>
      </c>
      <c r="L149" t="s">
        <v>17</v>
      </c>
      <c r="M149" t="s">
        <v>17</v>
      </c>
      <c r="N149" s="1">
        <v>0.54166666666666663</v>
      </c>
      <c r="O149" s="1">
        <v>0.5625</v>
      </c>
      <c r="P149" s="3">
        <v>4000112667</v>
      </c>
      <c r="Q149">
        <v>10051541</v>
      </c>
      <c r="R149" t="s">
        <v>57</v>
      </c>
      <c r="S149" t="s">
        <v>96</v>
      </c>
    </row>
    <row r="150" spans="3:19" x14ac:dyDescent="0.25">
      <c r="C150">
        <v>3122006</v>
      </c>
      <c r="D150" s="3" t="s">
        <v>28</v>
      </c>
      <c r="E150" s="3">
        <v>3</v>
      </c>
      <c r="F150" s="3" t="s">
        <v>29</v>
      </c>
      <c r="G150" s="3" t="s">
        <v>103</v>
      </c>
      <c r="H150" s="3">
        <v>30</v>
      </c>
      <c r="I150" s="3" t="s">
        <v>19</v>
      </c>
      <c r="J150" s="3">
        <f t="shared" si="2"/>
        <v>0.5</v>
      </c>
      <c r="K150" s="3" t="s">
        <v>20</v>
      </c>
      <c r="L150" t="s">
        <v>55</v>
      </c>
      <c r="M150" t="s">
        <v>55</v>
      </c>
      <c r="N150" s="1">
        <v>0.60416666666666663</v>
      </c>
      <c r="O150" s="1">
        <v>0.625</v>
      </c>
      <c r="P150" s="3">
        <v>4000112703</v>
      </c>
      <c r="Q150">
        <v>10051548</v>
      </c>
      <c r="R150" t="s">
        <v>57</v>
      </c>
      <c r="S150" t="s">
        <v>96</v>
      </c>
    </row>
    <row r="151" spans="3:19" x14ac:dyDescent="0.25">
      <c r="C151">
        <v>3134236</v>
      </c>
      <c r="D151" s="3" t="s">
        <v>28</v>
      </c>
      <c r="E151" s="3">
        <v>2</v>
      </c>
      <c r="F151" s="3" t="s">
        <v>29</v>
      </c>
      <c r="G151" s="3" t="s">
        <v>103</v>
      </c>
      <c r="H151" s="3">
        <v>30</v>
      </c>
      <c r="I151" s="3" t="s">
        <v>19</v>
      </c>
      <c r="J151" s="3">
        <f t="shared" si="2"/>
        <v>0.5</v>
      </c>
      <c r="K151" s="3" t="s">
        <v>20</v>
      </c>
      <c r="L151" t="s">
        <v>55</v>
      </c>
      <c r="M151" t="s">
        <v>55</v>
      </c>
      <c r="N151" s="1">
        <v>0.60416666666666663</v>
      </c>
      <c r="O151" s="1">
        <v>0.625</v>
      </c>
      <c r="P151" s="3">
        <v>4000114983</v>
      </c>
      <c r="Q151">
        <v>10051548</v>
      </c>
      <c r="R151" t="s">
        <v>57</v>
      </c>
      <c r="S151" t="s">
        <v>114</v>
      </c>
    </row>
    <row r="152" spans="3:19" x14ac:dyDescent="0.25">
      <c r="C152">
        <v>3134248</v>
      </c>
      <c r="D152" s="3" t="s">
        <v>28</v>
      </c>
      <c r="E152" s="3">
        <v>3</v>
      </c>
      <c r="F152" s="3" t="s">
        <v>29</v>
      </c>
      <c r="G152" s="3" t="s">
        <v>103</v>
      </c>
      <c r="H152" s="3">
        <v>30</v>
      </c>
      <c r="I152" s="3" t="s">
        <v>19</v>
      </c>
      <c r="J152" s="3">
        <f t="shared" si="2"/>
        <v>0.5</v>
      </c>
      <c r="K152" s="3" t="s">
        <v>20</v>
      </c>
      <c r="L152" t="s">
        <v>55</v>
      </c>
      <c r="M152" t="s">
        <v>55</v>
      </c>
      <c r="N152" s="1">
        <v>0.5625</v>
      </c>
      <c r="O152" s="1">
        <v>0.58333333333333337</v>
      </c>
      <c r="P152" s="3">
        <v>4000114994</v>
      </c>
      <c r="Q152">
        <v>10051541</v>
      </c>
      <c r="R152" t="s">
        <v>57</v>
      </c>
      <c r="S152" t="s">
        <v>114</v>
      </c>
    </row>
    <row r="153" spans="3:19" x14ac:dyDescent="0.25">
      <c r="C153">
        <v>3134106</v>
      </c>
      <c r="D153" s="3" t="s">
        <v>28</v>
      </c>
      <c r="E153" s="3">
        <v>2</v>
      </c>
      <c r="F153" s="3" t="s">
        <v>29</v>
      </c>
      <c r="G153" s="3" t="s">
        <v>103</v>
      </c>
      <c r="H153" s="3">
        <v>30</v>
      </c>
      <c r="I153" s="3" t="s">
        <v>19</v>
      </c>
      <c r="J153" s="3">
        <f t="shared" si="2"/>
        <v>0.5</v>
      </c>
      <c r="K153" s="3" t="s">
        <v>20</v>
      </c>
      <c r="L153" t="s">
        <v>22</v>
      </c>
      <c r="M153" t="s">
        <v>22</v>
      </c>
      <c r="N153" s="1">
        <v>0.6875</v>
      </c>
      <c r="O153" s="1">
        <v>0.70833333333333337</v>
      </c>
      <c r="P153" s="3">
        <v>4000114865</v>
      </c>
      <c r="Q153">
        <v>10049657</v>
      </c>
      <c r="R153" t="s">
        <v>38</v>
      </c>
      <c r="S153" t="s">
        <v>115</v>
      </c>
    </row>
    <row r="154" spans="3:19" x14ac:dyDescent="0.25">
      <c r="C154">
        <v>3134249</v>
      </c>
      <c r="D154" s="3" t="s">
        <v>28</v>
      </c>
      <c r="E154" s="3">
        <v>2</v>
      </c>
      <c r="F154" s="3" t="s">
        <v>29</v>
      </c>
      <c r="G154" s="3" t="s">
        <v>103</v>
      </c>
      <c r="H154" s="3">
        <v>30</v>
      </c>
      <c r="I154" s="3" t="s">
        <v>19</v>
      </c>
      <c r="J154" s="3">
        <f t="shared" si="2"/>
        <v>0.5</v>
      </c>
      <c r="K154" s="3" t="s">
        <v>20</v>
      </c>
      <c r="L154" t="s">
        <v>22</v>
      </c>
      <c r="M154" t="s">
        <v>22</v>
      </c>
      <c r="N154" s="1">
        <v>0.39583333333333331</v>
      </c>
      <c r="O154" s="1">
        <v>0.41666666666666669</v>
      </c>
      <c r="P154" s="3">
        <v>4000114995</v>
      </c>
      <c r="Q154">
        <v>10049640</v>
      </c>
      <c r="R154" t="s">
        <v>38</v>
      </c>
      <c r="S154" t="s">
        <v>116</v>
      </c>
    </row>
    <row r="155" spans="3:19" x14ac:dyDescent="0.25">
      <c r="C155">
        <v>3134251</v>
      </c>
      <c r="D155" s="3" t="s">
        <v>28</v>
      </c>
      <c r="E155" s="3">
        <v>2</v>
      </c>
      <c r="F155" s="3" t="s">
        <v>29</v>
      </c>
      <c r="G155" s="3" t="s">
        <v>103</v>
      </c>
      <c r="H155" s="3">
        <v>30</v>
      </c>
      <c r="I155" s="3" t="s">
        <v>19</v>
      </c>
      <c r="J155" s="3">
        <f t="shared" si="2"/>
        <v>0.5</v>
      </c>
      <c r="K155" s="3" t="s">
        <v>20</v>
      </c>
      <c r="L155" t="s">
        <v>22</v>
      </c>
      <c r="M155" t="s">
        <v>22</v>
      </c>
      <c r="N155" s="1">
        <v>0.66666666666666663</v>
      </c>
      <c r="O155" s="1">
        <v>0.6875</v>
      </c>
      <c r="P155" s="3">
        <v>4000114997</v>
      </c>
      <c r="Q155">
        <v>10049657</v>
      </c>
      <c r="R155" t="s">
        <v>38</v>
      </c>
      <c r="S155" t="s">
        <v>117</v>
      </c>
    </row>
    <row r="156" spans="3:19" x14ac:dyDescent="0.25">
      <c r="C156">
        <v>3137174</v>
      </c>
      <c r="D156" s="3" t="s">
        <v>28</v>
      </c>
      <c r="E156" s="3">
        <v>2</v>
      </c>
      <c r="F156" s="3" t="s">
        <v>29</v>
      </c>
      <c r="G156" s="3" t="s">
        <v>103</v>
      </c>
      <c r="H156" s="3">
        <v>30</v>
      </c>
      <c r="I156" s="3" t="s">
        <v>19</v>
      </c>
      <c r="J156" s="3">
        <f t="shared" si="2"/>
        <v>0.5</v>
      </c>
      <c r="K156" s="3" t="s">
        <v>20</v>
      </c>
      <c r="L156" t="s">
        <v>22</v>
      </c>
      <c r="M156" t="s">
        <v>22</v>
      </c>
      <c r="N156" s="1">
        <v>0.6875</v>
      </c>
      <c r="O156" s="1">
        <v>0.70833333333333337</v>
      </c>
      <c r="P156" s="3">
        <v>4000115995</v>
      </c>
      <c r="Q156">
        <v>10049640</v>
      </c>
      <c r="R156" t="s">
        <v>38</v>
      </c>
      <c r="S156" t="s">
        <v>107</v>
      </c>
    </row>
    <row r="157" spans="3:19" x14ac:dyDescent="0.25">
      <c r="C157">
        <v>3134259</v>
      </c>
      <c r="D157" s="3" t="s">
        <v>28</v>
      </c>
      <c r="E157" s="3">
        <v>2</v>
      </c>
      <c r="F157" s="3" t="s">
        <v>29</v>
      </c>
      <c r="G157" s="3" t="s">
        <v>103</v>
      </c>
      <c r="H157" s="3">
        <v>30</v>
      </c>
      <c r="I157" s="3" t="s">
        <v>19</v>
      </c>
      <c r="J157" s="3">
        <f t="shared" si="2"/>
        <v>0.5</v>
      </c>
      <c r="K157" s="3" t="s">
        <v>20</v>
      </c>
      <c r="L157" t="s">
        <v>118</v>
      </c>
      <c r="M157" t="s">
        <v>118</v>
      </c>
      <c r="N157" s="1">
        <v>0.45833333333333331</v>
      </c>
      <c r="O157" s="1">
        <v>0.47916666666666669</v>
      </c>
      <c r="P157" s="3">
        <v>4000115005</v>
      </c>
      <c r="Q157">
        <v>10051759</v>
      </c>
      <c r="R157" t="s">
        <v>58</v>
      </c>
      <c r="S157" t="s">
        <v>96</v>
      </c>
    </row>
    <row r="158" spans="3:19" x14ac:dyDescent="0.25">
      <c r="C158">
        <v>3134271</v>
      </c>
      <c r="D158" s="3" t="s">
        <v>28</v>
      </c>
      <c r="E158" s="3">
        <v>2</v>
      </c>
      <c r="F158" s="3" t="s">
        <v>29</v>
      </c>
      <c r="G158" s="3" t="s">
        <v>103</v>
      </c>
      <c r="H158" s="3">
        <v>30</v>
      </c>
      <c r="I158" s="3" t="s">
        <v>19</v>
      </c>
      <c r="J158" s="3">
        <f t="shared" si="2"/>
        <v>0.5</v>
      </c>
      <c r="K158" s="3" t="s">
        <v>20</v>
      </c>
      <c r="L158" t="s">
        <v>118</v>
      </c>
      <c r="M158" t="s">
        <v>118</v>
      </c>
      <c r="N158" s="1">
        <v>0.4375</v>
      </c>
      <c r="O158" s="1">
        <v>0.45833333333333331</v>
      </c>
      <c r="P158" s="3">
        <v>4000115017</v>
      </c>
      <c r="Q158">
        <v>10049534</v>
      </c>
      <c r="R158" t="s">
        <v>58</v>
      </c>
      <c r="S158" t="s">
        <v>119</v>
      </c>
    </row>
    <row r="159" spans="3:19" x14ac:dyDescent="0.25">
      <c r="C159">
        <v>3134275</v>
      </c>
      <c r="D159" s="3" t="s">
        <v>28</v>
      </c>
      <c r="E159" s="3">
        <v>2</v>
      </c>
      <c r="F159" s="3" t="s">
        <v>29</v>
      </c>
      <c r="G159" s="3" t="s">
        <v>103</v>
      </c>
      <c r="H159" s="3">
        <v>60</v>
      </c>
      <c r="I159" s="3" t="s">
        <v>19</v>
      </c>
      <c r="J159" s="3">
        <f t="shared" si="2"/>
        <v>1</v>
      </c>
      <c r="K159" s="3" t="s">
        <v>20</v>
      </c>
      <c r="L159" t="s">
        <v>118</v>
      </c>
      <c r="M159" t="s">
        <v>118</v>
      </c>
      <c r="N159" s="1">
        <v>0.54166666666666663</v>
      </c>
      <c r="O159" s="1">
        <v>0.58333333333333337</v>
      </c>
      <c r="P159" s="3">
        <v>4000115021</v>
      </c>
      <c r="Q159">
        <v>10051747</v>
      </c>
      <c r="R159" t="s">
        <v>58</v>
      </c>
      <c r="S159" t="s">
        <v>96</v>
      </c>
    </row>
    <row r="160" spans="3:19" x14ac:dyDescent="0.25">
      <c r="C160">
        <v>3134277</v>
      </c>
      <c r="D160" s="3" t="s">
        <v>28</v>
      </c>
      <c r="E160" s="3">
        <v>2</v>
      </c>
      <c r="F160" s="3" t="s">
        <v>29</v>
      </c>
      <c r="G160" s="3" t="s">
        <v>103</v>
      </c>
      <c r="H160" s="3">
        <v>30</v>
      </c>
      <c r="I160" s="3" t="s">
        <v>19</v>
      </c>
      <c r="J160" s="3">
        <f t="shared" si="2"/>
        <v>0.5</v>
      </c>
      <c r="K160" s="3" t="s">
        <v>20</v>
      </c>
      <c r="L160" t="s">
        <v>118</v>
      </c>
      <c r="M160" t="s">
        <v>118</v>
      </c>
      <c r="N160" s="1">
        <v>0.41666666666666669</v>
      </c>
      <c r="O160" s="1">
        <v>0.4375</v>
      </c>
      <c r="P160" s="3">
        <v>4000115023</v>
      </c>
      <c r="Q160">
        <v>10049534</v>
      </c>
      <c r="R160" t="s">
        <v>58</v>
      </c>
      <c r="S160" t="s">
        <v>120</v>
      </c>
    </row>
    <row r="161" spans="3:19" x14ac:dyDescent="0.25">
      <c r="C161">
        <v>3137646</v>
      </c>
      <c r="D161" s="3" t="s">
        <v>28</v>
      </c>
      <c r="E161" s="3">
        <v>2</v>
      </c>
      <c r="F161" s="3" t="s">
        <v>29</v>
      </c>
      <c r="G161" s="3" t="s">
        <v>103</v>
      </c>
      <c r="H161" s="3">
        <v>30</v>
      </c>
      <c r="I161" s="3" t="s">
        <v>19</v>
      </c>
      <c r="J161" s="3">
        <f t="shared" si="2"/>
        <v>0.5</v>
      </c>
      <c r="K161" s="3" t="s">
        <v>20</v>
      </c>
      <c r="L161" t="s">
        <v>118</v>
      </c>
      <c r="M161" t="s">
        <v>118</v>
      </c>
      <c r="N161" s="1">
        <v>0.375</v>
      </c>
      <c r="O161" s="1">
        <v>0.39583333333333331</v>
      </c>
      <c r="P161" s="3">
        <v>4000116079</v>
      </c>
      <c r="Q161">
        <v>10049534</v>
      </c>
      <c r="R161" t="s">
        <v>58</v>
      </c>
      <c r="S161" t="s">
        <v>121</v>
      </c>
    </row>
    <row r="162" spans="3:19" x14ac:dyDescent="0.25">
      <c r="C162">
        <v>3122054</v>
      </c>
      <c r="D162" s="3" t="s">
        <v>17</v>
      </c>
      <c r="E162" s="3">
        <v>2</v>
      </c>
      <c r="F162" s="3" t="s">
        <v>18</v>
      </c>
      <c r="G162" s="3" t="s">
        <v>122</v>
      </c>
      <c r="H162" s="3">
        <v>10</v>
      </c>
      <c r="I162" s="3" t="s">
        <v>19</v>
      </c>
      <c r="J162" s="3">
        <f t="shared" si="2"/>
        <v>0.16666666666666666</v>
      </c>
      <c r="K162" s="3" t="s">
        <v>20</v>
      </c>
      <c r="L162" t="s">
        <v>56</v>
      </c>
      <c r="M162" t="s">
        <v>56</v>
      </c>
      <c r="N162" s="1">
        <v>0.45833333333333331</v>
      </c>
      <c r="O162" s="1">
        <v>0.46527777777777773</v>
      </c>
      <c r="P162" s="3">
        <v>4000112750</v>
      </c>
      <c r="Q162">
        <v>10067262</v>
      </c>
      <c r="R162" t="s">
        <v>26</v>
      </c>
      <c r="S162" t="s">
        <v>123</v>
      </c>
    </row>
    <row r="163" spans="3:19" x14ac:dyDescent="0.25">
      <c r="C163">
        <v>3122078</v>
      </c>
      <c r="D163" s="3" t="s">
        <v>17</v>
      </c>
      <c r="E163" s="3">
        <v>2</v>
      </c>
      <c r="F163" s="3" t="s">
        <v>18</v>
      </c>
      <c r="G163" s="3" t="s">
        <v>122</v>
      </c>
      <c r="H163" s="3">
        <v>10</v>
      </c>
      <c r="I163" s="3" t="s">
        <v>19</v>
      </c>
      <c r="J163" s="3">
        <f t="shared" si="2"/>
        <v>0.16666666666666666</v>
      </c>
      <c r="K163" s="3" t="s">
        <v>20</v>
      </c>
      <c r="L163" t="s">
        <v>56</v>
      </c>
      <c r="M163" t="s">
        <v>56</v>
      </c>
      <c r="N163" s="1">
        <v>0.44444444444444442</v>
      </c>
      <c r="O163" s="1">
        <v>0.4513888888888889</v>
      </c>
      <c r="P163" s="3">
        <v>4000112774</v>
      </c>
      <c r="Q163">
        <v>10067260</v>
      </c>
      <c r="R163" t="s">
        <v>26</v>
      </c>
      <c r="S163" t="s">
        <v>123</v>
      </c>
    </row>
    <row r="164" spans="3:19" x14ac:dyDescent="0.25">
      <c r="C164">
        <v>3122079</v>
      </c>
      <c r="D164" s="3" t="s">
        <v>17</v>
      </c>
      <c r="E164" s="3">
        <v>2</v>
      </c>
      <c r="F164" s="3" t="s">
        <v>18</v>
      </c>
      <c r="G164" s="3" t="s">
        <v>122</v>
      </c>
      <c r="H164" s="3">
        <v>10</v>
      </c>
      <c r="I164" s="3" t="s">
        <v>19</v>
      </c>
      <c r="J164" s="3">
        <f t="shared" si="2"/>
        <v>0.16666666666666666</v>
      </c>
      <c r="K164" s="3" t="s">
        <v>20</v>
      </c>
      <c r="L164" t="s">
        <v>56</v>
      </c>
      <c r="M164" t="s">
        <v>56</v>
      </c>
      <c r="N164" s="1">
        <v>0.4513888888888889</v>
      </c>
      <c r="O164" s="1">
        <v>0.45833333333333331</v>
      </c>
      <c r="P164" s="3">
        <v>4000112775</v>
      </c>
      <c r="Q164">
        <v>10067261</v>
      </c>
      <c r="R164" t="s">
        <v>26</v>
      </c>
      <c r="S164" t="s">
        <v>123</v>
      </c>
    </row>
    <row r="165" spans="3:19" x14ac:dyDescent="0.25">
      <c r="C165">
        <v>3110488</v>
      </c>
      <c r="D165" s="3" t="s">
        <v>17</v>
      </c>
      <c r="E165" s="3">
        <v>2</v>
      </c>
      <c r="F165" s="3" t="s">
        <v>18</v>
      </c>
      <c r="G165" s="3" t="s">
        <v>122</v>
      </c>
      <c r="H165" s="3">
        <v>10</v>
      </c>
      <c r="I165" s="3" t="s">
        <v>19</v>
      </c>
      <c r="J165" s="3">
        <f t="shared" si="2"/>
        <v>0.16666666666666666</v>
      </c>
      <c r="K165" s="3" t="s">
        <v>20</v>
      </c>
      <c r="L165" t="s">
        <v>24</v>
      </c>
      <c r="M165" t="s">
        <v>24</v>
      </c>
      <c r="N165" s="1">
        <v>0.4375</v>
      </c>
      <c r="O165" s="1">
        <v>0.44444444444444442</v>
      </c>
      <c r="P165" s="3">
        <v>4000107644</v>
      </c>
      <c r="Q165">
        <v>10067260</v>
      </c>
      <c r="R165" t="s">
        <v>26</v>
      </c>
      <c r="S165" t="s">
        <v>123</v>
      </c>
    </row>
    <row r="166" spans="3:19" x14ac:dyDescent="0.25">
      <c r="C166">
        <v>3122070</v>
      </c>
      <c r="D166" s="3" t="s">
        <v>17</v>
      </c>
      <c r="E166" s="3">
        <v>2</v>
      </c>
      <c r="F166" s="3" t="s">
        <v>18</v>
      </c>
      <c r="G166" s="3" t="s">
        <v>122</v>
      </c>
      <c r="H166" s="3">
        <v>10</v>
      </c>
      <c r="I166" s="3" t="s">
        <v>19</v>
      </c>
      <c r="J166" s="3">
        <f t="shared" si="2"/>
        <v>0.16666666666666666</v>
      </c>
      <c r="K166" s="3" t="s">
        <v>20</v>
      </c>
      <c r="L166" t="s">
        <v>24</v>
      </c>
      <c r="M166" t="s">
        <v>24</v>
      </c>
      <c r="N166" s="1">
        <v>0.5</v>
      </c>
      <c r="O166" s="1">
        <v>0.50694444444444442</v>
      </c>
      <c r="P166" s="3">
        <v>4000112766</v>
      </c>
      <c r="Q166">
        <v>10055720</v>
      </c>
      <c r="R166" t="s">
        <v>26</v>
      </c>
      <c r="S166" t="s">
        <v>123</v>
      </c>
    </row>
    <row r="167" spans="3:19" x14ac:dyDescent="0.25">
      <c r="C167">
        <v>3122071</v>
      </c>
      <c r="D167" s="3" t="s">
        <v>17</v>
      </c>
      <c r="E167" s="3">
        <v>2</v>
      </c>
      <c r="F167" s="3" t="s">
        <v>18</v>
      </c>
      <c r="G167" s="3" t="s">
        <v>122</v>
      </c>
      <c r="H167" s="3">
        <v>10</v>
      </c>
      <c r="I167" s="3" t="s">
        <v>19</v>
      </c>
      <c r="J167" s="3">
        <f t="shared" si="2"/>
        <v>0.16666666666666666</v>
      </c>
      <c r="K167" s="3" t="s">
        <v>20</v>
      </c>
      <c r="L167" t="s">
        <v>24</v>
      </c>
      <c r="M167" t="s">
        <v>24</v>
      </c>
      <c r="N167" s="1">
        <v>0.51388888888888895</v>
      </c>
      <c r="O167" s="1">
        <v>0.52083333333333337</v>
      </c>
      <c r="P167" s="3">
        <v>4000112767</v>
      </c>
      <c r="Q167">
        <v>10070390</v>
      </c>
      <c r="R167" t="s">
        <v>26</v>
      </c>
      <c r="S167" t="s">
        <v>123</v>
      </c>
    </row>
    <row r="168" spans="3:19" x14ac:dyDescent="0.25">
      <c r="C168">
        <v>3122075</v>
      </c>
      <c r="D168" s="3" t="s">
        <v>17</v>
      </c>
      <c r="E168" s="3">
        <v>2</v>
      </c>
      <c r="F168" s="3" t="s">
        <v>18</v>
      </c>
      <c r="G168" s="3" t="s">
        <v>122</v>
      </c>
      <c r="H168" s="3">
        <v>10</v>
      </c>
      <c r="I168" s="3" t="s">
        <v>19</v>
      </c>
      <c r="J168" s="3">
        <f t="shared" si="2"/>
        <v>0.16666666666666666</v>
      </c>
      <c r="K168" s="3" t="s">
        <v>20</v>
      </c>
      <c r="L168" t="s">
        <v>24</v>
      </c>
      <c r="M168" t="s">
        <v>24</v>
      </c>
      <c r="N168" s="1">
        <v>0.47222222222222227</v>
      </c>
      <c r="O168" s="1">
        <v>0.47916666666666669</v>
      </c>
      <c r="P168" s="3">
        <v>4000112771</v>
      </c>
      <c r="Q168">
        <v>10049756</v>
      </c>
      <c r="R168" t="s">
        <v>26</v>
      </c>
      <c r="S168" t="s">
        <v>123</v>
      </c>
    </row>
    <row r="169" spans="3:19" x14ac:dyDescent="0.25">
      <c r="C169">
        <v>3122076</v>
      </c>
      <c r="D169" s="3" t="s">
        <v>17</v>
      </c>
      <c r="E169" s="3">
        <v>2</v>
      </c>
      <c r="F169" s="3" t="s">
        <v>18</v>
      </c>
      <c r="G169" s="3" t="s">
        <v>122</v>
      </c>
      <c r="H169" s="3">
        <v>10</v>
      </c>
      <c r="I169" s="3" t="s">
        <v>19</v>
      </c>
      <c r="J169" s="3">
        <f t="shared" si="2"/>
        <v>0.16666666666666666</v>
      </c>
      <c r="K169" s="3" t="s">
        <v>20</v>
      </c>
      <c r="L169" t="s">
        <v>24</v>
      </c>
      <c r="M169" t="s">
        <v>24</v>
      </c>
      <c r="N169" s="1">
        <v>0.47916666666666669</v>
      </c>
      <c r="O169" s="1">
        <v>0.4861111111111111</v>
      </c>
      <c r="P169" s="3">
        <v>4000112772</v>
      </c>
      <c r="Q169">
        <v>10049758</v>
      </c>
      <c r="R169" t="s">
        <v>26</v>
      </c>
      <c r="S169" t="s">
        <v>123</v>
      </c>
    </row>
    <row r="170" spans="3:19" x14ac:dyDescent="0.25">
      <c r="C170">
        <v>3122102</v>
      </c>
      <c r="D170" s="3" t="s">
        <v>17</v>
      </c>
      <c r="E170" s="3">
        <v>2</v>
      </c>
      <c r="F170" s="3" t="s">
        <v>18</v>
      </c>
      <c r="G170" s="3" t="s">
        <v>122</v>
      </c>
      <c r="H170" s="3">
        <v>10</v>
      </c>
      <c r="I170" s="3" t="s">
        <v>19</v>
      </c>
      <c r="J170" s="3">
        <f t="shared" si="2"/>
        <v>0.16666666666666666</v>
      </c>
      <c r="K170" s="3" t="s">
        <v>20</v>
      </c>
      <c r="L170" t="s">
        <v>24</v>
      </c>
      <c r="M170" t="s">
        <v>24</v>
      </c>
      <c r="N170" s="1">
        <v>0.5</v>
      </c>
      <c r="O170" s="1">
        <v>0.50694444444444442</v>
      </c>
      <c r="P170" s="3">
        <v>4000112798</v>
      </c>
      <c r="Q170">
        <v>10055719</v>
      </c>
      <c r="R170" t="s">
        <v>26</v>
      </c>
      <c r="S170" t="s">
        <v>123</v>
      </c>
    </row>
    <row r="171" spans="3:19" x14ac:dyDescent="0.25">
      <c r="C171">
        <v>3122102</v>
      </c>
      <c r="D171" s="3" t="s">
        <v>17</v>
      </c>
      <c r="E171" s="3">
        <v>3</v>
      </c>
      <c r="F171" s="3" t="s">
        <v>18</v>
      </c>
      <c r="G171" s="3" t="s">
        <v>122</v>
      </c>
      <c r="H171" s="3">
        <v>40</v>
      </c>
      <c r="I171" s="3" t="s">
        <v>19</v>
      </c>
      <c r="J171" s="3">
        <f t="shared" si="2"/>
        <v>0.66666666666666663</v>
      </c>
      <c r="K171" s="3" t="s">
        <v>20</v>
      </c>
      <c r="L171" t="s">
        <v>24</v>
      </c>
      <c r="M171" t="s">
        <v>17</v>
      </c>
      <c r="N171" s="1">
        <v>0.50694444444444442</v>
      </c>
      <c r="O171" s="1">
        <v>0.4806597222222222</v>
      </c>
      <c r="P171" s="3">
        <v>4000112798</v>
      </c>
      <c r="Q171">
        <v>10055719</v>
      </c>
      <c r="R171" t="s">
        <v>26</v>
      </c>
    </row>
    <row r="172" spans="3:19" x14ac:dyDescent="0.25">
      <c r="C172">
        <v>3122118</v>
      </c>
      <c r="D172" s="3" t="s">
        <v>17</v>
      </c>
      <c r="E172" s="3">
        <v>2</v>
      </c>
      <c r="F172" s="3" t="s">
        <v>18</v>
      </c>
      <c r="G172" s="3" t="s">
        <v>122</v>
      </c>
      <c r="H172" s="3">
        <v>10</v>
      </c>
      <c r="I172" s="3" t="s">
        <v>19</v>
      </c>
      <c r="J172" s="3">
        <f t="shared" si="2"/>
        <v>0.16666666666666666</v>
      </c>
      <c r="K172" s="3" t="s">
        <v>20</v>
      </c>
      <c r="L172" t="s">
        <v>24</v>
      </c>
      <c r="M172" t="s">
        <v>24</v>
      </c>
      <c r="N172" s="1">
        <v>0.4861111111111111</v>
      </c>
      <c r="O172" s="1">
        <v>0.49305555555555558</v>
      </c>
      <c r="P172" s="3">
        <v>4000112814</v>
      </c>
      <c r="Q172">
        <v>10051506</v>
      </c>
      <c r="R172" t="s">
        <v>26</v>
      </c>
      <c r="S172" t="s">
        <v>123</v>
      </c>
    </row>
    <row r="173" spans="3:19" x14ac:dyDescent="0.25">
      <c r="C173">
        <v>3122119</v>
      </c>
      <c r="D173" s="3" t="s">
        <v>17</v>
      </c>
      <c r="E173" s="3">
        <v>2</v>
      </c>
      <c r="F173" s="3" t="s">
        <v>18</v>
      </c>
      <c r="G173" s="3" t="s">
        <v>122</v>
      </c>
      <c r="H173" s="3">
        <v>10</v>
      </c>
      <c r="I173" s="3" t="s">
        <v>19</v>
      </c>
      <c r="J173" s="3">
        <f t="shared" si="2"/>
        <v>0.16666666666666666</v>
      </c>
      <c r="K173" s="3" t="s">
        <v>20</v>
      </c>
      <c r="L173" t="s">
        <v>24</v>
      </c>
      <c r="M173" t="s">
        <v>24</v>
      </c>
      <c r="N173" s="1">
        <v>0.46527777777777773</v>
      </c>
      <c r="O173" s="1">
        <v>0.47222222222222227</v>
      </c>
      <c r="P173" s="3">
        <v>4000112815</v>
      </c>
      <c r="Q173">
        <v>10049796</v>
      </c>
      <c r="R173" t="s">
        <v>26</v>
      </c>
      <c r="S173" t="s">
        <v>123</v>
      </c>
    </row>
    <row r="174" spans="3:19" x14ac:dyDescent="0.25">
      <c r="C174">
        <v>3122040</v>
      </c>
      <c r="D174" s="3" t="s">
        <v>22</v>
      </c>
      <c r="E174" s="3">
        <v>2</v>
      </c>
      <c r="F174" s="3" t="s">
        <v>18</v>
      </c>
      <c r="G174" s="3" t="s">
        <v>122</v>
      </c>
      <c r="H174" s="3">
        <v>10</v>
      </c>
      <c r="I174" s="3" t="s">
        <v>19</v>
      </c>
      <c r="J174" s="3">
        <f t="shared" si="2"/>
        <v>0.16666666666666666</v>
      </c>
      <c r="K174" s="3" t="s">
        <v>20</v>
      </c>
      <c r="L174" t="s">
        <v>25</v>
      </c>
      <c r="M174" t="s">
        <v>25</v>
      </c>
      <c r="N174" s="1">
        <v>0.83333333333333337</v>
      </c>
      <c r="O174" s="1">
        <v>0.84027777777777779</v>
      </c>
      <c r="P174" s="3">
        <v>4000112736</v>
      </c>
      <c r="Q174">
        <v>10051200</v>
      </c>
      <c r="R174" t="s">
        <v>26</v>
      </c>
      <c r="S174" t="s">
        <v>124</v>
      </c>
    </row>
    <row r="175" spans="3:19" x14ac:dyDescent="0.25">
      <c r="C175">
        <v>3122055</v>
      </c>
      <c r="D175" s="3" t="s">
        <v>22</v>
      </c>
      <c r="E175" s="3">
        <v>2</v>
      </c>
      <c r="F175" s="3" t="s">
        <v>18</v>
      </c>
      <c r="G175" s="3" t="s">
        <v>122</v>
      </c>
      <c r="H175" s="3">
        <v>10</v>
      </c>
      <c r="I175" s="3" t="s">
        <v>19</v>
      </c>
      <c r="J175" s="3">
        <f t="shared" si="2"/>
        <v>0.16666666666666666</v>
      </c>
      <c r="K175" s="3" t="s">
        <v>20</v>
      </c>
      <c r="L175" t="s">
        <v>25</v>
      </c>
      <c r="M175" t="s">
        <v>25</v>
      </c>
      <c r="N175" s="1">
        <v>0.88888888888888884</v>
      </c>
      <c r="O175" s="1">
        <v>0.89583333333333337</v>
      </c>
      <c r="P175" s="3">
        <v>4000112751</v>
      </c>
      <c r="Q175">
        <v>10049770</v>
      </c>
      <c r="R175" t="s">
        <v>26</v>
      </c>
      <c r="S175" t="s">
        <v>125</v>
      </c>
    </row>
    <row r="176" spans="3:19" x14ac:dyDescent="0.25">
      <c r="C176">
        <v>3122068</v>
      </c>
      <c r="D176" s="3" t="s">
        <v>22</v>
      </c>
      <c r="E176" s="3">
        <v>2</v>
      </c>
      <c r="F176" s="3" t="s">
        <v>18</v>
      </c>
      <c r="G176" s="3" t="s">
        <v>122</v>
      </c>
      <c r="H176" s="3">
        <v>15</v>
      </c>
      <c r="I176" s="3" t="s">
        <v>19</v>
      </c>
      <c r="J176" s="3">
        <f t="shared" si="2"/>
        <v>0.25</v>
      </c>
      <c r="K176" s="3" t="s">
        <v>20</v>
      </c>
      <c r="L176" t="s">
        <v>25</v>
      </c>
      <c r="M176" t="s">
        <v>25</v>
      </c>
      <c r="N176" s="1">
        <v>0.87152777777777779</v>
      </c>
      <c r="O176" s="1">
        <v>0.88194444444444453</v>
      </c>
      <c r="P176" s="3">
        <v>4000112764</v>
      </c>
      <c r="Q176">
        <v>10056253</v>
      </c>
      <c r="R176" t="s">
        <v>26</v>
      </c>
      <c r="S176" t="s">
        <v>126</v>
      </c>
    </row>
    <row r="177" spans="3:19" x14ac:dyDescent="0.25">
      <c r="C177">
        <v>3122111</v>
      </c>
      <c r="D177" s="3" t="s">
        <v>22</v>
      </c>
      <c r="E177" s="3">
        <v>2</v>
      </c>
      <c r="F177" s="3" t="s">
        <v>18</v>
      </c>
      <c r="G177" s="3" t="s">
        <v>122</v>
      </c>
      <c r="H177" s="3">
        <v>20</v>
      </c>
      <c r="I177" s="3" t="s">
        <v>19</v>
      </c>
      <c r="J177" s="3">
        <f t="shared" si="2"/>
        <v>0.33333333333333331</v>
      </c>
      <c r="K177" s="3" t="s">
        <v>20</v>
      </c>
      <c r="L177" t="s">
        <v>25</v>
      </c>
      <c r="M177" t="s">
        <v>25</v>
      </c>
      <c r="N177" s="1">
        <v>0.84722222222222221</v>
      </c>
      <c r="O177" s="1">
        <v>0.86111111111111116</v>
      </c>
      <c r="P177" s="3">
        <v>4000112807</v>
      </c>
      <c r="Q177">
        <v>10072700</v>
      </c>
      <c r="R177" t="s">
        <v>26</v>
      </c>
      <c r="S177" t="s">
        <v>126</v>
      </c>
    </row>
    <row r="178" spans="3:19" x14ac:dyDescent="0.25">
      <c r="C178">
        <v>3122112</v>
      </c>
      <c r="D178" s="3" t="s">
        <v>22</v>
      </c>
      <c r="E178" s="3">
        <v>2</v>
      </c>
      <c r="F178" s="3" t="s">
        <v>18</v>
      </c>
      <c r="G178" s="3" t="s">
        <v>122</v>
      </c>
      <c r="H178" s="3">
        <v>10</v>
      </c>
      <c r="I178" s="3" t="s">
        <v>19</v>
      </c>
      <c r="J178" s="3">
        <f t="shared" si="2"/>
        <v>0.16666666666666666</v>
      </c>
      <c r="K178" s="3" t="s">
        <v>20</v>
      </c>
      <c r="L178" t="s">
        <v>25</v>
      </c>
      <c r="M178" t="s">
        <v>25</v>
      </c>
      <c r="N178" s="1">
        <v>0.88194444444444453</v>
      </c>
      <c r="O178" s="1">
        <v>0.88888888888888884</v>
      </c>
      <c r="P178" s="3">
        <v>4000112808</v>
      </c>
      <c r="Q178">
        <v>10049771</v>
      </c>
      <c r="R178" t="s">
        <v>26</v>
      </c>
      <c r="S178" t="s">
        <v>126</v>
      </c>
    </row>
    <row r="179" spans="3:19" x14ac:dyDescent="0.25">
      <c r="C179">
        <v>3122116</v>
      </c>
      <c r="D179" s="3" t="s">
        <v>22</v>
      </c>
      <c r="E179" s="3">
        <v>2</v>
      </c>
      <c r="F179" s="3" t="s">
        <v>18</v>
      </c>
      <c r="G179" s="3" t="s">
        <v>122</v>
      </c>
      <c r="H179" s="3">
        <v>15</v>
      </c>
      <c r="I179" s="3" t="s">
        <v>19</v>
      </c>
      <c r="J179" s="3">
        <f t="shared" si="2"/>
        <v>0.25</v>
      </c>
      <c r="K179" s="3" t="s">
        <v>20</v>
      </c>
      <c r="L179" t="s">
        <v>25</v>
      </c>
      <c r="M179" t="s">
        <v>25</v>
      </c>
      <c r="N179" s="1">
        <v>0.86111111111111116</v>
      </c>
      <c r="O179" s="1">
        <v>0.87152777777777779</v>
      </c>
      <c r="P179" s="3">
        <v>4000112812</v>
      </c>
      <c r="Q179">
        <v>10051202</v>
      </c>
      <c r="R179" t="s">
        <v>26</v>
      </c>
      <c r="S179" t="s">
        <v>126</v>
      </c>
    </row>
    <row r="180" spans="3:19" x14ac:dyDescent="0.25">
      <c r="C180">
        <v>3122117</v>
      </c>
      <c r="D180" s="3" t="s">
        <v>22</v>
      </c>
      <c r="E180" s="3">
        <v>2</v>
      </c>
      <c r="F180" s="3" t="s">
        <v>18</v>
      </c>
      <c r="G180" s="3" t="s">
        <v>122</v>
      </c>
      <c r="H180" s="3">
        <v>5</v>
      </c>
      <c r="I180" s="3" t="s">
        <v>19</v>
      </c>
      <c r="J180" s="3">
        <f t="shared" si="2"/>
        <v>8.3333333333333329E-2</v>
      </c>
      <c r="K180" s="3" t="s">
        <v>20</v>
      </c>
      <c r="L180" t="s">
        <v>25</v>
      </c>
      <c r="M180" t="s">
        <v>25</v>
      </c>
      <c r="N180" s="1">
        <v>0.89583333333333337</v>
      </c>
      <c r="O180" s="1">
        <v>0.89930555555555547</v>
      </c>
      <c r="P180" s="3">
        <v>4000112813</v>
      </c>
      <c r="Q180">
        <v>10051037</v>
      </c>
      <c r="R180" t="s">
        <v>26</v>
      </c>
      <c r="S180" t="s">
        <v>127</v>
      </c>
    </row>
    <row r="181" spans="3:19" x14ac:dyDescent="0.25">
      <c r="C181">
        <v>3137638</v>
      </c>
      <c r="D181" s="3" t="s">
        <v>22</v>
      </c>
      <c r="E181" s="3">
        <v>2</v>
      </c>
      <c r="F181" s="3" t="s">
        <v>18</v>
      </c>
      <c r="G181" s="3" t="s">
        <v>122</v>
      </c>
      <c r="H181" s="3">
        <v>10</v>
      </c>
      <c r="I181" s="3" t="s">
        <v>19</v>
      </c>
      <c r="J181" s="3">
        <f>H181/60</f>
        <v>0.16666666666666666</v>
      </c>
      <c r="K181" s="3" t="s">
        <v>20</v>
      </c>
      <c r="L181" t="s">
        <v>25</v>
      </c>
      <c r="M181" t="s">
        <v>25</v>
      </c>
      <c r="N181" s="1">
        <v>0.84027777777777779</v>
      </c>
      <c r="O181" s="1">
        <v>0.84722222222222221</v>
      </c>
      <c r="P181" s="3">
        <v>4000116071</v>
      </c>
      <c r="Q181">
        <v>10049719</v>
      </c>
      <c r="R181" t="s">
        <v>26</v>
      </c>
      <c r="S181" t="s">
        <v>128</v>
      </c>
    </row>
    <row r="182" spans="3:19" x14ac:dyDescent="0.25">
      <c r="C182">
        <v>3134789</v>
      </c>
      <c r="D182" s="3" t="s">
        <v>25</v>
      </c>
      <c r="E182" s="3">
        <v>1</v>
      </c>
      <c r="F182" s="3" t="s">
        <v>122</v>
      </c>
      <c r="G182" s="3" t="s">
        <v>122</v>
      </c>
      <c r="H182" s="3">
        <v>2</v>
      </c>
      <c r="I182" s="3" t="s">
        <v>129</v>
      </c>
      <c r="J182" s="3">
        <f>H182*60</f>
        <v>120</v>
      </c>
      <c r="K182" s="3" t="s">
        <v>20</v>
      </c>
      <c r="L182" t="s">
        <v>51</v>
      </c>
      <c r="M182" t="s">
        <v>51</v>
      </c>
      <c r="N182" s="1">
        <v>0.45833333333333331</v>
      </c>
      <c r="O182" s="1">
        <v>0.54166666666666663</v>
      </c>
      <c r="P182" s="3">
        <v>4000115719</v>
      </c>
      <c r="Q182">
        <v>10049809</v>
      </c>
      <c r="R182" t="s">
        <v>130</v>
      </c>
      <c r="S182" t="s">
        <v>131</v>
      </c>
    </row>
    <row r="183" spans="3:19" x14ac:dyDescent="0.25">
      <c r="C183">
        <v>3120196</v>
      </c>
      <c r="D183" s="3" t="s">
        <v>33</v>
      </c>
      <c r="E183" s="3">
        <v>1</v>
      </c>
      <c r="F183" s="3" t="s">
        <v>29</v>
      </c>
      <c r="G183" s="3" t="s">
        <v>122</v>
      </c>
      <c r="H183" s="3">
        <v>20</v>
      </c>
      <c r="I183" s="3" t="s">
        <v>19</v>
      </c>
      <c r="J183" s="3">
        <f t="shared" si="2"/>
        <v>0.33333333333333331</v>
      </c>
      <c r="K183" s="3" t="s">
        <v>20</v>
      </c>
      <c r="L183" t="s">
        <v>30</v>
      </c>
      <c r="M183" t="s">
        <v>30</v>
      </c>
      <c r="N183" s="1">
        <v>0.91666666666666663</v>
      </c>
      <c r="O183" s="1">
        <v>0.93055555555555547</v>
      </c>
      <c r="P183" s="3">
        <v>4000112673</v>
      </c>
      <c r="Q183">
        <v>10049372</v>
      </c>
      <c r="R183" t="s">
        <v>36</v>
      </c>
      <c r="S183" t="s">
        <v>132</v>
      </c>
    </row>
    <row r="184" spans="3:19" x14ac:dyDescent="0.25">
      <c r="C184">
        <v>3120193</v>
      </c>
      <c r="D184" s="3" t="s">
        <v>17</v>
      </c>
      <c r="E184" s="3">
        <v>2</v>
      </c>
      <c r="F184" s="3" t="s">
        <v>29</v>
      </c>
      <c r="G184" s="3" t="s">
        <v>122</v>
      </c>
      <c r="H184" s="3">
        <v>20</v>
      </c>
      <c r="I184" s="3" t="s">
        <v>19</v>
      </c>
      <c r="J184" s="3">
        <f t="shared" si="2"/>
        <v>0.33333333333333331</v>
      </c>
      <c r="K184" s="3" t="s">
        <v>20</v>
      </c>
      <c r="L184" t="s">
        <v>56</v>
      </c>
      <c r="M184" t="s">
        <v>56</v>
      </c>
      <c r="N184" s="1">
        <v>0.35416666666666669</v>
      </c>
      <c r="O184" s="1">
        <v>0.36805555555555558</v>
      </c>
      <c r="P184" s="3">
        <v>4000112670</v>
      </c>
      <c r="Q184">
        <v>10051386</v>
      </c>
      <c r="R184" t="s">
        <v>36</v>
      </c>
      <c r="S184" t="s">
        <v>123</v>
      </c>
    </row>
    <row r="185" spans="3:19" x14ac:dyDescent="0.25">
      <c r="C185">
        <v>3122731</v>
      </c>
      <c r="D185" s="3" t="s">
        <v>17</v>
      </c>
      <c r="E185" s="3">
        <v>2</v>
      </c>
      <c r="F185" s="3" t="s">
        <v>29</v>
      </c>
      <c r="G185" s="3" t="s">
        <v>122</v>
      </c>
      <c r="H185" s="3">
        <v>20</v>
      </c>
      <c r="I185" s="3" t="s">
        <v>19</v>
      </c>
      <c r="J185" s="3">
        <f t="shared" si="2"/>
        <v>0.33333333333333331</v>
      </c>
      <c r="K185" s="3" t="s">
        <v>20</v>
      </c>
      <c r="L185" t="s">
        <v>56</v>
      </c>
      <c r="M185" t="s">
        <v>56</v>
      </c>
      <c r="N185" s="1">
        <v>0.4236111111111111</v>
      </c>
      <c r="O185" s="1">
        <v>0.4375</v>
      </c>
      <c r="P185" s="3">
        <v>4000113258</v>
      </c>
      <c r="Q185">
        <v>10051443</v>
      </c>
      <c r="R185" t="s">
        <v>36</v>
      </c>
      <c r="S185" t="s">
        <v>133</v>
      </c>
    </row>
    <row r="186" spans="3:19" x14ac:dyDescent="0.25">
      <c r="C186">
        <v>3122750</v>
      </c>
      <c r="D186" s="3" t="s">
        <v>17</v>
      </c>
      <c r="E186" s="3">
        <v>2</v>
      </c>
      <c r="F186" s="3" t="s">
        <v>29</v>
      </c>
      <c r="G186" s="3" t="s">
        <v>122</v>
      </c>
      <c r="H186" s="3">
        <v>30</v>
      </c>
      <c r="I186" s="3" t="s">
        <v>19</v>
      </c>
      <c r="J186" s="3">
        <f t="shared" si="2"/>
        <v>0.5</v>
      </c>
      <c r="K186" s="3" t="s">
        <v>20</v>
      </c>
      <c r="L186" t="s">
        <v>56</v>
      </c>
      <c r="M186" t="s">
        <v>56</v>
      </c>
      <c r="N186" s="1">
        <v>0.39583333333333331</v>
      </c>
      <c r="O186" s="1">
        <v>0.41666666666666669</v>
      </c>
      <c r="P186" s="3">
        <v>4000113352</v>
      </c>
      <c r="Q186">
        <v>10049372</v>
      </c>
      <c r="R186" t="s">
        <v>36</v>
      </c>
      <c r="S186" t="s">
        <v>133</v>
      </c>
    </row>
    <row r="187" spans="3:19" x14ac:dyDescent="0.25">
      <c r="C187">
        <v>3122782</v>
      </c>
      <c r="D187" s="3" t="s">
        <v>17</v>
      </c>
      <c r="E187" s="3">
        <v>2</v>
      </c>
      <c r="F187" s="3" t="s">
        <v>29</v>
      </c>
      <c r="G187" s="3" t="s">
        <v>122</v>
      </c>
      <c r="H187" s="3">
        <v>10</v>
      </c>
      <c r="I187" s="3" t="s">
        <v>19</v>
      </c>
      <c r="J187" s="3">
        <f t="shared" si="2"/>
        <v>0.16666666666666666</v>
      </c>
      <c r="K187" s="3" t="s">
        <v>20</v>
      </c>
      <c r="L187" t="s">
        <v>56</v>
      </c>
      <c r="M187" t="s">
        <v>56</v>
      </c>
      <c r="N187" s="1">
        <v>0.41666666666666669</v>
      </c>
      <c r="O187" s="1">
        <v>0.4236111111111111</v>
      </c>
      <c r="P187" s="3">
        <v>4000113384</v>
      </c>
      <c r="Q187">
        <v>10049372</v>
      </c>
      <c r="R187" t="s">
        <v>36</v>
      </c>
      <c r="S187" t="s">
        <v>134</v>
      </c>
    </row>
    <row r="188" spans="3:19" x14ac:dyDescent="0.25">
      <c r="C188">
        <v>3112661</v>
      </c>
      <c r="D188" s="3" t="s">
        <v>22</v>
      </c>
      <c r="E188" s="3">
        <v>2</v>
      </c>
      <c r="F188" s="3" t="s">
        <v>29</v>
      </c>
      <c r="G188" s="3" t="s">
        <v>122</v>
      </c>
      <c r="H188" s="3">
        <v>120</v>
      </c>
      <c r="I188" s="3" t="s">
        <v>19</v>
      </c>
      <c r="J188" s="3">
        <f t="shared" si="2"/>
        <v>2</v>
      </c>
      <c r="K188" s="3" t="s">
        <v>20</v>
      </c>
      <c r="L188" t="s">
        <v>24</v>
      </c>
      <c r="M188" t="s">
        <v>24</v>
      </c>
      <c r="N188" s="1">
        <v>0.625</v>
      </c>
      <c r="O188" s="1">
        <v>0.70833333333333337</v>
      </c>
      <c r="P188" s="3">
        <v>4000108490</v>
      </c>
      <c r="Q188">
        <v>10051386</v>
      </c>
      <c r="R188" t="s">
        <v>36</v>
      </c>
      <c r="S188" t="s">
        <v>135</v>
      </c>
    </row>
    <row r="189" spans="3:19" x14ac:dyDescent="0.25">
      <c r="C189">
        <v>3120199</v>
      </c>
      <c r="D189" s="3" t="s">
        <v>17</v>
      </c>
      <c r="E189" s="3">
        <v>2</v>
      </c>
      <c r="F189" s="3" t="s">
        <v>29</v>
      </c>
      <c r="G189" s="3" t="s">
        <v>122</v>
      </c>
      <c r="H189" s="3">
        <v>30</v>
      </c>
      <c r="I189" s="3" t="s">
        <v>19</v>
      </c>
      <c r="J189" s="3">
        <f t="shared" si="2"/>
        <v>0.5</v>
      </c>
      <c r="K189" s="3" t="s">
        <v>20</v>
      </c>
      <c r="L189" t="s">
        <v>33</v>
      </c>
      <c r="M189" t="s">
        <v>33</v>
      </c>
      <c r="N189" s="1">
        <v>0.33333333333333331</v>
      </c>
      <c r="O189" s="1">
        <v>0.35416666666666669</v>
      </c>
      <c r="P189" s="3">
        <v>4000112676</v>
      </c>
      <c r="Q189">
        <v>10051386</v>
      </c>
      <c r="R189" t="s">
        <v>36</v>
      </c>
      <c r="S189" t="s">
        <v>136</v>
      </c>
    </row>
    <row r="190" spans="3:19" x14ac:dyDescent="0.25">
      <c r="C190">
        <v>3132483</v>
      </c>
      <c r="D190" s="3" t="s">
        <v>22</v>
      </c>
      <c r="E190" s="3">
        <v>2</v>
      </c>
      <c r="F190" s="3" t="s">
        <v>29</v>
      </c>
      <c r="G190" s="3" t="s">
        <v>122</v>
      </c>
      <c r="H190" s="3">
        <v>10</v>
      </c>
      <c r="I190" s="3" t="s">
        <v>19</v>
      </c>
      <c r="J190" s="3">
        <f t="shared" si="2"/>
        <v>0.16666666666666666</v>
      </c>
      <c r="K190" s="3" t="s">
        <v>20</v>
      </c>
      <c r="L190" t="s">
        <v>55</v>
      </c>
      <c r="M190" t="s">
        <v>55</v>
      </c>
      <c r="N190" s="1">
        <v>0.84722222222222221</v>
      </c>
      <c r="O190" s="1">
        <v>0.86111111111111116</v>
      </c>
      <c r="P190" s="3">
        <v>4000114041</v>
      </c>
      <c r="Q190">
        <v>10049372</v>
      </c>
      <c r="R190" t="s">
        <v>36</v>
      </c>
      <c r="S190" t="s">
        <v>65</v>
      </c>
    </row>
    <row r="191" spans="3:19" x14ac:dyDescent="0.25">
      <c r="C191">
        <v>3137198</v>
      </c>
      <c r="D191" s="3" t="s">
        <v>22</v>
      </c>
      <c r="E191" s="3">
        <v>1</v>
      </c>
      <c r="F191" s="3" t="s">
        <v>29</v>
      </c>
      <c r="G191" s="3" t="s">
        <v>122</v>
      </c>
      <c r="H191" s="3">
        <v>15</v>
      </c>
      <c r="I191" s="3" t="s">
        <v>19</v>
      </c>
      <c r="J191" s="3">
        <f t="shared" si="2"/>
        <v>0.25</v>
      </c>
      <c r="K191" s="3" t="s">
        <v>20</v>
      </c>
      <c r="L191" t="s">
        <v>55</v>
      </c>
      <c r="M191" t="s">
        <v>55</v>
      </c>
      <c r="N191" s="1">
        <v>0.85416666666666663</v>
      </c>
      <c r="O191" s="1">
        <v>0.86458333333333337</v>
      </c>
      <c r="P191" s="3">
        <v>4000116037</v>
      </c>
      <c r="Q191">
        <v>10049372</v>
      </c>
      <c r="R191" t="s">
        <v>36</v>
      </c>
      <c r="S191" t="s">
        <v>32</v>
      </c>
    </row>
    <row r="192" spans="3:19" x14ac:dyDescent="0.25">
      <c r="C192">
        <v>3112746</v>
      </c>
      <c r="D192" s="3" t="s">
        <v>33</v>
      </c>
      <c r="E192" s="3">
        <v>1</v>
      </c>
      <c r="F192" s="3" t="s">
        <v>18</v>
      </c>
      <c r="G192" s="3" t="s">
        <v>137</v>
      </c>
      <c r="H192" s="3">
        <v>20</v>
      </c>
      <c r="I192" s="3" t="s">
        <v>19</v>
      </c>
      <c r="J192" s="3">
        <f t="shared" si="2"/>
        <v>0.33333333333333331</v>
      </c>
      <c r="K192" s="3" t="s">
        <v>20</v>
      </c>
      <c r="L192" t="s">
        <v>51</v>
      </c>
      <c r="M192" t="s">
        <v>51</v>
      </c>
      <c r="N192" s="1">
        <v>0.68055555555555547</v>
      </c>
      <c r="O192" s="1">
        <v>0.69444444444444453</v>
      </c>
      <c r="P192" s="3">
        <v>4000108574</v>
      </c>
      <c r="Q192">
        <v>10051308</v>
      </c>
      <c r="R192" t="s">
        <v>138</v>
      </c>
      <c r="S192" t="s">
        <v>139</v>
      </c>
    </row>
    <row r="193" spans="3:19" x14ac:dyDescent="0.25">
      <c r="C193">
        <v>3112747</v>
      </c>
      <c r="D193" s="3" t="s">
        <v>33</v>
      </c>
      <c r="E193" s="3">
        <v>1</v>
      </c>
      <c r="F193" s="3" t="s">
        <v>18</v>
      </c>
      <c r="G193" s="3" t="s">
        <v>137</v>
      </c>
      <c r="H193" s="3">
        <v>40</v>
      </c>
      <c r="I193" s="3" t="s">
        <v>19</v>
      </c>
      <c r="J193" s="3">
        <f t="shared" si="2"/>
        <v>0.66666666666666663</v>
      </c>
      <c r="K193" s="3" t="s">
        <v>20</v>
      </c>
      <c r="L193" t="s">
        <v>51</v>
      </c>
      <c r="M193" t="s">
        <v>51</v>
      </c>
      <c r="N193" s="1">
        <v>0.70833333333333337</v>
      </c>
      <c r="O193" s="1">
        <v>0.73611111111111116</v>
      </c>
      <c r="P193" s="3">
        <v>4000108575</v>
      </c>
      <c r="Q193">
        <v>10051311</v>
      </c>
      <c r="R193" t="s">
        <v>138</v>
      </c>
      <c r="S193" t="s">
        <v>139</v>
      </c>
    </row>
    <row r="194" spans="3:19" x14ac:dyDescent="0.25">
      <c r="C194">
        <v>3137265</v>
      </c>
      <c r="D194" s="3" t="s">
        <v>22</v>
      </c>
      <c r="E194" s="3">
        <v>1</v>
      </c>
      <c r="F194" s="3" t="s">
        <v>137</v>
      </c>
      <c r="G194" s="3" t="s">
        <v>137</v>
      </c>
      <c r="H194" s="3">
        <v>20</v>
      </c>
      <c r="I194" s="3" t="s">
        <v>19</v>
      </c>
      <c r="J194" s="3">
        <f t="shared" si="2"/>
        <v>0.33333333333333331</v>
      </c>
      <c r="K194" s="3" t="s">
        <v>20</v>
      </c>
      <c r="L194" t="s">
        <v>33</v>
      </c>
      <c r="M194" t="s">
        <v>33</v>
      </c>
      <c r="N194" s="1">
        <v>0.1875</v>
      </c>
      <c r="O194" s="1">
        <v>0.20138888888888887</v>
      </c>
      <c r="P194" s="3">
        <v>4000116342</v>
      </c>
      <c r="Q194">
        <v>10055734</v>
      </c>
      <c r="R194" t="s">
        <v>140</v>
      </c>
      <c r="S194" t="s">
        <v>141</v>
      </c>
    </row>
    <row r="195" spans="3:19" x14ac:dyDescent="0.25">
      <c r="C195">
        <v>3122793</v>
      </c>
      <c r="D195" s="3" t="s">
        <v>33</v>
      </c>
      <c r="E195" s="3">
        <v>2</v>
      </c>
      <c r="F195" s="3" t="s">
        <v>106</v>
      </c>
      <c r="G195" s="3" t="s">
        <v>137</v>
      </c>
      <c r="H195" s="3">
        <v>1.9</v>
      </c>
      <c r="I195" s="3" t="s">
        <v>129</v>
      </c>
      <c r="J195" s="3">
        <f>H195*60</f>
        <v>114</v>
      </c>
      <c r="K195" s="3" t="s">
        <v>20</v>
      </c>
      <c r="L195" t="s">
        <v>109</v>
      </c>
      <c r="M195" t="s">
        <v>109</v>
      </c>
      <c r="N195" s="1">
        <v>0.35416666666666669</v>
      </c>
      <c r="O195" s="1">
        <v>0.3888888888888889</v>
      </c>
      <c r="P195" s="3">
        <v>4000113395</v>
      </c>
      <c r="Q195">
        <v>10051503</v>
      </c>
      <c r="R195" t="s">
        <v>53</v>
      </c>
      <c r="S195" t="s">
        <v>142</v>
      </c>
    </row>
    <row r="196" spans="3:19" x14ac:dyDescent="0.25">
      <c r="C196">
        <v>3122793</v>
      </c>
      <c r="D196" s="3" t="s">
        <v>17</v>
      </c>
      <c r="E196" s="3">
        <v>5</v>
      </c>
      <c r="F196" s="3" t="s">
        <v>106</v>
      </c>
      <c r="G196" s="3" t="s">
        <v>137</v>
      </c>
      <c r="H196" s="3">
        <v>40</v>
      </c>
      <c r="I196" s="3" t="s">
        <v>19</v>
      </c>
      <c r="J196" s="3">
        <f t="shared" si="2"/>
        <v>0.66666666666666663</v>
      </c>
      <c r="K196" s="3" t="s">
        <v>20</v>
      </c>
      <c r="L196" t="s">
        <v>33</v>
      </c>
      <c r="M196" t="s">
        <v>33</v>
      </c>
      <c r="N196" s="1">
        <v>0.88194444444444453</v>
      </c>
      <c r="O196" s="1">
        <v>0.90277777777777779</v>
      </c>
      <c r="P196" s="3">
        <v>4000113395</v>
      </c>
      <c r="Q196">
        <v>10051503</v>
      </c>
      <c r="R196" t="s">
        <v>53</v>
      </c>
      <c r="S196" t="s">
        <v>123</v>
      </c>
    </row>
    <row r="197" spans="3:19" x14ac:dyDescent="0.25">
      <c r="C197">
        <v>3134254</v>
      </c>
      <c r="D197" s="3" t="s">
        <v>28</v>
      </c>
      <c r="E197" s="3">
        <v>3</v>
      </c>
      <c r="F197" s="3" t="s">
        <v>106</v>
      </c>
      <c r="G197" s="3" t="s">
        <v>137</v>
      </c>
      <c r="H197" s="3">
        <v>20</v>
      </c>
      <c r="I197" s="3" t="s">
        <v>19</v>
      </c>
      <c r="J197" s="3">
        <f t="shared" si="2"/>
        <v>0.33333333333333331</v>
      </c>
      <c r="K197" s="3" t="s">
        <v>20</v>
      </c>
      <c r="L197" t="s">
        <v>67</v>
      </c>
      <c r="M197" t="s">
        <v>67</v>
      </c>
      <c r="N197" s="1">
        <v>0.47222222222222227</v>
      </c>
      <c r="O197" s="1">
        <v>0.4861111111111111</v>
      </c>
      <c r="P197" s="3">
        <v>4000115000</v>
      </c>
      <c r="Q197">
        <v>10051503</v>
      </c>
      <c r="R197" t="s">
        <v>53</v>
      </c>
      <c r="S197" t="s">
        <v>143</v>
      </c>
    </row>
    <row r="198" spans="3:19" x14ac:dyDescent="0.25">
      <c r="C198">
        <v>3118331</v>
      </c>
      <c r="D198" s="3" t="s">
        <v>33</v>
      </c>
      <c r="E198" s="3">
        <v>2</v>
      </c>
      <c r="F198" s="3" t="s">
        <v>29</v>
      </c>
      <c r="G198" s="3" t="s">
        <v>137</v>
      </c>
      <c r="H198" s="3">
        <v>20</v>
      </c>
      <c r="I198" s="3" t="s">
        <v>19</v>
      </c>
      <c r="J198" s="3">
        <f t="shared" ref="J198:J261" si="3">H198/60</f>
        <v>0.33333333333333331</v>
      </c>
      <c r="K198" s="3" t="s">
        <v>20</v>
      </c>
      <c r="L198" t="s">
        <v>73</v>
      </c>
      <c r="M198" t="s">
        <v>73</v>
      </c>
      <c r="N198" s="1">
        <v>0.375</v>
      </c>
      <c r="O198" s="1">
        <v>0.3888888888888889</v>
      </c>
      <c r="P198" s="3">
        <v>4000111355</v>
      </c>
      <c r="Q198">
        <v>10049399</v>
      </c>
      <c r="R198" t="s">
        <v>53</v>
      </c>
      <c r="S198" t="s">
        <v>101</v>
      </c>
    </row>
    <row r="199" spans="3:19" x14ac:dyDescent="0.25">
      <c r="C199">
        <v>3118358</v>
      </c>
      <c r="D199" s="3" t="s">
        <v>33</v>
      </c>
      <c r="E199" s="3">
        <v>2</v>
      </c>
      <c r="F199" s="3" t="s">
        <v>29</v>
      </c>
      <c r="G199" s="3" t="s">
        <v>137</v>
      </c>
      <c r="H199" s="3">
        <v>40</v>
      </c>
      <c r="I199" s="3" t="s">
        <v>19</v>
      </c>
      <c r="J199" s="3">
        <f t="shared" si="3"/>
        <v>0.66666666666666663</v>
      </c>
      <c r="K199" s="3" t="s">
        <v>20</v>
      </c>
      <c r="L199" t="s">
        <v>73</v>
      </c>
      <c r="M199" t="s">
        <v>73</v>
      </c>
      <c r="N199" s="1">
        <v>0.39583333333333331</v>
      </c>
      <c r="O199" s="1">
        <v>0.40972222222222227</v>
      </c>
      <c r="P199" s="3">
        <v>4000111382</v>
      </c>
      <c r="Q199">
        <v>10051481</v>
      </c>
      <c r="R199" t="s">
        <v>53</v>
      </c>
      <c r="S199" t="s">
        <v>144</v>
      </c>
    </row>
    <row r="200" spans="3:19" x14ac:dyDescent="0.25">
      <c r="C200">
        <v>3120243</v>
      </c>
      <c r="D200" s="3" t="s">
        <v>33</v>
      </c>
      <c r="E200" s="3">
        <v>2</v>
      </c>
      <c r="F200" s="3" t="s">
        <v>29</v>
      </c>
      <c r="G200" s="3" t="s">
        <v>137</v>
      </c>
      <c r="H200" s="3">
        <v>20</v>
      </c>
      <c r="I200" s="3" t="s">
        <v>19</v>
      </c>
      <c r="J200" s="3">
        <f t="shared" si="3"/>
        <v>0.33333333333333331</v>
      </c>
      <c r="K200" s="3" t="s">
        <v>20</v>
      </c>
      <c r="L200" t="s">
        <v>73</v>
      </c>
      <c r="M200" t="s">
        <v>73</v>
      </c>
      <c r="N200" s="1">
        <v>0.34722222222222227</v>
      </c>
      <c r="O200" s="1">
        <v>0.35416666666666669</v>
      </c>
      <c r="P200" s="3">
        <v>4000112110</v>
      </c>
      <c r="Q200">
        <v>10049416</v>
      </c>
      <c r="R200" t="s">
        <v>53</v>
      </c>
      <c r="S200" t="s">
        <v>37</v>
      </c>
    </row>
    <row r="201" spans="3:19" x14ac:dyDescent="0.25">
      <c r="C201">
        <v>3120189</v>
      </c>
      <c r="D201" s="3" t="s">
        <v>33</v>
      </c>
      <c r="E201" s="3">
        <v>2</v>
      </c>
      <c r="F201" s="3" t="s">
        <v>29</v>
      </c>
      <c r="G201" s="3" t="s">
        <v>137</v>
      </c>
      <c r="H201" s="3">
        <v>20</v>
      </c>
      <c r="I201" s="3" t="s">
        <v>19</v>
      </c>
      <c r="J201" s="3">
        <f t="shared" si="3"/>
        <v>0.33333333333333331</v>
      </c>
      <c r="K201" s="3" t="s">
        <v>20</v>
      </c>
      <c r="L201" t="s">
        <v>73</v>
      </c>
      <c r="M201" t="s">
        <v>73</v>
      </c>
      <c r="N201" s="1">
        <v>0.33333333333333331</v>
      </c>
      <c r="O201" s="1">
        <v>0.34722222222222227</v>
      </c>
      <c r="P201" s="3">
        <v>4000112666</v>
      </c>
      <c r="Q201">
        <v>10049436</v>
      </c>
      <c r="R201" t="s">
        <v>53</v>
      </c>
      <c r="S201" t="s">
        <v>145</v>
      </c>
    </row>
    <row r="202" spans="3:19" x14ac:dyDescent="0.25">
      <c r="C202">
        <v>3119983</v>
      </c>
      <c r="D202" s="3" t="s">
        <v>33</v>
      </c>
      <c r="E202" s="3">
        <v>2</v>
      </c>
      <c r="F202" s="3" t="s">
        <v>29</v>
      </c>
      <c r="G202" s="3" t="s">
        <v>137</v>
      </c>
      <c r="H202" s="3">
        <v>10</v>
      </c>
      <c r="I202" s="3" t="s">
        <v>19</v>
      </c>
      <c r="J202" s="3">
        <f t="shared" si="3"/>
        <v>0.16666666666666666</v>
      </c>
      <c r="K202" s="3" t="s">
        <v>20</v>
      </c>
      <c r="L202" t="s">
        <v>109</v>
      </c>
      <c r="M202" t="s">
        <v>109</v>
      </c>
      <c r="N202" s="1">
        <v>0.41666666666666669</v>
      </c>
      <c r="O202" s="1">
        <v>0.4236111111111111</v>
      </c>
      <c r="P202" s="3">
        <v>4000112054</v>
      </c>
      <c r="Q202">
        <v>10049416</v>
      </c>
      <c r="R202" t="s">
        <v>53</v>
      </c>
      <c r="S202" t="s">
        <v>123</v>
      </c>
    </row>
    <row r="203" spans="3:19" x14ac:dyDescent="0.25">
      <c r="C203">
        <v>3120210</v>
      </c>
      <c r="D203" s="3" t="s">
        <v>33</v>
      </c>
      <c r="E203" s="3">
        <v>2</v>
      </c>
      <c r="F203" s="3" t="s">
        <v>29</v>
      </c>
      <c r="G203" s="3" t="s">
        <v>137</v>
      </c>
      <c r="H203" s="3">
        <v>20</v>
      </c>
      <c r="I203" s="3" t="s">
        <v>19</v>
      </c>
      <c r="J203" s="3">
        <f t="shared" si="3"/>
        <v>0.33333333333333331</v>
      </c>
      <c r="K203" s="3" t="s">
        <v>20</v>
      </c>
      <c r="L203" t="s">
        <v>109</v>
      </c>
      <c r="M203" t="s">
        <v>109</v>
      </c>
      <c r="N203" s="1">
        <v>0.4236111111111111</v>
      </c>
      <c r="O203" s="1">
        <v>0.43055555555555558</v>
      </c>
      <c r="P203" s="3">
        <v>4000112080</v>
      </c>
      <c r="Q203">
        <v>10049399</v>
      </c>
      <c r="R203" t="s">
        <v>53</v>
      </c>
      <c r="S203" t="s">
        <v>123</v>
      </c>
    </row>
    <row r="204" spans="3:19" x14ac:dyDescent="0.25">
      <c r="C204">
        <v>3119992</v>
      </c>
      <c r="D204" s="3" t="s">
        <v>33</v>
      </c>
      <c r="E204" s="3">
        <v>2</v>
      </c>
      <c r="F204" s="3" t="s">
        <v>29</v>
      </c>
      <c r="G204" s="3" t="s">
        <v>137</v>
      </c>
      <c r="H204" s="3">
        <v>10</v>
      </c>
      <c r="I204" s="3" t="s">
        <v>19</v>
      </c>
      <c r="J204" s="3">
        <f t="shared" si="3"/>
        <v>0.16666666666666666</v>
      </c>
      <c r="K204" s="3" t="s">
        <v>20</v>
      </c>
      <c r="L204" t="s">
        <v>30</v>
      </c>
      <c r="M204" t="s">
        <v>30</v>
      </c>
      <c r="N204" s="1">
        <v>0.40972222222222227</v>
      </c>
      <c r="O204" s="1">
        <v>0.41666666666666669</v>
      </c>
      <c r="P204" s="3">
        <v>4000112063</v>
      </c>
      <c r="Q204">
        <v>10049399</v>
      </c>
      <c r="R204" t="s">
        <v>53</v>
      </c>
      <c r="S204" t="s">
        <v>146</v>
      </c>
    </row>
    <row r="205" spans="3:19" x14ac:dyDescent="0.25">
      <c r="C205">
        <v>3122005</v>
      </c>
      <c r="D205" s="3" t="s">
        <v>22</v>
      </c>
      <c r="E205" s="3">
        <v>5</v>
      </c>
      <c r="F205" s="3" t="s">
        <v>29</v>
      </c>
      <c r="G205" s="3" t="s">
        <v>137</v>
      </c>
      <c r="H205" s="3">
        <v>20</v>
      </c>
      <c r="I205" s="3" t="s">
        <v>19</v>
      </c>
      <c r="J205" s="3">
        <f t="shared" si="3"/>
        <v>0.33333333333333331</v>
      </c>
      <c r="K205" s="3" t="s">
        <v>20</v>
      </c>
      <c r="L205" t="s">
        <v>24</v>
      </c>
      <c r="M205" t="s">
        <v>24</v>
      </c>
      <c r="N205" s="1">
        <v>0.84722222222222221</v>
      </c>
      <c r="O205" s="1">
        <v>0.86111111111111116</v>
      </c>
      <c r="P205" s="3">
        <v>4000112702</v>
      </c>
      <c r="Q205">
        <v>10049427</v>
      </c>
      <c r="R205" t="s">
        <v>53</v>
      </c>
      <c r="S205" t="s">
        <v>147</v>
      </c>
    </row>
    <row r="206" spans="3:19" x14ac:dyDescent="0.25">
      <c r="C206">
        <v>3120192</v>
      </c>
      <c r="D206" s="3" t="s">
        <v>17</v>
      </c>
      <c r="E206" s="3">
        <v>3</v>
      </c>
      <c r="F206" s="3" t="s">
        <v>29</v>
      </c>
      <c r="G206" s="3" t="s">
        <v>137</v>
      </c>
      <c r="H206" s="3">
        <v>30</v>
      </c>
      <c r="I206" s="3" t="s">
        <v>19</v>
      </c>
      <c r="J206" s="3">
        <f t="shared" si="3"/>
        <v>0.5</v>
      </c>
      <c r="K206" s="3" t="s">
        <v>20</v>
      </c>
      <c r="L206" t="s">
        <v>33</v>
      </c>
      <c r="M206" t="s">
        <v>33</v>
      </c>
      <c r="N206" s="1">
        <v>0.83333333333333337</v>
      </c>
      <c r="O206" s="1">
        <v>0.85416666666666663</v>
      </c>
      <c r="P206" s="3">
        <v>4000112669</v>
      </c>
      <c r="Q206">
        <v>10051488</v>
      </c>
      <c r="R206" t="s">
        <v>53</v>
      </c>
      <c r="S206" t="s">
        <v>133</v>
      </c>
    </row>
    <row r="207" spans="3:19" x14ac:dyDescent="0.25">
      <c r="C207">
        <v>3120198</v>
      </c>
      <c r="D207" s="3" t="s">
        <v>17</v>
      </c>
      <c r="E207" s="3">
        <v>3</v>
      </c>
      <c r="F207" s="3" t="s">
        <v>29</v>
      </c>
      <c r="G207" s="3" t="s">
        <v>137</v>
      </c>
      <c r="H207" s="3">
        <v>20</v>
      </c>
      <c r="I207" s="3" t="s">
        <v>19</v>
      </c>
      <c r="J207" s="3">
        <f t="shared" si="3"/>
        <v>0.33333333333333331</v>
      </c>
      <c r="K207" s="3" t="s">
        <v>20</v>
      </c>
      <c r="L207" t="s">
        <v>33</v>
      </c>
      <c r="M207" t="s">
        <v>33</v>
      </c>
      <c r="N207" s="1">
        <v>0.81944444444444453</v>
      </c>
      <c r="O207" s="1">
        <v>0.83333333333333337</v>
      </c>
      <c r="P207" s="3">
        <v>4000112675</v>
      </c>
      <c r="Q207">
        <v>10051481</v>
      </c>
      <c r="R207" t="s">
        <v>53</v>
      </c>
      <c r="S207" t="s">
        <v>133</v>
      </c>
    </row>
    <row r="208" spans="3:19" x14ac:dyDescent="0.25">
      <c r="C208">
        <v>3122005</v>
      </c>
      <c r="D208" s="3" t="s">
        <v>17</v>
      </c>
      <c r="E208" s="3">
        <v>3</v>
      </c>
      <c r="F208" s="3" t="s">
        <v>29</v>
      </c>
      <c r="G208" s="3" t="s">
        <v>137</v>
      </c>
      <c r="H208" s="3">
        <v>25</v>
      </c>
      <c r="I208" s="3" t="s">
        <v>19</v>
      </c>
      <c r="J208" s="3">
        <f t="shared" si="3"/>
        <v>0.41666666666666669</v>
      </c>
      <c r="K208" s="3" t="s">
        <v>20</v>
      </c>
      <c r="L208" t="s">
        <v>33</v>
      </c>
      <c r="M208" t="s">
        <v>33</v>
      </c>
      <c r="N208" s="1">
        <v>0.85416666666666663</v>
      </c>
      <c r="O208" s="1">
        <v>0.86458333333333337</v>
      </c>
      <c r="P208" s="3">
        <v>4000112702</v>
      </c>
      <c r="Q208">
        <v>10049427</v>
      </c>
      <c r="R208" t="s">
        <v>53</v>
      </c>
      <c r="S208" t="s">
        <v>123</v>
      </c>
    </row>
    <row r="209" spans="3:19" x14ac:dyDescent="0.25">
      <c r="C209">
        <v>3122736</v>
      </c>
      <c r="D209" s="3" t="s">
        <v>17</v>
      </c>
      <c r="E209" s="3">
        <v>3</v>
      </c>
      <c r="F209" s="3" t="s">
        <v>29</v>
      </c>
      <c r="G209" s="3" t="s">
        <v>137</v>
      </c>
      <c r="H209" s="3">
        <v>60</v>
      </c>
      <c r="I209" s="3" t="s">
        <v>19</v>
      </c>
      <c r="J209" s="3">
        <f t="shared" si="3"/>
        <v>1</v>
      </c>
      <c r="K209" s="3" t="s">
        <v>20</v>
      </c>
      <c r="L209" t="s">
        <v>33</v>
      </c>
      <c r="M209" t="s">
        <v>33</v>
      </c>
      <c r="N209" s="1">
        <v>0.64583333333333337</v>
      </c>
      <c r="O209" s="1">
        <v>0.6875</v>
      </c>
      <c r="P209" s="3">
        <v>4000113341</v>
      </c>
      <c r="Q209">
        <v>10051493</v>
      </c>
      <c r="R209" t="s">
        <v>53</v>
      </c>
      <c r="S209" t="s">
        <v>136</v>
      </c>
    </row>
    <row r="210" spans="3:19" x14ac:dyDescent="0.25">
      <c r="C210">
        <v>3122787</v>
      </c>
      <c r="D210" s="3" t="s">
        <v>17</v>
      </c>
      <c r="E210" s="3">
        <v>3</v>
      </c>
      <c r="F210" s="3" t="s">
        <v>29</v>
      </c>
      <c r="G210" s="3" t="s">
        <v>137</v>
      </c>
      <c r="H210" s="3">
        <v>10</v>
      </c>
      <c r="I210" s="3" t="s">
        <v>19</v>
      </c>
      <c r="J210" s="3">
        <f t="shared" si="3"/>
        <v>0.16666666666666666</v>
      </c>
      <c r="K210" s="3" t="s">
        <v>20</v>
      </c>
      <c r="L210" t="s">
        <v>33</v>
      </c>
      <c r="M210" t="s">
        <v>33</v>
      </c>
      <c r="N210" s="1">
        <v>0.875</v>
      </c>
      <c r="O210" s="1">
        <v>0.90972222222222221</v>
      </c>
      <c r="P210" s="3">
        <v>4000113389</v>
      </c>
      <c r="Q210">
        <v>10051493</v>
      </c>
      <c r="R210" t="s">
        <v>53</v>
      </c>
      <c r="S210" t="s">
        <v>123</v>
      </c>
    </row>
    <row r="211" spans="3:19" x14ac:dyDescent="0.25">
      <c r="C211">
        <v>3132479</v>
      </c>
      <c r="D211" s="3" t="s">
        <v>22</v>
      </c>
      <c r="E211" s="3">
        <v>4</v>
      </c>
      <c r="F211" s="3" t="s">
        <v>29</v>
      </c>
      <c r="G211" s="3" t="s">
        <v>137</v>
      </c>
      <c r="H211" s="3">
        <v>10</v>
      </c>
      <c r="I211" s="3" t="s">
        <v>19</v>
      </c>
      <c r="J211" s="3">
        <f t="shared" si="3"/>
        <v>0.16666666666666666</v>
      </c>
      <c r="K211" s="3" t="s">
        <v>20</v>
      </c>
      <c r="L211" t="s">
        <v>55</v>
      </c>
      <c r="M211" t="s">
        <v>55</v>
      </c>
      <c r="N211" s="1">
        <v>0.83333333333333337</v>
      </c>
      <c r="O211" s="1">
        <v>0.84027777777777779</v>
      </c>
      <c r="P211" s="3">
        <v>4000114017</v>
      </c>
      <c r="Q211">
        <v>10049436</v>
      </c>
      <c r="R211" t="s">
        <v>53</v>
      </c>
      <c r="S211" t="s">
        <v>148</v>
      </c>
    </row>
    <row r="212" spans="3:19" x14ac:dyDescent="0.25">
      <c r="C212">
        <v>3132480</v>
      </c>
      <c r="D212" s="3" t="s">
        <v>22</v>
      </c>
      <c r="E212" s="3">
        <v>4</v>
      </c>
      <c r="F212" s="3" t="s">
        <v>29</v>
      </c>
      <c r="G212" s="3" t="s">
        <v>137</v>
      </c>
      <c r="H212" s="3">
        <v>10</v>
      </c>
      <c r="I212" s="3" t="s">
        <v>19</v>
      </c>
      <c r="J212" s="3">
        <f t="shared" si="3"/>
        <v>0.16666666666666666</v>
      </c>
      <c r="K212" s="3" t="s">
        <v>20</v>
      </c>
      <c r="L212" t="s">
        <v>55</v>
      </c>
      <c r="M212" t="s">
        <v>55</v>
      </c>
      <c r="N212" s="1">
        <v>0.82638888888888884</v>
      </c>
      <c r="O212" s="1">
        <v>0.83333333333333337</v>
      </c>
      <c r="P212" s="3">
        <v>4000114018</v>
      </c>
      <c r="Q212">
        <v>10049436</v>
      </c>
      <c r="R212" t="s">
        <v>53</v>
      </c>
      <c r="S212" t="s">
        <v>86</v>
      </c>
    </row>
    <row r="213" spans="3:19" x14ac:dyDescent="0.25">
      <c r="C213">
        <v>3132486</v>
      </c>
      <c r="D213" s="3" t="s">
        <v>22</v>
      </c>
      <c r="E213" s="3">
        <v>3</v>
      </c>
      <c r="F213" s="3" t="s">
        <v>29</v>
      </c>
      <c r="G213" s="3" t="s">
        <v>137</v>
      </c>
      <c r="H213" s="3">
        <v>10</v>
      </c>
      <c r="I213" s="3" t="s">
        <v>19</v>
      </c>
      <c r="J213" s="3">
        <f t="shared" si="3"/>
        <v>0.16666666666666666</v>
      </c>
      <c r="K213" s="3" t="s">
        <v>20</v>
      </c>
      <c r="L213" t="s">
        <v>55</v>
      </c>
      <c r="M213" t="s">
        <v>55</v>
      </c>
      <c r="N213" s="1">
        <v>0.84027777777777779</v>
      </c>
      <c r="O213" s="1">
        <v>0.84722222222222221</v>
      </c>
      <c r="P213" s="3">
        <v>4000114044</v>
      </c>
      <c r="Q213">
        <v>10049436</v>
      </c>
      <c r="R213" t="s">
        <v>53</v>
      </c>
      <c r="S213" t="s">
        <v>149</v>
      </c>
    </row>
    <row r="214" spans="3:19" x14ac:dyDescent="0.25">
      <c r="C214">
        <v>3137178</v>
      </c>
      <c r="D214" s="3" t="s">
        <v>22</v>
      </c>
      <c r="E214" s="3">
        <v>2</v>
      </c>
      <c r="F214" s="3" t="s">
        <v>29</v>
      </c>
      <c r="G214" s="3" t="s">
        <v>137</v>
      </c>
      <c r="H214" s="3">
        <v>20</v>
      </c>
      <c r="I214" s="3" t="s">
        <v>19</v>
      </c>
      <c r="J214" s="3">
        <f t="shared" si="3"/>
        <v>0.33333333333333331</v>
      </c>
      <c r="K214" s="3" t="s">
        <v>20</v>
      </c>
      <c r="L214" t="s">
        <v>25</v>
      </c>
      <c r="M214" t="s">
        <v>25</v>
      </c>
      <c r="N214" s="1">
        <v>0.83333333333333337</v>
      </c>
      <c r="O214" s="1">
        <v>0.84722222222222221</v>
      </c>
      <c r="P214" s="3">
        <v>4000115999</v>
      </c>
      <c r="Q214">
        <v>10049436</v>
      </c>
      <c r="R214" t="s">
        <v>53</v>
      </c>
      <c r="S214" t="s">
        <v>150</v>
      </c>
    </row>
    <row r="215" spans="3:19" x14ac:dyDescent="0.25">
      <c r="C215">
        <v>3134184</v>
      </c>
      <c r="D215" s="3" t="s">
        <v>22</v>
      </c>
      <c r="E215" s="3">
        <v>3</v>
      </c>
      <c r="F215" s="3" t="s">
        <v>29</v>
      </c>
      <c r="G215" s="3" t="s">
        <v>137</v>
      </c>
      <c r="H215" s="3">
        <v>10</v>
      </c>
      <c r="I215" s="3" t="s">
        <v>19</v>
      </c>
      <c r="J215" s="3">
        <f t="shared" si="3"/>
        <v>0.16666666666666666</v>
      </c>
      <c r="K215" s="3" t="s">
        <v>20</v>
      </c>
      <c r="L215" t="s">
        <v>22</v>
      </c>
      <c r="M215" t="s">
        <v>22</v>
      </c>
      <c r="N215" s="1">
        <v>0.1875</v>
      </c>
      <c r="O215" s="1">
        <v>0.19444444444444445</v>
      </c>
      <c r="P215" s="3">
        <v>4000114933</v>
      </c>
      <c r="Q215">
        <v>10049436</v>
      </c>
      <c r="R215" t="s">
        <v>53</v>
      </c>
      <c r="S215" t="s">
        <v>151</v>
      </c>
    </row>
    <row r="216" spans="3:19" x14ac:dyDescent="0.25">
      <c r="C216">
        <v>3134185</v>
      </c>
      <c r="D216" s="3" t="s">
        <v>22</v>
      </c>
      <c r="E216" s="3">
        <v>2</v>
      </c>
      <c r="F216" s="3" t="s">
        <v>29</v>
      </c>
      <c r="G216" s="3" t="s">
        <v>137</v>
      </c>
      <c r="H216" s="3">
        <v>30</v>
      </c>
      <c r="I216" s="3" t="s">
        <v>19</v>
      </c>
      <c r="J216" s="3">
        <f t="shared" si="3"/>
        <v>0.5</v>
      </c>
      <c r="K216" s="3" t="s">
        <v>20</v>
      </c>
      <c r="L216" t="s">
        <v>22</v>
      </c>
      <c r="M216" t="s">
        <v>22</v>
      </c>
      <c r="N216" s="1">
        <v>0.16666666666666666</v>
      </c>
      <c r="O216" s="1">
        <v>0.1875</v>
      </c>
      <c r="P216" s="3">
        <v>4000114934</v>
      </c>
      <c r="Q216">
        <v>10049416</v>
      </c>
      <c r="R216" t="s">
        <v>53</v>
      </c>
      <c r="S216" t="s">
        <v>27</v>
      </c>
    </row>
    <row r="217" spans="3:19" x14ac:dyDescent="0.25">
      <c r="C217">
        <v>3132472</v>
      </c>
      <c r="D217" s="3" t="s">
        <v>28</v>
      </c>
      <c r="E217" s="3">
        <v>3</v>
      </c>
      <c r="F217" s="3" t="s">
        <v>29</v>
      </c>
      <c r="G217" s="3" t="s">
        <v>137</v>
      </c>
      <c r="H217" s="3">
        <v>20</v>
      </c>
      <c r="I217" s="3" t="s">
        <v>19</v>
      </c>
      <c r="J217" s="3">
        <f t="shared" si="3"/>
        <v>0.33333333333333331</v>
      </c>
      <c r="K217" s="3" t="s">
        <v>20</v>
      </c>
      <c r="L217" t="s">
        <v>67</v>
      </c>
      <c r="M217" t="s">
        <v>67</v>
      </c>
      <c r="N217" s="1">
        <v>0.4513888888888889</v>
      </c>
      <c r="O217" s="1">
        <v>0.46527777777777773</v>
      </c>
      <c r="P217" s="3">
        <v>4000114010</v>
      </c>
      <c r="Q217">
        <v>10051503</v>
      </c>
      <c r="R217" t="s">
        <v>53</v>
      </c>
      <c r="S217" t="s">
        <v>152</v>
      </c>
    </row>
    <row r="218" spans="3:19" x14ac:dyDescent="0.25">
      <c r="C218">
        <v>3132484</v>
      </c>
      <c r="D218" s="3" t="s">
        <v>28</v>
      </c>
      <c r="E218" s="3">
        <v>3</v>
      </c>
      <c r="F218" s="3" t="s">
        <v>29</v>
      </c>
      <c r="G218" s="3" t="s">
        <v>137</v>
      </c>
      <c r="H218" s="3">
        <v>20</v>
      </c>
      <c r="I218" s="3" t="s">
        <v>19</v>
      </c>
      <c r="J218" s="3">
        <f t="shared" si="3"/>
        <v>0.33333333333333331</v>
      </c>
      <c r="K218" s="3" t="s">
        <v>20</v>
      </c>
      <c r="L218" t="s">
        <v>67</v>
      </c>
      <c r="M218" t="s">
        <v>67</v>
      </c>
      <c r="N218" s="1">
        <v>0.46527777777777773</v>
      </c>
      <c r="O218" s="1">
        <v>0.47916666666666669</v>
      </c>
      <c r="P218" s="3">
        <v>4000114042</v>
      </c>
      <c r="Q218">
        <v>10051503</v>
      </c>
      <c r="R218" t="s">
        <v>53</v>
      </c>
      <c r="S218" t="s">
        <v>96</v>
      </c>
    </row>
    <row r="219" spans="3:19" x14ac:dyDescent="0.25">
      <c r="C219">
        <v>3134174</v>
      </c>
      <c r="D219" s="3" t="s">
        <v>28</v>
      </c>
      <c r="E219" s="3">
        <v>3</v>
      </c>
      <c r="F219" s="3" t="s">
        <v>29</v>
      </c>
      <c r="G219" s="3" t="s">
        <v>137</v>
      </c>
      <c r="H219" s="3">
        <v>1.5</v>
      </c>
      <c r="I219" s="3" t="s">
        <v>129</v>
      </c>
      <c r="J219" s="3">
        <f>H219*60</f>
        <v>90</v>
      </c>
      <c r="K219" s="3" t="s">
        <v>20</v>
      </c>
      <c r="L219" t="s">
        <v>67</v>
      </c>
      <c r="M219" t="s">
        <v>67</v>
      </c>
      <c r="N219" s="1">
        <v>0.59722222222222221</v>
      </c>
      <c r="O219" s="1">
        <v>0.65625</v>
      </c>
      <c r="P219" s="3">
        <v>4000114923</v>
      </c>
      <c r="Q219">
        <v>10049416</v>
      </c>
      <c r="R219" t="s">
        <v>53</v>
      </c>
      <c r="S219" t="s">
        <v>153</v>
      </c>
    </row>
    <row r="220" spans="3:19" x14ac:dyDescent="0.25">
      <c r="C220">
        <v>3134256</v>
      </c>
      <c r="D220" s="3" t="s">
        <v>28</v>
      </c>
      <c r="E220" s="3">
        <v>3</v>
      </c>
      <c r="F220" s="3" t="s">
        <v>29</v>
      </c>
      <c r="G220" s="3" t="s">
        <v>137</v>
      </c>
      <c r="H220" s="3">
        <v>20</v>
      </c>
      <c r="I220" s="3" t="s">
        <v>19</v>
      </c>
      <c r="J220" s="3">
        <f t="shared" si="3"/>
        <v>0.33333333333333331</v>
      </c>
      <c r="K220" s="3" t="s">
        <v>20</v>
      </c>
      <c r="L220" t="s">
        <v>67</v>
      </c>
      <c r="M220" t="s">
        <v>67</v>
      </c>
      <c r="N220" s="1">
        <v>0.34375</v>
      </c>
      <c r="O220" s="1">
        <v>0.35416666666666669</v>
      </c>
      <c r="P220" s="3">
        <v>4000115002</v>
      </c>
      <c r="Q220">
        <v>10051481</v>
      </c>
      <c r="R220" t="s">
        <v>53</v>
      </c>
      <c r="S220" t="s">
        <v>154</v>
      </c>
    </row>
    <row r="221" spans="3:19" x14ac:dyDescent="0.25">
      <c r="C221">
        <v>3137177</v>
      </c>
      <c r="D221" s="3" t="s">
        <v>28</v>
      </c>
      <c r="E221" s="3">
        <v>3</v>
      </c>
      <c r="F221" s="3" t="s">
        <v>29</v>
      </c>
      <c r="G221" s="3" t="s">
        <v>137</v>
      </c>
      <c r="H221" s="3">
        <v>20</v>
      </c>
      <c r="I221" s="3" t="s">
        <v>19</v>
      </c>
      <c r="J221" s="3">
        <f t="shared" si="3"/>
        <v>0.33333333333333331</v>
      </c>
      <c r="K221" s="3" t="s">
        <v>20</v>
      </c>
      <c r="L221" t="s">
        <v>67</v>
      </c>
      <c r="M221" t="s">
        <v>67</v>
      </c>
      <c r="N221" s="1">
        <v>0.4236111111111111</v>
      </c>
      <c r="O221" s="1">
        <v>0.4375</v>
      </c>
      <c r="P221" s="3">
        <v>4000115998</v>
      </c>
      <c r="Q221">
        <v>10051503</v>
      </c>
      <c r="R221" t="s">
        <v>53</v>
      </c>
      <c r="S221" t="s">
        <v>155</v>
      </c>
    </row>
    <row r="222" spans="3:19" x14ac:dyDescent="0.25">
      <c r="C222">
        <v>3100485</v>
      </c>
      <c r="D222" s="3" t="s">
        <v>22</v>
      </c>
      <c r="E222" s="3">
        <v>2</v>
      </c>
      <c r="F222" s="3" t="s">
        <v>18</v>
      </c>
      <c r="G222" s="3" t="s">
        <v>156</v>
      </c>
      <c r="H222" s="3">
        <v>50</v>
      </c>
      <c r="I222" s="3" t="s">
        <v>19</v>
      </c>
      <c r="J222" s="3">
        <f t="shared" si="3"/>
        <v>0.83333333333333337</v>
      </c>
      <c r="K222" s="3" t="s">
        <v>20</v>
      </c>
      <c r="L222" t="s">
        <v>51</v>
      </c>
      <c r="M222" t="s">
        <v>51</v>
      </c>
      <c r="N222" s="1">
        <v>0.83333333333333337</v>
      </c>
      <c r="O222" s="1">
        <v>0.86805555555555547</v>
      </c>
      <c r="P222" s="3">
        <v>4000105442</v>
      </c>
      <c r="Q222">
        <v>10049730</v>
      </c>
      <c r="R222" t="s">
        <v>140</v>
      </c>
      <c r="S222" t="s">
        <v>157</v>
      </c>
    </row>
    <row r="223" spans="3:19" x14ac:dyDescent="0.25">
      <c r="C223">
        <v>3122047</v>
      </c>
      <c r="D223" s="3" t="s">
        <v>22</v>
      </c>
      <c r="E223" s="3">
        <v>3</v>
      </c>
      <c r="F223" s="3" t="s">
        <v>18</v>
      </c>
      <c r="G223" s="3" t="s">
        <v>156</v>
      </c>
      <c r="H223" s="3">
        <v>30</v>
      </c>
      <c r="I223" s="3" t="s">
        <v>19</v>
      </c>
      <c r="J223" s="3">
        <f t="shared" si="3"/>
        <v>0.5</v>
      </c>
      <c r="K223" s="3" t="s">
        <v>20</v>
      </c>
      <c r="L223" t="s">
        <v>51</v>
      </c>
      <c r="M223" t="s">
        <v>51</v>
      </c>
      <c r="N223" s="1">
        <v>0.9375</v>
      </c>
      <c r="O223" s="1">
        <v>0.95833333333333337</v>
      </c>
      <c r="P223" s="3">
        <v>4000112743</v>
      </c>
      <c r="Q223">
        <v>10055740</v>
      </c>
      <c r="R223" t="s">
        <v>26</v>
      </c>
      <c r="S223" t="s">
        <v>158</v>
      </c>
    </row>
    <row r="224" spans="3:19" x14ac:dyDescent="0.25">
      <c r="C224">
        <v>3122077</v>
      </c>
      <c r="D224" s="3" t="s">
        <v>22</v>
      </c>
      <c r="E224" s="3">
        <v>1</v>
      </c>
      <c r="F224" s="3" t="s">
        <v>18</v>
      </c>
      <c r="G224" s="3" t="s">
        <v>156</v>
      </c>
      <c r="H224" s="3">
        <v>30</v>
      </c>
      <c r="I224" s="3" t="s">
        <v>19</v>
      </c>
      <c r="J224" s="3">
        <f t="shared" si="3"/>
        <v>0.5</v>
      </c>
      <c r="K224" s="3" t="s">
        <v>20</v>
      </c>
      <c r="L224" t="s">
        <v>24</v>
      </c>
      <c r="M224" t="s">
        <v>25</v>
      </c>
      <c r="N224" s="1">
        <v>0.47916666666666669</v>
      </c>
      <c r="O224" s="1">
        <v>0.5</v>
      </c>
      <c r="P224" s="3">
        <v>4000112773</v>
      </c>
      <c r="Q224">
        <v>10070473</v>
      </c>
      <c r="R224" t="s">
        <v>26</v>
      </c>
      <c r="S224" t="s">
        <v>27</v>
      </c>
    </row>
    <row r="225" spans="3:19" x14ac:dyDescent="0.25">
      <c r="C225">
        <v>3122051</v>
      </c>
      <c r="D225" s="3" t="s">
        <v>22</v>
      </c>
      <c r="E225" s="3">
        <v>2</v>
      </c>
      <c r="F225" s="3" t="s">
        <v>18</v>
      </c>
      <c r="G225" s="3" t="s">
        <v>156</v>
      </c>
      <c r="H225" s="3">
        <v>30</v>
      </c>
      <c r="I225" s="3" t="s">
        <v>19</v>
      </c>
      <c r="J225" s="3">
        <f t="shared" si="3"/>
        <v>0.5</v>
      </c>
      <c r="K225" s="3" t="s">
        <v>20</v>
      </c>
      <c r="L225" t="s">
        <v>55</v>
      </c>
      <c r="M225" t="s">
        <v>55</v>
      </c>
      <c r="N225" s="1">
        <v>0.875</v>
      </c>
      <c r="O225" s="1">
        <v>0.89583333333333337</v>
      </c>
      <c r="P225" s="3">
        <v>4000112747</v>
      </c>
      <c r="Q225">
        <v>10051517</v>
      </c>
      <c r="R225" t="s">
        <v>26</v>
      </c>
      <c r="S225" t="s">
        <v>158</v>
      </c>
    </row>
    <row r="226" spans="3:19" x14ac:dyDescent="0.25">
      <c r="C226">
        <v>3122073</v>
      </c>
      <c r="D226" s="3" t="s">
        <v>25</v>
      </c>
      <c r="E226" s="3">
        <v>2</v>
      </c>
      <c r="F226" s="3" t="s">
        <v>18</v>
      </c>
      <c r="G226" s="3" t="s">
        <v>156</v>
      </c>
      <c r="H226" s="3">
        <v>50</v>
      </c>
      <c r="I226" s="3" t="s">
        <v>19</v>
      </c>
      <c r="J226" s="3">
        <f t="shared" si="3"/>
        <v>0.83333333333333337</v>
      </c>
      <c r="K226" s="3" t="s">
        <v>20</v>
      </c>
      <c r="L226" t="s">
        <v>55</v>
      </c>
      <c r="M226" t="s">
        <v>55</v>
      </c>
      <c r="N226" s="1">
        <v>0.44444444444444442</v>
      </c>
      <c r="O226" s="1">
        <v>0.47916666666666669</v>
      </c>
      <c r="P226" s="3">
        <v>4000112769</v>
      </c>
      <c r="Q226">
        <v>10051710</v>
      </c>
      <c r="R226" t="s">
        <v>26</v>
      </c>
      <c r="S226" t="s">
        <v>159</v>
      </c>
    </row>
    <row r="227" spans="3:19" x14ac:dyDescent="0.25">
      <c r="C227">
        <v>3122093</v>
      </c>
      <c r="D227" s="3" t="s">
        <v>25</v>
      </c>
      <c r="E227" s="3">
        <v>1</v>
      </c>
      <c r="F227" s="3" t="s">
        <v>18</v>
      </c>
      <c r="G227" s="3" t="s">
        <v>156</v>
      </c>
      <c r="H227" s="3">
        <v>40</v>
      </c>
      <c r="I227" s="3" t="s">
        <v>19</v>
      </c>
      <c r="J227" s="3">
        <f t="shared" si="3"/>
        <v>0.66666666666666663</v>
      </c>
      <c r="K227" s="3" t="s">
        <v>20</v>
      </c>
      <c r="L227" t="s">
        <v>55</v>
      </c>
      <c r="M227" t="s">
        <v>55</v>
      </c>
      <c r="N227" s="1">
        <v>0.41666666666666669</v>
      </c>
      <c r="O227" s="1">
        <v>0.44444444444444442</v>
      </c>
      <c r="P227" s="3">
        <v>4000112789</v>
      </c>
      <c r="Q227">
        <v>10049765</v>
      </c>
      <c r="R227" t="s">
        <v>26</v>
      </c>
      <c r="S227" t="s">
        <v>159</v>
      </c>
    </row>
    <row r="228" spans="3:19" x14ac:dyDescent="0.25">
      <c r="C228">
        <v>3122099</v>
      </c>
      <c r="D228" s="3" t="s">
        <v>22</v>
      </c>
      <c r="E228" s="3">
        <v>2</v>
      </c>
      <c r="F228" s="3" t="s">
        <v>18</v>
      </c>
      <c r="G228" s="3" t="s">
        <v>156</v>
      </c>
      <c r="H228" s="3">
        <v>120</v>
      </c>
      <c r="I228" s="3" t="s">
        <v>19</v>
      </c>
      <c r="J228" s="3">
        <f t="shared" si="3"/>
        <v>2</v>
      </c>
      <c r="K228" s="3" t="s">
        <v>20</v>
      </c>
      <c r="L228" t="s">
        <v>55</v>
      </c>
      <c r="M228" t="s">
        <v>55</v>
      </c>
      <c r="N228" s="1">
        <v>0.91666666666666663</v>
      </c>
      <c r="O228" s="1">
        <v>0.97916666666666663</v>
      </c>
      <c r="P228" s="3">
        <v>4000112795</v>
      </c>
      <c r="Q228">
        <v>10055739</v>
      </c>
      <c r="R228" t="s">
        <v>26</v>
      </c>
      <c r="S228" t="s">
        <v>160</v>
      </c>
    </row>
    <row r="229" spans="3:19" x14ac:dyDescent="0.25">
      <c r="C229">
        <v>3122127</v>
      </c>
      <c r="D229" s="3" t="s">
        <v>22</v>
      </c>
      <c r="E229" s="3">
        <v>2</v>
      </c>
      <c r="F229" s="3" t="s">
        <v>18</v>
      </c>
      <c r="G229" s="3" t="s">
        <v>156</v>
      </c>
      <c r="H229" s="3">
        <v>30</v>
      </c>
      <c r="I229" s="3" t="s">
        <v>19</v>
      </c>
      <c r="J229" s="3">
        <f t="shared" si="3"/>
        <v>0.5</v>
      </c>
      <c r="K229" s="3" t="s">
        <v>20</v>
      </c>
      <c r="L229" t="s">
        <v>55</v>
      </c>
      <c r="M229" t="s">
        <v>55</v>
      </c>
      <c r="N229" s="1">
        <v>0.89583333333333337</v>
      </c>
      <c r="O229" s="1">
        <v>0.91666666666666663</v>
      </c>
      <c r="P229" s="3">
        <v>4000112823</v>
      </c>
      <c r="Q229">
        <v>10051516</v>
      </c>
      <c r="R229" t="s">
        <v>26</v>
      </c>
      <c r="S229" t="s">
        <v>158</v>
      </c>
    </row>
    <row r="230" spans="3:19" x14ac:dyDescent="0.25">
      <c r="C230">
        <v>3135197</v>
      </c>
      <c r="D230" s="3" t="s">
        <v>25</v>
      </c>
      <c r="E230" s="3">
        <v>2</v>
      </c>
      <c r="F230" s="3" t="s">
        <v>103</v>
      </c>
      <c r="G230" s="3" t="s">
        <v>156</v>
      </c>
      <c r="H230" s="3">
        <v>30</v>
      </c>
      <c r="I230" s="3" t="s">
        <v>19</v>
      </c>
      <c r="J230" s="3">
        <f t="shared" si="3"/>
        <v>0.5</v>
      </c>
      <c r="K230" s="3" t="s">
        <v>20</v>
      </c>
      <c r="L230" t="s">
        <v>51</v>
      </c>
      <c r="M230" t="s">
        <v>51</v>
      </c>
      <c r="N230" s="1">
        <v>2.0833333333333332E-2</v>
      </c>
      <c r="O230" s="1">
        <v>4.1666666666666664E-2</v>
      </c>
      <c r="P230" s="3">
        <v>4000115783</v>
      </c>
      <c r="Q230">
        <v>10049992</v>
      </c>
      <c r="R230" t="s">
        <v>104</v>
      </c>
      <c r="S230" t="s">
        <v>105</v>
      </c>
    </row>
    <row r="231" spans="3:19" x14ac:dyDescent="0.25">
      <c r="C231">
        <v>3120253</v>
      </c>
      <c r="D231" s="3" t="s">
        <v>33</v>
      </c>
      <c r="E231" s="3">
        <v>1</v>
      </c>
      <c r="F231" s="3" t="s">
        <v>29</v>
      </c>
      <c r="G231" s="3" t="s">
        <v>156</v>
      </c>
      <c r="H231" s="3">
        <v>30</v>
      </c>
      <c r="I231" s="3" t="s">
        <v>19</v>
      </c>
      <c r="J231" s="3">
        <f t="shared" si="3"/>
        <v>0.5</v>
      </c>
      <c r="K231" s="3" t="s">
        <v>20</v>
      </c>
      <c r="L231" t="s">
        <v>30</v>
      </c>
      <c r="M231" t="s">
        <v>30</v>
      </c>
      <c r="N231" s="1">
        <v>0.875</v>
      </c>
      <c r="O231" s="1">
        <v>0.89583333333333337</v>
      </c>
      <c r="P231" s="3">
        <v>4000112120</v>
      </c>
      <c r="Q231">
        <v>10051778</v>
      </c>
      <c r="R231" t="s">
        <v>36</v>
      </c>
      <c r="S231" t="s">
        <v>123</v>
      </c>
    </row>
    <row r="232" spans="3:19" x14ac:dyDescent="0.25">
      <c r="C232">
        <v>3134202</v>
      </c>
      <c r="D232" s="3" t="s">
        <v>22</v>
      </c>
      <c r="E232" s="3">
        <v>1</v>
      </c>
      <c r="F232" s="3" t="s">
        <v>34</v>
      </c>
      <c r="G232" s="3" t="s">
        <v>156</v>
      </c>
      <c r="H232" s="3">
        <v>15</v>
      </c>
      <c r="I232" s="3" t="s">
        <v>19</v>
      </c>
      <c r="J232" s="3">
        <f t="shared" si="3"/>
        <v>0.25</v>
      </c>
      <c r="K232" s="3" t="s">
        <v>20</v>
      </c>
      <c r="L232" t="s">
        <v>17</v>
      </c>
      <c r="M232" t="s">
        <v>17</v>
      </c>
      <c r="N232" s="1">
        <v>0.57638888888888895</v>
      </c>
      <c r="O232" s="1">
        <v>0.58680555555555558</v>
      </c>
      <c r="P232" s="3">
        <v>4000114951</v>
      </c>
      <c r="Q232">
        <v>10051230</v>
      </c>
      <c r="R232" t="s">
        <v>31</v>
      </c>
      <c r="S232" t="s">
        <v>161</v>
      </c>
    </row>
    <row r="233" spans="3:19" x14ac:dyDescent="0.25">
      <c r="C233">
        <v>3122104</v>
      </c>
      <c r="D233" s="3" t="s">
        <v>22</v>
      </c>
      <c r="E233" s="3">
        <v>2</v>
      </c>
      <c r="F233" s="3" t="s">
        <v>18</v>
      </c>
      <c r="G233" s="3" t="s">
        <v>162</v>
      </c>
      <c r="H233" s="3">
        <v>60</v>
      </c>
      <c r="I233" s="3" t="s">
        <v>19</v>
      </c>
      <c r="J233" s="3">
        <f t="shared" si="3"/>
        <v>1</v>
      </c>
      <c r="K233" s="3" t="s">
        <v>20</v>
      </c>
      <c r="L233" t="s">
        <v>51</v>
      </c>
      <c r="M233" t="s">
        <v>51</v>
      </c>
      <c r="N233" s="1">
        <v>0.91666666666666663</v>
      </c>
      <c r="O233" s="1">
        <v>0.95833333333333337</v>
      </c>
      <c r="P233" s="3">
        <v>4000112800</v>
      </c>
      <c r="Q233">
        <v>10049997</v>
      </c>
      <c r="R233" t="s">
        <v>104</v>
      </c>
      <c r="S233" t="s">
        <v>163</v>
      </c>
    </row>
    <row r="234" spans="3:19" x14ac:dyDescent="0.25">
      <c r="C234">
        <v>3122049</v>
      </c>
      <c r="D234" s="3" t="s">
        <v>17</v>
      </c>
      <c r="E234" s="3">
        <v>3</v>
      </c>
      <c r="F234" s="3" t="s">
        <v>18</v>
      </c>
      <c r="G234" s="3" t="s">
        <v>162</v>
      </c>
      <c r="H234" s="3">
        <v>60</v>
      </c>
      <c r="I234" s="3" t="s">
        <v>19</v>
      </c>
      <c r="J234" s="3">
        <f t="shared" si="3"/>
        <v>1</v>
      </c>
      <c r="K234" s="3" t="s">
        <v>20</v>
      </c>
      <c r="L234" t="s">
        <v>24</v>
      </c>
      <c r="M234" t="s">
        <v>24</v>
      </c>
      <c r="N234" s="1">
        <v>0.41666666666666669</v>
      </c>
      <c r="O234" s="1">
        <v>0.45833333333333331</v>
      </c>
      <c r="P234" s="3">
        <v>4000112745</v>
      </c>
      <c r="Q234">
        <v>10070544</v>
      </c>
      <c r="R234" t="s">
        <v>104</v>
      </c>
      <c r="S234" t="s">
        <v>164</v>
      </c>
    </row>
    <row r="235" spans="3:19" x14ac:dyDescent="0.25">
      <c r="C235">
        <v>3122083</v>
      </c>
      <c r="D235" s="3" t="s">
        <v>17</v>
      </c>
      <c r="E235" s="3">
        <v>1</v>
      </c>
      <c r="F235" s="3" t="s">
        <v>18</v>
      </c>
      <c r="G235" s="3" t="s">
        <v>162</v>
      </c>
      <c r="H235" s="3">
        <v>60</v>
      </c>
      <c r="I235" s="3" t="s">
        <v>19</v>
      </c>
      <c r="J235" s="3">
        <f t="shared" si="3"/>
        <v>1</v>
      </c>
      <c r="K235" s="3" t="s">
        <v>20</v>
      </c>
      <c r="L235" t="s">
        <v>24</v>
      </c>
      <c r="M235" t="s">
        <v>24</v>
      </c>
      <c r="N235" s="1">
        <v>0.375</v>
      </c>
      <c r="O235" s="1">
        <v>0.41666666666666669</v>
      </c>
      <c r="P235" s="3">
        <v>4000112779</v>
      </c>
      <c r="Q235">
        <v>10052565</v>
      </c>
      <c r="R235" t="s">
        <v>104</v>
      </c>
      <c r="S235" t="s">
        <v>164</v>
      </c>
    </row>
    <row r="236" spans="3:19" x14ac:dyDescent="0.25">
      <c r="C236">
        <v>3122098</v>
      </c>
      <c r="D236" s="3" t="s">
        <v>17</v>
      </c>
      <c r="E236" s="3">
        <v>3</v>
      </c>
      <c r="F236" s="3" t="s">
        <v>18</v>
      </c>
      <c r="G236" s="3" t="s">
        <v>162</v>
      </c>
      <c r="H236" s="3">
        <v>60</v>
      </c>
      <c r="I236" s="3" t="s">
        <v>19</v>
      </c>
      <c r="J236" s="3">
        <f t="shared" si="3"/>
        <v>1</v>
      </c>
      <c r="K236" s="3" t="s">
        <v>20</v>
      </c>
      <c r="L236" t="s">
        <v>24</v>
      </c>
      <c r="M236" t="s">
        <v>24</v>
      </c>
      <c r="N236" s="1">
        <v>0.33333333333333331</v>
      </c>
      <c r="O236" s="1">
        <v>0.375</v>
      </c>
      <c r="P236" s="3">
        <v>4000112794</v>
      </c>
      <c r="Q236">
        <v>10049998</v>
      </c>
      <c r="R236" t="s">
        <v>104</v>
      </c>
      <c r="S236" t="s">
        <v>164</v>
      </c>
    </row>
    <row r="237" spans="3:19" x14ac:dyDescent="0.25">
      <c r="C237">
        <v>3135197</v>
      </c>
      <c r="D237" s="3" t="s">
        <v>25</v>
      </c>
      <c r="E237" s="3">
        <v>3</v>
      </c>
      <c r="F237" s="3" t="s">
        <v>103</v>
      </c>
      <c r="G237" s="3" t="s">
        <v>162</v>
      </c>
      <c r="H237" s="3">
        <v>30</v>
      </c>
      <c r="I237" s="3" t="s">
        <v>19</v>
      </c>
      <c r="J237" s="3">
        <f t="shared" si="3"/>
        <v>0.5</v>
      </c>
      <c r="K237" s="3" t="s">
        <v>20</v>
      </c>
      <c r="L237" t="s">
        <v>51</v>
      </c>
      <c r="M237" t="s">
        <v>51</v>
      </c>
      <c r="N237" s="1">
        <v>2.0833333333333332E-2</v>
      </c>
      <c r="O237" s="1">
        <v>4.1666666666666664E-2</v>
      </c>
      <c r="P237" s="3">
        <v>4000115783</v>
      </c>
      <c r="Q237">
        <v>10049992</v>
      </c>
      <c r="R237" t="s">
        <v>104</v>
      </c>
      <c r="S237" t="s">
        <v>105</v>
      </c>
    </row>
    <row r="238" spans="3:19" x14ac:dyDescent="0.25">
      <c r="C238">
        <v>3135197</v>
      </c>
      <c r="D238" s="3" t="s">
        <v>25</v>
      </c>
      <c r="E238" s="3">
        <v>4</v>
      </c>
      <c r="F238" s="3" t="s">
        <v>103</v>
      </c>
      <c r="G238" s="3" t="s">
        <v>162</v>
      </c>
      <c r="H238" s="3">
        <v>0</v>
      </c>
      <c r="I238" s="3" t="s">
        <v>129</v>
      </c>
      <c r="J238" s="3">
        <f>H238*60</f>
        <v>0</v>
      </c>
      <c r="K238" s="3" t="s">
        <v>20</v>
      </c>
      <c r="L238" t="s">
        <v>51</v>
      </c>
      <c r="M238" t="s">
        <v>25</v>
      </c>
      <c r="N238" s="1">
        <v>4.1666666666666664E-2</v>
      </c>
      <c r="O238" s="1">
        <v>0.43597222222222221</v>
      </c>
      <c r="P238" s="3">
        <v>4000115783</v>
      </c>
      <c r="Q238">
        <v>10049992</v>
      </c>
      <c r="R238" t="s">
        <v>104</v>
      </c>
    </row>
    <row r="239" spans="3:19" x14ac:dyDescent="0.25">
      <c r="C239">
        <v>3118333</v>
      </c>
      <c r="D239" s="3" t="s">
        <v>33</v>
      </c>
      <c r="E239" s="3">
        <v>3</v>
      </c>
      <c r="F239" s="3" t="s">
        <v>29</v>
      </c>
      <c r="G239" s="3" t="s">
        <v>162</v>
      </c>
      <c r="H239" s="3">
        <v>60</v>
      </c>
      <c r="I239" s="3" t="s">
        <v>19</v>
      </c>
      <c r="J239" s="3">
        <f t="shared" si="3"/>
        <v>1</v>
      </c>
      <c r="K239" s="3" t="s">
        <v>20</v>
      </c>
      <c r="L239" t="s">
        <v>165</v>
      </c>
      <c r="M239" t="s">
        <v>165</v>
      </c>
      <c r="N239" s="1">
        <v>0.79166666666666663</v>
      </c>
      <c r="O239" s="1">
        <v>0.83333333333333337</v>
      </c>
      <c r="P239" s="3">
        <v>4000111357</v>
      </c>
      <c r="Q239">
        <v>10051481</v>
      </c>
      <c r="R239" t="s">
        <v>53</v>
      </c>
      <c r="S239" t="s">
        <v>166</v>
      </c>
    </row>
    <row r="240" spans="3:19" x14ac:dyDescent="0.25">
      <c r="C240">
        <v>3118333</v>
      </c>
      <c r="D240" s="3" t="s">
        <v>33</v>
      </c>
      <c r="E240" s="3">
        <v>4</v>
      </c>
      <c r="F240" s="3" t="s">
        <v>29</v>
      </c>
      <c r="G240" s="3" t="s">
        <v>162</v>
      </c>
      <c r="H240" s="3">
        <v>0</v>
      </c>
      <c r="I240" s="3" t="s">
        <v>19</v>
      </c>
      <c r="J240" s="3">
        <f t="shared" si="3"/>
        <v>0</v>
      </c>
      <c r="K240" s="3" t="s">
        <v>20</v>
      </c>
      <c r="L240" t="s">
        <v>165</v>
      </c>
      <c r="M240" t="s">
        <v>33</v>
      </c>
      <c r="N240" s="1">
        <v>0.83333333333333337</v>
      </c>
      <c r="O240" s="1">
        <v>0.50813657407407409</v>
      </c>
      <c r="P240" s="3">
        <v>4000111357</v>
      </c>
      <c r="Q240">
        <v>10051481</v>
      </c>
      <c r="R240" t="s">
        <v>53</v>
      </c>
    </row>
    <row r="241" spans="3:19" x14ac:dyDescent="0.25">
      <c r="C241">
        <v>3118357</v>
      </c>
      <c r="D241" s="3" t="s">
        <v>33</v>
      </c>
      <c r="E241" s="3">
        <v>3</v>
      </c>
      <c r="F241" s="3" t="s">
        <v>29</v>
      </c>
      <c r="G241" s="3" t="s">
        <v>162</v>
      </c>
      <c r="H241" s="3">
        <v>1.5</v>
      </c>
      <c r="I241" s="3" t="s">
        <v>129</v>
      </c>
      <c r="J241" s="3">
        <f>H241*60</f>
        <v>90</v>
      </c>
      <c r="K241" s="3" t="s">
        <v>20</v>
      </c>
      <c r="L241" t="s">
        <v>165</v>
      </c>
      <c r="M241" t="s">
        <v>165</v>
      </c>
      <c r="N241" s="1">
        <v>0.875</v>
      </c>
      <c r="O241" s="1">
        <v>0.9375</v>
      </c>
      <c r="P241" s="3">
        <v>4000111381</v>
      </c>
      <c r="Q241">
        <v>10051481</v>
      </c>
      <c r="R241" t="s">
        <v>53</v>
      </c>
      <c r="S241" t="s">
        <v>37</v>
      </c>
    </row>
    <row r="242" spans="3:19" x14ac:dyDescent="0.25">
      <c r="C242">
        <v>3119952</v>
      </c>
      <c r="D242" s="3" t="s">
        <v>33</v>
      </c>
      <c r="E242" s="3">
        <v>3</v>
      </c>
      <c r="F242" s="3" t="s">
        <v>29</v>
      </c>
      <c r="G242" s="3" t="s">
        <v>162</v>
      </c>
      <c r="H242" s="3">
        <v>60</v>
      </c>
      <c r="I242" s="3" t="s">
        <v>19</v>
      </c>
      <c r="J242" s="3">
        <f t="shared" si="3"/>
        <v>1</v>
      </c>
      <c r="K242" s="3" t="s">
        <v>20</v>
      </c>
      <c r="L242" t="s">
        <v>73</v>
      </c>
      <c r="M242" t="s">
        <v>73</v>
      </c>
      <c r="N242" s="1">
        <v>0.8125</v>
      </c>
      <c r="O242" s="1">
        <v>0.85416666666666663</v>
      </c>
      <c r="P242" s="3">
        <v>4000112026</v>
      </c>
      <c r="Q242">
        <v>10049399</v>
      </c>
      <c r="R242" t="s">
        <v>53</v>
      </c>
      <c r="S242" t="s">
        <v>37</v>
      </c>
    </row>
    <row r="243" spans="3:19" x14ac:dyDescent="0.25">
      <c r="C243">
        <v>3122760</v>
      </c>
      <c r="D243" s="3" t="s">
        <v>33</v>
      </c>
      <c r="E243" s="3">
        <v>3</v>
      </c>
      <c r="F243" s="3" t="s">
        <v>29</v>
      </c>
      <c r="G243" s="3" t="s">
        <v>162</v>
      </c>
      <c r="H243" s="3">
        <v>30</v>
      </c>
      <c r="I243" s="3" t="s">
        <v>19</v>
      </c>
      <c r="J243" s="3">
        <f t="shared" si="3"/>
        <v>0.5</v>
      </c>
      <c r="K243" s="3" t="s">
        <v>20</v>
      </c>
      <c r="L243" t="s">
        <v>73</v>
      </c>
      <c r="M243" t="s">
        <v>73</v>
      </c>
      <c r="N243" s="1">
        <v>0.91666666666666663</v>
      </c>
      <c r="O243" s="1">
        <v>0.9375</v>
      </c>
      <c r="P243" s="3">
        <v>4000113362</v>
      </c>
      <c r="Q243">
        <v>10049436</v>
      </c>
      <c r="R243" t="s">
        <v>53</v>
      </c>
      <c r="S243" t="s">
        <v>167</v>
      </c>
    </row>
    <row r="244" spans="3:19" x14ac:dyDescent="0.25">
      <c r="C244">
        <v>3122761</v>
      </c>
      <c r="D244" s="3" t="s">
        <v>33</v>
      </c>
      <c r="E244" s="3">
        <v>3</v>
      </c>
      <c r="F244" s="3" t="s">
        <v>29</v>
      </c>
      <c r="G244" s="3" t="s">
        <v>162</v>
      </c>
      <c r="H244" s="3">
        <v>60</v>
      </c>
      <c r="I244" s="3" t="s">
        <v>19</v>
      </c>
      <c r="J244" s="3">
        <f t="shared" si="3"/>
        <v>1</v>
      </c>
      <c r="K244" s="3" t="s">
        <v>20</v>
      </c>
      <c r="L244" t="s">
        <v>73</v>
      </c>
      <c r="M244" t="s">
        <v>73</v>
      </c>
      <c r="N244" s="1">
        <v>0.85416666666666663</v>
      </c>
      <c r="O244" s="1">
        <v>0.89583333333333337</v>
      </c>
      <c r="P244" s="3">
        <v>4000113363</v>
      </c>
      <c r="Q244">
        <v>10049416</v>
      </c>
      <c r="R244" t="s">
        <v>53</v>
      </c>
      <c r="S244" t="s">
        <v>123</v>
      </c>
    </row>
    <row r="245" spans="3:19" x14ac:dyDescent="0.25">
      <c r="C245">
        <v>3122766</v>
      </c>
      <c r="D245" s="3" t="s">
        <v>33</v>
      </c>
      <c r="E245" s="3">
        <v>3</v>
      </c>
      <c r="F245" s="3" t="s">
        <v>29</v>
      </c>
      <c r="G245" s="3" t="s">
        <v>162</v>
      </c>
      <c r="H245" s="3">
        <v>30</v>
      </c>
      <c r="I245" s="3" t="s">
        <v>19</v>
      </c>
      <c r="J245" s="3">
        <f t="shared" si="3"/>
        <v>0.5</v>
      </c>
      <c r="K245" s="3" t="s">
        <v>20</v>
      </c>
      <c r="L245" t="s">
        <v>73</v>
      </c>
      <c r="M245" t="s">
        <v>73</v>
      </c>
      <c r="N245" s="1">
        <v>4.1666666666666664E-2</v>
      </c>
      <c r="O245" s="1">
        <v>6.25E-2</v>
      </c>
      <c r="P245" s="3">
        <v>4000113368</v>
      </c>
      <c r="Q245">
        <v>10051337</v>
      </c>
      <c r="R245" t="s">
        <v>54</v>
      </c>
      <c r="S245" t="s">
        <v>123</v>
      </c>
    </row>
    <row r="246" spans="3:19" x14ac:dyDescent="0.25">
      <c r="C246">
        <v>3120249</v>
      </c>
      <c r="D246" s="3" t="s">
        <v>33</v>
      </c>
      <c r="E246" s="3">
        <v>3</v>
      </c>
      <c r="F246" s="3" t="s">
        <v>29</v>
      </c>
      <c r="G246" s="3" t="s">
        <v>162</v>
      </c>
      <c r="H246" s="3">
        <v>30</v>
      </c>
      <c r="I246" s="3" t="s">
        <v>19</v>
      </c>
      <c r="J246" s="3">
        <f t="shared" si="3"/>
        <v>0.5</v>
      </c>
      <c r="K246" s="3" t="s">
        <v>20</v>
      </c>
      <c r="L246" t="s">
        <v>109</v>
      </c>
      <c r="M246" t="s">
        <v>109</v>
      </c>
      <c r="N246" s="1">
        <v>0.9375</v>
      </c>
      <c r="O246" s="1">
        <v>0.95833333333333337</v>
      </c>
      <c r="P246" s="3">
        <v>4000112116</v>
      </c>
      <c r="Q246">
        <v>10051481</v>
      </c>
      <c r="R246" t="s">
        <v>53</v>
      </c>
      <c r="S246" t="s">
        <v>168</v>
      </c>
    </row>
    <row r="247" spans="3:19" x14ac:dyDescent="0.25">
      <c r="C247">
        <v>3119953</v>
      </c>
      <c r="D247" s="3" t="s">
        <v>22</v>
      </c>
      <c r="E247" s="3">
        <v>2</v>
      </c>
      <c r="F247" s="3" t="s">
        <v>29</v>
      </c>
      <c r="G247" s="3" t="s">
        <v>162</v>
      </c>
      <c r="H247" s="3">
        <v>60</v>
      </c>
      <c r="I247" s="3" t="s">
        <v>19</v>
      </c>
      <c r="J247" s="3">
        <f t="shared" si="3"/>
        <v>1</v>
      </c>
      <c r="K247" s="3" t="s">
        <v>20</v>
      </c>
      <c r="L247" t="s">
        <v>51</v>
      </c>
      <c r="M247" t="s">
        <v>51</v>
      </c>
      <c r="N247" s="1">
        <v>0.83333333333333337</v>
      </c>
      <c r="O247" s="1">
        <v>0.875</v>
      </c>
      <c r="P247" s="3">
        <v>4000112027</v>
      </c>
      <c r="Q247">
        <v>10049399</v>
      </c>
      <c r="R247" t="s">
        <v>53</v>
      </c>
      <c r="S247" t="s">
        <v>65</v>
      </c>
    </row>
    <row r="248" spans="3:19" x14ac:dyDescent="0.25">
      <c r="C248">
        <v>3120240</v>
      </c>
      <c r="D248" s="3" t="s">
        <v>22</v>
      </c>
      <c r="E248" s="3">
        <v>2</v>
      </c>
      <c r="F248" s="3" t="s">
        <v>29</v>
      </c>
      <c r="G248" s="3" t="s">
        <v>162</v>
      </c>
      <c r="H248" s="3">
        <v>60</v>
      </c>
      <c r="I248" s="3" t="s">
        <v>19</v>
      </c>
      <c r="J248" s="3">
        <f t="shared" si="3"/>
        <v>1</v>
      </c>
      <c r="K248" s="3" t="s">
        <v>20</v>
      </c>
      <c r="L248" t="s">
        <v>51</v>
      </c>
      <c r="M248" t="s">
        <v>51</v>
      </c>
      <c r="N248" s="1">
        <v>0.875</v>
      </c>
      <c r="O248" s="1">
        <v>0.91666666666666663</v>
      </c>
      <c r="P248" s="3">
        <v>4000112107</v>
      </c>
      <c r="Q248">
        <v>10049399</v>
      </c>
      <c r="R248" t="s">
        <v>53</v>
      </c>
      <c r="S248" t="s">
        <v>169</v>
      </c>
    </row>
    <row r="249" spans="3:19" x14ac:dyDescent="0.25">
      <c r="C249">
        <v>3122784</v>
      </c>
      <c r="D249" s="3" t="s">
        <v>17</v>
      </c>
      <c r="E249" s="3">
        <v>3</v>
      </c>
      <c r="F249" s="3" t="s">
        <v>29</v>
      </c>
      <c r="G249" s="3" t="s">
        <v>162</v>
      </c>
      <c r="H249" s="3">
        <v>1.5</v>
      </c>
      <c r="I249" s="3" t="s">
        <v>129</v>
      </c>
      <c r="J249" s="3">
        <f>H249*60</f>
        <v>90</v>
      </c>
      <c r="K249" s="3" t="s">
        <v>20</v>
      </c>
      <c r="L249" t="s">
        <v>33</v>
      </c>
      <c r="M249" t="s">
        <v>33</v>
      </c>
      <c r="N249" s="1">
        <v>0.58333333333333337</v>
      </c>
      <c r="O249" s="1">
        <v>0.64583333333333337</v>
      </c>
      <c r="P249" s="3">
        <v>4000113386</v>
      </c>
      <c r="Q249">
        <v>10049416</v>
      </c>
      <c r="R249" t="s">
        <v>53</v>
      </c>
      <c r="S249" t="s">
        <v>170</v>
      </c>
    </row>
    <row r="250" spans="3:19" x14ac:dyDescent="0.25">
      <c r="C250">
        <v>3122796</v>
      </c>
      <c r="D250" s="3" t="s">
        <v>17</v>
      </c>
      <c r="E250" s="3">
        <v>3</v>
      </c>
      <c r="F250" s="3" t="s">
        <v>29</v>
      </c>
      <c r="G250" s="3" t="s">
        <v>162</v>
      </c>
      <c r="H250" s="3">
        <v>30</v>
      </c>
      <c r="I250" s="3" t="s">
        <v>19</v>
      </c>
      <c r="J250" s="3">
        <f t="shared" si="3"/>
        <v>0.5</v>
      </c>
      <c r="K250" s="3" t="s">
        <v>20</v>
      </c>
      <c r="L250" t="s">
        <v>33</v>
      </c>
      <c r="M250" t="s">
        <v>33</v>
      </c>
      <c r="N250" s="1">
        <v>0.54166666666666663</v>
      </c>
      <c r="O250" s="1">
        <v>0.5625</v>
      </c>
      <c r="P250" s="3">
        <v>4000113398</v>
      </c>
      <c r="Q250">
        <v>10049399</v>
      </c>
      <c r="R250" t="s">
        <v>53</v>
      </c>
      <c r="S250" t="s">
        <v>171</v>
      </c>
    </row>
    <row r="251" spans="3:19" x14ac:dyDescent="0.25">
      <c r="C251">
        <v>3132473</v>
      </c>
      <c r="D251" s="3" t="s">
        <v>17</v>
      </c>
      <c r="E251" s="3">
        <v>3</v>
      </c>
      <c r="F251" s="3" t="s">
        <v>29</v>
      </c>
      <c r="G251" s="3" t="s">
        <v>162</v>
      </c>
      <c r="H251" s="3">
        <v>30</v>
      </c>
      <c r="I251" s="3" t="s">
        <v>19</v>
      </c>
      <c r="J251" s="3">
        <f t="shared" si="3"/>
        <v>0.5</v>
      </c>
      <c r="K251" s="3" t="s">
        <v>20</v>
      </c>
      <c r="L251" t="s">
        <v>33</v>
      </c>
      <c r="M251" t="s">
        <v>33</v>
      </c>
      <c r="N251" s="1">
        <v>0.54166666666666663</v>
      </c>
      <c r="O251" s="1">
        <v>0.5625</v>
      </c>
      <c r="P251" s="3">
        <v>4000114011</v>
      </c>
      <c r="Q251">
        <v>10049436</v>
      </c>
      <c r="R251" t="s">
        <v>53</v>
      </c>
      <c r="S251" t="s">
        <v>170</v>
      </c>
    </row>
    <row r="252" spans="3:19" x14ac:dyDescent="0.25">
      <c r="C252">
        <v>3134103</v>
      </c>
      <c r="D252" s="3" t="s">
        <v>25</v>
      </c>
      <c r="E252" s="3">
        <v>2</v>
      </c>
      <c r="F252" s="3" t="s">
        <v>29</v>
      </c>
      <c r="G252" s="3" t="s">
        <v>162</v>
      </c>
      <c r="H252" s="3">
        <v>2.5</v>
      </c>
      <c r="I252" s="3" t="s">
        <v>129</v>
      </c>
      <c r="J252" s="3">
        <f>H252*60</f>
        <v>150</v>
      </c>
      <c r="K252" s="3" t="s">
        <v>20</v>
      </c>
      <c r="L252" t="s">
        <v>55</v>
      </c>
      <c r="M252" t="s">
        <v>55</v>
      </c>
      <c r="N252" s="1">
        <v>0.39583333333333331</v>
      </c>
      <c r="O252" s="1">
        <v>0.45833333333333331</v>
      </c>
      <c r="P252" s="3">
        <v>4000114862</v>
      </c>
      <c r="Q252">
        <v>10049688</v>
      </c>
      <c r="R252" t="s">
        <v>54</v>
      </c>
      <c r="S252" t="s">
        <v>172</v>
      </c>
    </row>
    <row r="253" spans="3:19" x14ac:dyDescent="0.25">
      <c r="C253">
        <v>3134110</v>
      </c>
      <c r="D253" s="3" t="s">
        <v>25</v>
      </c>
      <c r="E253" s="3">
        <v>2</v>
      </c>
      <c r="F253" s="3" t="s">
        <v>29</v>
      </c>
      <c r="G253" s="3" t="s">
        <v>162</v>
      </c>
      <c r="H253" s="3">
        <v>30</v>
      </c>
      <c r="I253" s="3" t="s">
        <v>19</v>
      </c>
      <c r="J253" s="3">
        <f t="shared" si="3"/>
        <v>0.5</v>
      </c>
      <c r="K253" s="3" t="s">
        <v>20</v>
      </c>
      <c r="L253" t="s">
        <v>55</v>
      </c>
      <c r="M253" t="s">
        <v>55</v>
      </c>
      <c r="N253" s="1">
        <v>0.39583333333333331</v>
      </c>
      <c r="O253" s="1">
        <v>0.41666666666666669</v>
      </c>
      <c r="P253" s="3">
        <v>4000114869</v>
      </c>
      <c r="Q253">
        <v>10051337</v>
      </c>
      <c r="R253" t="s">
        <v>54</v>
      </c>
      <c r="S253" t="s">
        <v>173</v>
      </c>
    </row>
    <row r="254" spans="3:19" x14ac:dyDescent="0.25">
      <c r="C254">
        <v>3134195</v>
      </c>
      <c r="D254" s="3" t="s">
        <v>25</v>
      </c>
      <c r="E254" s="3">
        <v>2</v>
      </c>
      <c r="F254" s="3" t="s">
        <v>29</v>
      </c>
      <c r="G254" s="3" t="s">
        <v>162</v>
      </c>
      <c r="H254" s="3">
        <v>30</v>
      </c>
      <c r="I254" s="3" t="s">
        <v>19</v>
      </c>
      <c r="J254" s="3">
        <f t="shared" si="3"/>
        <v>0.5</v>
      </c>
      <c r="K254" s="3" t="s">
        <v>20</v>
      </c>
      <c r="L254" t="s">
        <v>55</v>
      </c>
      <c r="M254" t="s">
        <v>55</v>
      </c>
      <c r="N254" s="1">
        <v>0.58333333333333337</v>
      </c>
      <c r="O254" s="1">
        <v>0.60416666666666663</v>
      </c>
      <c r="P254" s="3">
        <v>4000114944</v>
      </c>
      <c r="Q254">
        <v>10051347</v>
      </c>
      <c r="R254" t="s">
        <v>54</v>
      </c>
      <c r="S254" t="s">
        <v>172</v>
      </c>
    </row>
    <row r="255" spans="3:19" x14ac:dyDescent="0.25">
      <c r="C255">
        <v>3134203</v>
      </c>
      <c r="D255" s="3" t="s">
        <v>25</v>
      </c>
      <c r="E255" s="3">
        <v>2</v>
      </c>
      <c r="F255" s="3" t="s">
        <v>29</v>
      </c>
      <c r="G255" s="3" t="s">
        <v>162</v>
      </c>
      <c r="H255" s="3">
        <v>30</v>
      </c>
      <c r="I255" s="3" t="s">
        <v>19</v>
      </c>
      <c r="J255" s="3">
        <f t="shared" si="3"/>
        <v>0.5</v>
      </c>
      <c r="K255" s="3" t="s">
        <v>20</v>
      </c>
      <c r="L255" t="s">
        <v>55</v>
      </c>
      <c r="M255" t="s">
        <v>55</v>
      </c>
      <c r="N255" s="1">
        <v>0.47916666666666669</v>
      </c>
      <c r="O255" s="1">
        <v>0.5</v>
      </c>
      <c r="P255" s="3">
        <v>4000114952</v>
      </c>
      <c r="Q255">
        <v>10051337</v>
      </c>
      <c r="R255" t="s">
        <v>54</v>
      </c>
      <c r="S255" t="s">
        <v>174</v>
      </c>
    </row>
    <row r="256" spans="3:19" x14ac:dyDescent="0.25">
      <c r="C256">
        <v>3134219</v>
      </c>
      <c r="D256" s="3" t="s">
        <v>25</v>
      </c>
      <c r="E256" s="3">
        <v>2</v>
      </c>
      <c r="F256" s="3" t="s">
        <v>29</v>
      </c>
      <c r="G256" s="3" t="s">
        <v>162</v>
      </c>
      <c r="H256" s="3">
        <v>60</v>
      </c>
      <c r="I256" s="3" t="s">
        <v>19</v>
      </c>
      <c r="J256" s="3">
        <f t="shared" si="3"/>
        <v>1</v>
      </c>
      <c r="K256" s="3" t="s">
        <v>20</v>
      </c>
      <c r="L256" t="s">
        <v>55</v>
      </c>
      <c r="M256" t="s">
        <v>55</v>
      </c>
      <c r="N256" s="1">
        <v>0.54166666666666663</v>
      </c>
      <c r="O256" s="1">
        <v>0.58333333333333337</v>
      </c>
      <c r="P256" s="3">
        <v>4000114967</v>
      </c>
      <c r="Q256">
        <v>10051337</v>
      </c>
      <c r="R256" t="s">
        <v>54</v>
      </c>
      <c r="S256" t="s">
        <v>173</v>
      </c>
    </row>
    <row r="257" spans="3:19" x14ac:dyDescent="0.25">
      <c r="C257">
        <v>3133500</v>
      </c>
      <c r="D257" s="3" t="s">
        <v>28</v>
      </c>
      <c r="E257" s="3">
        <v>3</v>
      </c>
      <c r="F257" s="3" t="s">
        <v>29</v>
      </c>
      <c r="G257" s="3" t="s">
        <v>162</v>
      </c>
      <c r="H257" s="3">
        <v>60</v>
      </c>
      <c r="I257" s="3" t="s">
        <v>19</v>
      </c>
      <c r="J257" s="3">
        <f t="shared" si="3"/>
        <v>1</v>
      </c>
      <c r="K257" s="3" t="s">
        <v>20</v>
      </c>
      <c r="L257" t="s">
        <v>118</v>
      </c>
      <c r="M257" t="s">
        <v>118</v>
      </c>
      <c r="N257" s="1">
        <v>0.33333333333333331</v>
      </c>
      <c r="O257" s="1">
        <v>0.375</v>
      </c>
      <c r="P257" s="3">
        <v>4000114760</v>
      </c>
      <c r="Q257">
        <v>10049667</v>
      </c>
      <c r="R257" t="s">
        <v>54</v>
      </c>
      <c r="S257" t="s">
        <v>175</v>
      </c>
    </row>
    <row r="258" spans="3:19" x14ac:dyDescent="0.25">
      <c r="C258">
        <v>3134121</v>
      </c>
      <c r="D258" s="3" t="s">
        <v>28</v>
      </c>
      <c r="E258" s="3">
        <v>3</v>
      </c>
      <c r="F258" s="3" t="s">
        <v>29</v>
      </c>
      <c r="G258" s="3" t="s">
        <v>162</v>
      </c>
      <c r="H258" s="3">
        <v>60</v>
      </c>
      <c r="I258" s="3" t="s">
        <v>19</v>
      </c>
      <c r="J258" s="3">
        <f t="shared" si="3"/>
        <v>1</v>
      </c>
      <c r="K258" s="3" t="s">
        <v>20</v>
      </c>
      <c r="L258" t="s">
        <v>118</v>
      </c>
      <c r="M258" t="s">
        <v>118</v>
      </c>
      <c r="N258" s="1">
        <v>0.375</v>
      </c>
      <c r="O258" s="1">
        <v>0.41666666666666669</v>
      </c>
      <c r="P258" s="3">
        <v>4000114880</v>
      </c>
      <c r="Q258">
        <v>10049680</v>
      </c>
      <c r="R258" t="s">
        <v>54</v>
      </c>
      <c r="S258" t="s">
        <v>176</v>
      </c>
    </row>
    <row r="259" spans="3:19" x14ac:dyDescent="0.25">
      <c r="C259">
        <v>3134194</v>
      </c>
      <c r="D259" s="3" t="s">
        <v>28</v>
      </c>
      <c r="E259" s="3">
        <v>2</v>
      </c>
      <c r="F259" s="3" t="s">
        <v>29</v>
      </c>
      <c r="G259" s="3" t="s">
        <v>162</v>
      </c>
      <c r="H259" s="3">
        <v>60</v>
      </c>
      <c r="I259" s="3" t="s">
        <v>19</v>
      </c>
      <c r="J259" s="3">
        <f t="shared" si="3"/>
        <v>1</v>
      </c>
      <c r="K259" s="3" t="s">
        <v>20</v>
      </c>
      <c r="L259" t="s">
        <v>118</v>
      </c>
      <c r="M259" t="s">
        <v>118</v>
      </c>
      <c r="N259" s="1">
        <v>0.41666666666666669</v>
      </c>
      <c r="O259" s="1">
        <v>0.45833333333333331</v>
      </c>
      <c r="P259" s="3">
        <v>4000114943</v>
      </c>
      <c r="Q259">
        <v>10049680</v>
      </c>
      <c r="R259" t="s">
        <v>54</v>
      </c>
      <c r="S259" t="s">
        <v>175</v>
      </c>
    </row>
    <row r="260" spans="3:19" x14ac:dyDescent="0.25">
      <c r="C260">
        <v>3134257</v>
      </c>
      <c r="D260" s="3" t="s">
        <v>28</v>
      </c>
      <c r="E260" s="3">
        <v>3</v>
      </c>
      <c r="F260" s="3" t="s">
        <v>29</v>
      </c>
      <c r="G260" s="3" t="s">
        <v>162</v>
      </c>
      <c r="H260" s="3">
        <v>30</v>
      </c>
      <c r="I260" s="3" t="s">
        <v>19</v>
      </c>
      <c r="J260" s="3">
        <f t="shared" si="3"/>
        <v>0.5</v>
      </c>
      <c r="K260" s="3" t="s">
        <v>20</v>
      </c>
      <c r="L260" t="s">
        <v>118</v>
      </c>
      <c r="M260" t="s">
        <v>118</v>
      </c>
      <c r="N260" s="1">
        <v>0.625</v>
      </c>
      <c r="O260" s="1">
        <v>0.64583333333333337</v>
      </c>
      <c r="P260" s="3">
        <v>4000115003</v>
      </c>
      <c r="Q260">
        <v>10051337</v>
      </c>
      <c r="R260" t="s">
        <v>54</v>
      </c>
      <c r="S260" t="s">
        <v>177</v>
      </c>
    </row>
    <row r="261" spans="3:19" x14ac:dyDescent="0.25">
      <c r="C261">
        <v>3021734</v>
      </c>
      <c r="D261" s="3" t="s">
        <v>17</v>
      </c>
      <c r="E261" s="3">
        <v>1</v>
      </c>
      <c r="F261" s="3" t="s">
        <v>18</v>
      </c>
      <c r="G261" s="3" t="s">
        <v>178</v>
      </c>
      <c r="H261" s="3">
        <v>960</v>
      </c>
      <c r="I261" s="3" t="s">
        <v>19</v>
      </c>
      <c r="J261" s="3">
        <f t="shared" si="3"/>
        <v>16</v>
      </c>
      <c r="K261" s="3" t="s">
        <v>20</v>
      </c>
      <c r="L261" t="s">
        <v>35</v>
      </c>
      <c r="M261" t="s">
        <v>17</v>
      </c>
      <c r="N261" s="1">
        <v>0</v>
      </c>
      <c r="O261" s="1">
        <v>0.3644444444444444</v>
      </c>
      <c r="P261" s="3">
        <v>4000073467</v>
      </c>
      <c r="Q261">
        <v>10051083</v>
      </c>
      <c r="R261" t="s">
        <v>21</v>
      </c>
    </row>
    <row r="262" spans="3:19" x14ac:dyDescent="0.25">
      <c r="C262">
        <v>3118399</v>
      </c>
      <c r="D262" s="3" t="s">
        <v>73</v>
      </c>
      <c r="E262" s="3">
        <v>1</v>
      </c>
      <c r="F262" s="3" t="s">
        <v>18</v>
      </c>
      <c r="G262" s="3" t="s">
        <v>178</v>
      </c>
      <c r="H262" s="3">
        <v>60</v>
      </c>
      <c r="I262" s="3" t="s">
        <v>19</v>
      </c>
      <c r="J262" s="3">
        <f t="shared" ref="J262:J325" si="4">H262/60</f>
        <v>1</v>
      </c>
      <c r="K262" s="3" t="s">
        <v>20</v>
      </c>
      <c r="L262" t="s">
        <v>73</v>
      </c>
      <c r="M262" t="s">
        <v>73</v>
      </c>
      <c r="N262" s="1">
        <v>0.29166666666666669</v>
      </c>
      <c r="O262" s="1">
        <v>0.33333333333333331</v>
      </c>
      <c r="P262" s="3">
        <v>4000111423</v>
      </c>
      <c r="Q262">
        <v>10051134</v>
      </c>
      <c r="R262" t="s">
        <v>75</v>
      </c>
      <c r="S262" t="s">
        <v>179</v>
      </c>
    </row>
    <row r="263" spans="3:19" x14ac:dyDescent="0.25">
      <c r="C263">
        <v>3024398</v>
      </c>
      <c r="D263" s="3" t="s">
        <v>17</v>
      </c>
      <c r="E263" s="3">
        <v>1</v>
      </c>
      <c r="F263" s="3" t="s">
        <v>18</v>
      </c>
      <c r="G263" s="3" t="s">
        <v>178</v>
      </c>
      <c r="H263" s="3">
        <v>25</v>
      </c>
      <c r="I263" s="3" t="s">
        <v>19</v>
      </c>
      <c r="J263" s="3">
        <f t="shared" si="4"/>
        <v>0.41666666666666669</v>
      </c>
      <c r="K263" s="3" t="s">
        <v>20</v>
      </c>
      <c r="L263" t="s">
        <v>51</v>
      </c>
      <c r="M263" t="s">
        <v>51</v>
      </c>
      <c r="N263" s="1">
        <v>0.51736111111111105</v>
      </c>
      <c r="O263" s="1">
        <v>0.53472222222222221</v>
      </c>
      <c r="P263" s="3">
        <v>4000075232</v>
      </c>
      <c r="Q263">
        <v>10049885</v>
      </c>
      <c r="R263" t="s">
        <v>21</v>
      </c>
      <c r="S263" t="s">
        <v>180</v>
      </c>
    </row>
    <row r="264" spans="3:19" x14ac:dyDescent="0.25">
      <c r="C264">
        <v>3024399</v>
      </c>
      <c r="D264" s="3" t="s">
        <v>17</v>
      </c>
      <c r="E264" s="3">
        <v>1</v>
      </c>
      <c r="F264" s="3" t="s">
        <v>18</v>
      </c>
      <c r="G264" s="3" t="s">
        <v>178</v>
      </c>
      <c r="H264" s="3">
        <v>25</v>
      </c>
      <c r="I264" s="3" t="s">
        <v>19</v>
      </c>
      <c r="J264" s="3">
        <f t="shared" si="4"/>
        <v>0.41666666666666669</v>
      </c>
      <c r="K264" s="3" t="s">
        <v>20</v>
      </c>
      <c r="L264" t="s">
        <v>51</v>
      </c>
      <c r="M264" t="s">
        <v>51</v>
      </c>
      <c r="N264" s="1">
        <v>0.51736111111111105</v>
      </c>
      <c r="O264" s="1">
        <v>0.53472222222222221</v>
      </c>
      <c r="P264" s="3">
        <v>4000075232</v>
      </c>
      <c r="Q264">
        <v>10049885</v>
      </c>
      <c r="R264" t="s">
        <v>21</v>
      </c>
      <c r="S264" t="s">
        <v>180</v>
      </c>
    </row>
    <row r="265" spans="3:19" x14ac:dyDescent="0.25">
      <c r="C265">
        <v>3024403</v>
      </c>
      <c r="D265" s="3" t="s">
        <v>17</v>
      </c>
      <c r="E265" s="3">
        <v>1</v>
      </c>
      <c r="F265" s="3" t="s">
        <v>18</v>
      </c>
      <c r="G265" s="3" t="s">
        <v>178</v>
      </c>
      <c r="H265" s="3">
        <v>5</v>
      </c>
      <c r="I265" s="3" t="s">
        <v>19</v>
      </c>
      <c r="J265" s="3">
        <f t="shared" si="4"/>
        <v>8.3333333333333329E-2</v>
      </c>
      <c r="K265" s="3" t="s">
        <v>20</v>
      </c>
      <c r="L265" t="s">
        <v>51</v>
      </c>
      <c r="M265" t="s">
        <v>51</v>
      </c>
      <c r="N265" s="1">
        <v>0.5</v>
      </c>
      <c r="O265" s="1">
        <v>0.50347222222222221</v>
      </c>
      <c r="P265" s="3">
        <v>4000075234</v>
      </c>
      <c r="Q265">
        <v>10049886</v>
      </c>
      <c r="R265" t="s">
        <v>21</v>
      </c>
      <c r="S265" t="s">
        <v>180</v>
      </c>
    </row>
    <row r="266" spans="3:19" x14ac:dyDescent="0.25">
      <c r="C266">
        <v>3024404</v>
      </c>
      <c r="D266" s="3" t="s">
        <v>17</v>
      </c>
      <c r="E266" s="3">
        <v>1</v>
      </c>
      <c r="F266" s="3" t="s">
        <v>18</v>
      </c>
      <c r="G266" s="3" t="s">
        <v>178</v>
      </c>
      <c r="H266" s="3">
        <v>5</v>
      </c>
      <c r="I266" s="3" t="s">
        <v>19</v>
      </c>
      <c r="J266" s="3">
        <f t="shared" si="4"/>
        <v>8.3333333333333329E-2</v>
      </c>
      <c r="K266" s="3" t="s">
        <v>20</v>
      </c>
      <c r="L266" t="s">
        <v>51</v>
      </c>
      <c r="M266" t="s">
        <v>51</v>
      </c>
      <c r="N266" s="1">
        <v>0.5</v>
      </c>
      <c r="O266" s="1">
        <v>0.50347222222222221</v>
      </c>
      <c r="P266" s="3">
        <v>4000075234</v>
      </c>
      <c r="Q266">
        <v>10049886</v>
      </c>
      <c r="R266" t="s">
        <v>21</v>
      </c>
      <c r="S266" t="s">
        <v>180</v>
      </c>
    </row>
    <row r="267" spans="3:19" x14ac:dyDescent="0.25">
      <c r="C267">
        <v>3024405</v>
      </c>
      <c r="D267" s="3" t="s">
        <v>17</v>
      </c>
      <c r="E267" s="3">
        <v>1</v>
      </c>
      <c r="F267" s="3" t="s">
        <v>18</v>
      </c>
      <c r="G267" s="3" t="s">
        <v>178</v>
      </c>
      <c r="H267" s="3">
        <v>5</v>
      </c>
      <c r="I267" s="3" t="s">
        <v>19</v>
      </c>
      <c r="J267" s="3">
        <f t="shared" si="4"/>
        <v>8.3333333333333329E-2</v>
      </c>
      <c r="K267" s="3" t="s">
        <v>20</v>
      </c>
      <c r="L267" t="s">
        <v>51</v>
      </c>
      <c r="M267" t="s">
        <v>51</v>
      </c>
      <c r="N267" s="1">
        <v>0.50694444444444442</v>
      </c>
      <c r="O267" s="1">
        <v>0.51041666666666663</v>
      </c>
      <c r="P267" s="3">
        <v>4000075235</v>
      </c>
      <c r="Q267">
        <v>10049882</v>
      </c>
      <c r="R267" t="s">
        <v>21</v>
      </c>
      <c r="S267" t="s">
        <v>180</v>
      </c>
    </row>
    <row r="268" spans="3:19" x14ac:dyDescent="0.25">
      <c r="C268">
        <v>3024406</v>
      </c>
      <c r="D268" s="3" t="s">
        <v>17</v>
      </c>
      <c r="E268" s="3">
        <v>1</v>
      </c>
      <c r="F268" s="3" t="s">
        <v>18</v>
      </c>
      <c r="G268" s="3" t="s">
        <v>178</v>
      </c>
      <c r="H268" s="3">
        <v>15</v>
      </c>
      <c r="I268" s="3" t="s">
        <v>19</v>
      </c>
      <c r="J268" s="3">
        <f t="shared" si="4"/>
        <v>0.25</v>
      </c>
      <c r="K268" s="3" t="s">
        <v>20</v>
      </c>
      <c r="L268" t="s">
        <v>51</v>
      </c>
      <c r="M268" t="s">
        <v>51</v>
      </c>
      <c r="N268" s="1">
        <v>0.51041666666666663</v>
      </c>
      <c r="O268" s="1">
        <v>0.52083333333333337</v>
      </c>
      <c r="P268" s="3">
        <v>4000075235</v>
      </c>
      <c r="Q268">
        <v>10049882</v>
      </c>
      <c r="R268" t="s">
        <v>21</v>
      </c>
      <c r="S268" t="s">
        <v>180</v>
      </c>
    </row>
    <row r="269" spans="3:19" x14ac:dyDescent="0.25">
      <c r="C269">
        <v>3024414</v>
      </c>
      <c r="D269" s="3" t="s">
        <v>17</v>
      </c>
      <c r="E269" s="3">
        <v>1</v>
      </c>
      <c r="F269" s="3" t="s">
        <v>18</v>
      </c>
      <c r="G269" s="3" t="s">
        <v>178</v>
      </c>
      <c r="H269" s="3">
        <v>5</v>
      </c>
      <c r="I269" s="3" t="s">
        <v>19</v>
      </c>
      <c r="J269" s="3">
        <f t="shared" si="4"/>
        <v>8.3333333333333329E-2</v>
      </c>
      <c r="K269" s="3" t="s">
        <v>20</v>
      </c>
      <c r="L269" t="s">
        <v>51</v>
      </c>
      <c r="M269" t="s">
        <v>51</v>
      </c>
      <c r="N269" s="1">
        <v>0.52777777777777779</v>
      </c>
      <c r="O269" s="1">
        <v>0.53125</v>
      </c>
      <c r="P269" s="3">
        <v>4000075241</v>
      </c>
      <c r="Q269">
        <v>10053799</v>
      </c>
      <c r="R269" t="s">
        <v>21</v>
      </c>
      <c r="S269" t="s">
        <v>180</v>
      </c>
    </row>
    <row r="270" spans="3:19" x14ac:dyDescent="0.25">
      <c r="C270">
        <v>3024415</v>
      </c>
      <c r="D270" s="3" t="s">
        <v>17</v>
      </c>
      <c r="E270" s="3">
        <v>1</v>
      </c>
      <c r="F270" s="3" t="s">
        <v>18</v>
      </c>
      <c r="G270" s="3" t="s">
        <v>178</v>
      </c>
      <c r="H270" s="3">
        <v>15</v>
      </c>
      <c r="I270" s="3" t="s">
        <v>19</v>
      </c>
      <c r="J270" s="3">
        <f t="shared" si="4"/>
        <v>0.25</v>
      </c>
      <c r="K270" s="3" t="s">
        <v>20</v>
      </c>
      <c r="L270" t="s">
        <v>51</v>
      </c>
      <c r="M270" t="s">
        <v>51</v>
      </c>
      <c r="N270" s="1">
        <v>0.53125</v>
      </c>
      <c r="O270" s="1">
        <v>0.54166666666666663</v>
      </c>
      <c r="P270" s="3">
        <v>4000075241</v>
      </c>
      <c r="Q270">
        <v>10053799</v>
      </c>
      <c r="R270" t="s">
        <v>21</v>
      </c>
      <c r="S270" t="s">
        <v>180</v>
      </c>
    </row>
    <row r="271" spans="3:19" x14ac:dyDescent="0.25">
      <c r="C271">
        <v>3122034</v>
      </c>
      <c r="D271" s="3" t="s">
        <v>33</v>
      </c>
      <c r="E271" s="3">
        <v>1</v>
      </c>
      <c r="F271" s="3" t="s">
        <v>18</v>
      </c>
      <c r="G271" s="3" t="s">
        <v>178</v>
      </c>
      <c r="H271" s="3">
        <v>20</v>
      </c>
      <c r="I271" s="3" t="s">
        <v>19</v>
      </c>
      <c r="J271" s="3">
        <f t="shared" si="4"/>
        <v>0.33333333333333331</v>
      </c>
      <c r="K271" s="3" t="s">
        <v>20</v>
      </c>
      <c r="L271" t="s">
        <v>51</v>
      </c>
      <c r="M271" t="s">
        <v>51</v>
      </c>
      <c r="N271" s="1">
        <v>0.47569444444444442</v>
      </c>
      <c r="O271" s="1">
        <v>0.48958333333333331</v>
      </c>
      <c r="P271" s="3">
        <v>4000112730</v>
      </c>
      <c r="Q271">
        <v>10050867</v>
      </c>
      <c r="R271" t="s">
        <v>83</v>
      </c>
      <c r="S271" t="s">
        <v>181</v>
      </c>
    </row>
    <row r="272" spans="3:19" x14ac:dyDescent="0.25">
      <c r="C272">
        <v>3122037</v>
      </c>
      <c r="D272" s="3" t="s">
        <v>33</v>
      </c>
      <c r="E272" s="3">
        <v>1</v>
      </c>
      <c r="F272" s="3" t="s">
        <v>18</v>
      </c>
      <c r="G272" s="3" t="s">
        <v>178</v>
      </c>
      <c r="H272" s="3">
        <v>15</v>
      </c>
      <c r="I272" s="3" t="s">
        <v>19</v>
      </c>
      <c r="J272" s="3">
        <f t="shared" si="4"/>
        <v>0.25</v>
      </c>
      <c r="K272" s="3" t="s">
        <v>20</v>
      </c>
      <c r="L272" t="s">
        <v>51</v>
      </c>
      <c r="M272" t="s">
        <v>51</v>
      </c>
      <c r="N272" s="1">
        <v>0.46527777777777773</v>
      </c>
      <c r="O272" s="1">
        <v>0.47569444444444442</v>
      </c>
      <c r="P272" s="3">
        <v>4000112733</v>
      </c>
      <c r="Q272">
        <v>10070533</v>
      </c>
      <c r="R272" t="s">
        <v>75</v>
      </c>
      <c r="S272" t="s">
        <v>181</v>
      </c>
    </row>
    <row r="273" spans="3:19" x14ac:dyDescent="0.25">
      <c r="C273">
        <v>3122038</v>
      </c>
      <c r="D273" s="3" t="s">
        <v>33</v>
      </c>
      <c r="E273" s="3">
        <v>1</v>
      </c>
      <c r="F273" s="3" t="s">
        <v>18</v>
      </c>
      <c r="G273" s="3" t="s">
        <v>178</v>
      </c>
      <c r="H273" s="3">
        <v>20</v>
      </c>
      <c r="I273" s="3" t="s">
        <v>19</v>
      </c>
      <c r="J273" s="3">
        <f t="shared" si="4"/>
        <v>0.33333333333333331</v>
      </c>
      <c r="K273" s="3" t="s">
        <v>20</v>
      </c>
      <c r="L273" t="s">
        <v>51</v>
      </c>
      <c r="M273" t="s">
        <v>51</v>
      </c>
      <c r="N273" s="1">
        <v>0.46875</v>
      </c>
      <c r="O273" s="1">
        <v>0.4861111111111111</v>
      </c>
      <c r="P273" s="3">
        <v>4000112734</v>
      </c>
      <c r="Q273">
        <v>10070534</v>
      </c>
      <c r="R273" t="s">
        <v>75</v>
      </c>
      <c r="S273" t="s">
        <v>181</v>
      </c>
    </row>
    <row r="274" spans="3:19" x14ac:dyDescent="0.25">
      <c r="C274">
        <v>3122046</v>
      </c>
      <c r="D274" s="3" t="s">
        <v>33</v>
      </c>
      <c r="E274" s="3">
        <v>1</v>
      </c>
      <c r="F274" s="3" t="s">
        <v>18</v>
      </c>
      <c r="G274" s="3" t="s">
        <v>178</v>
      </c>
      <c r="H274" s="3">
        <v>10</v>
      </c>
      <c r="I274" s="3" t="s">
        <v>19</v>
      </c>
      <c r="J274" s="3">
        <f t="shared" si="4"/>
        <v>0.16666666666666666</v>
      </c>
      <c r="K274" s="3" t="s">
        <v>20</v>
      </c>
      <c r="L274" t="s">
        <v>51</v>
      </c>
      <c r="M274" t="s">
        <v>51</v>
      </c>
      <c r="N274" s="1">
        <v>0.44444444444444442</v>
      </c>
      <c r="O274" s="1">
        <v>0.4513888888888889</v>
      </c>
      <c r="P274" s="3">
        <v>4000112742</v>
      </c>
      <c r="Q274">
        <v>10051091</v>
      </c>
      <c r="R274" t="s">
        <v>21</v>
      </c>
      <c r="S274" t="s">
        <v>182</v>
      </c>
    </row>
    <row r="275" spans="3:19" x14ac:dyDescent="0.25">
      <c r="C275">
        <v>3122048</v>
      </c>
      <c r="D275" s="3" t="s">
        <v>33</v>
      </c>
      <c r="E275" s="3">
        <v>1</v>
      </c>
      <c r="F275" s="3" t="s">
        <v>18</v>
      </c>
      <c r="G275" s="3" t="s">
        <v>178</v>
      </c>
      <c r="H275" s="3">
        <v>20</v>
      </c>
      <c r="I275" s="3" t="s">
        <v>19</v>
      </c>
      <c r="J275" s="3">
        <f t="shared" si="4"/>
        <v>0.33333333333333331</v>
      </c>
      <c r="K275" s="3" t="s">
        <v>20</v>
      </c>
      <c r="L275" t="s">
        <v>51</v>
      </c>
      <c r="M275" t="s">
        <v>51</v>
      </c>
      <c r="N275" s="1">
        <v>0.66666666666666663</v>
      </c>
      <c r="O275" s="1">
        <v>0.68055555555555547</v>
      </c>
      <c r="P275" s="3">
        <v>4000112744</v>
      </c>
      <c r="Q275">
        <v>10049799</v>
      </c>
      <c r="R275" t="s">
        <v>130</v>
      </c>
      <c r="S275" t="s">
        <v>79</v>
      </c>
    </row>
    <row r="276" spans="3:19" x14ac:dyDescent="0.25">
      <c r="C276">
        <v>3122061</v>
      </c>
      <c r="D276" s="3" t="s">
        <v>33</v>
      </c>
      <c r="E276" s="3">
        <v>1</v>
      </c>
      <c r="F276" s="3" t="s">
        <v>18</v>
      </c>
      <c r="G276" s="3" t="s">
        <v>178</v>
      </c>
      <c r="H276" s="3">
        <v>25</v>
      </c>
      <c r="I276" s="3" t="s">
        <v>19</v>
      </c>
      <c r="J276" s="3">
        <f t="shared" si="4"/>
        <v>0.41666666666666669</v>
      </c>
      <c r="K276" s="3" t="s">
        <v>20</v>
      </c>
      <c r="L276" t="s">
        <v>51</v>
      </c>
      <c r="M276" t="s">
        <v>51</v>
      </c>
      <c r="N276" s="1">
        <v>0.45833333333333331</v>
      </c>
      <c r="O276" s="1">
        <v>0.47569444444444442</v>
      </c>
      <c r="P276" s="3">
        <v>4000112757</v>
      </c>
      <c r="Q276">
        <v>10070531</v>
      </c>
      <c r="R276" t="s">
        <v>75</v>
      </c>
      <c r="S276" t="s">
        <v>181</v>
      </c>
    </row>
    <row r="277" spans="3:19" x14ac:dyDescent="0.25">
      <c r="C277">
        <v>3122062</v>
      </c>
      <c r="D277" s="3" t="s">
        <v>33</v>
      </c>
      <c r="E277" s="3">
        <v>1</v>
      </c>
      <c r="F277" s="3" t="s">
        <v>18</v>
      </c>
      <c r="G277" s="3" t="s">
        <v>178</v>
      </c>
      <c r="H277" s="3">
        <v>20</v>
      </c>
      <c r="I277" s="3" t="s">
        <v>19</v>
      </c>
      <c r="J277" s="3">
        <f t="shared" si="4"/>
        <v>0.33333333333333331</v>
      </c>
      <c r="K277" s="3" t="s">
        <v>20</v>
      </c>
      <c r="L277" t="s">
        <v>51</v>
      </c>
      <c r="M277" t="s">
        <v>51</v>
      </c>
      <c r="N277" s="1">
        <v>0.65277777777777779</v>
      </c>
      <c r="O277" s="1">
        <v>0.66666666666666663</v>
      </c>
      <c r="P277" s="3">
        <v>4000112758</v>
      </c>
      <c r="Q277">
        <v>10049759</v>
      </c>
      <c r="R277" t="s">
        <v>130</v>
      </c>
      <c r="S277" t="s">
        <v>79</v>
      </c>
    </row>
    <row r="278" spans="3:19" x14ac:dyDescent="0.25">
      <c r="C278">
        <v>3122063</v>
      </c>
      <c r="D278" s="3" t="s">
        <v>33</v>
      </c>
      <c r="E278" s="3">
        <v>1</v>
      </c>
      <c r="F278" s="3" t="s">
        <v>18</v>
      </c>
      <c r="G278" s="3" t="s">
        <v>178</v>
      </c>
      <c r="H278" s="3">
        <v>40</v>
      </c>
      <c r="I278" s="3" t="s">
        <v>19</v>
      </c>
      <c r="J278" s="3">
        <f t="shared" si="4"/>
        <v>0.66666666666666663</v>
      </c>
      <c r="K278" s="3" t="s">
        <v>20</v>
      </c>
      <c r="L278" t="s">
        <v>51</v>
      </c>
      <c r="M278" t="s">
        <v>51</v>
      </c>
      <c r="N278" s="1">
        <v>0.33333333333333331</v>
      </c>
      <c r="O278" s="1">
        <v>0.3611111111111111</v>
      </c>
      <c r="P278" s="3">
        <v>4000112759</v>
      </c>
      <c r="Q278">
        <v>10049824</v>
      </c>
      <c r="R278" t="s">
        <v>21</v>
      </c>
      <c r="S278" t="s">
        <v>77</v>
      </c>
    </row>
    <row r="279" spans="3:19" x14ac:dyDescent="0.25">
      <c r="C279">
        <v>3122064</v>
      </c>
      <c r="D279" s="3" t="s">
        <v>33</v>
      </c>
      <c r="E279" s="3">
        <v>1</v>
      </c>
      <c r="F279" s="3" t="s">
        <v>18</v>
      </c>
      <c r="G279" s="3" t="s">
        <v>178</v>
      </c>
      <c r="H279" s="3">
        <v>30</v>
      </c>
      <c r="I279" s="3" t="s">
        <v>19</v>
      </c>
      <c r="J279" s="3">
        <f t="shared" si="4"/>
        <v>0.5</v>
      </c>
      <c r="K279" s="3" t="s">
        <v>20</v>
      </c>
      <c r="L279" t="s">
        <v>51</v>
      </c>
      <c r="M279" t="s">
        <v>51</v>
      </c>
      <c r="N279" s="1">
        <v>0.41666666666666669</v>
      </c>
      <c r="O279" s="1">
        <v>0.4375</v>
      </c>
      <c r="P279" s="3">
        <v>4000112760</v>
      </c>
      <c r="Q279">
        <v>10051085</v>
      </c>
      <c r="R279" t="s">
        <v>21</v>
      </c>
      <c r="S279" t="s">
        <v>182</v>
      </c>
    </row>
    <row r="280" spans="3:19" x14ac:dyDescent="0.25">
      <c r="C280">
        <v>3122069</v>
      </c>
      <c r="D280" s="3" t="s">
        <v>33</v>
      </c>
      <c r="E280" s="3">
        <v>1</v>
      </c>
      <c r="F280" s="3" t="s">
        <v>18</v>
      </c>
      <c r="G280" s="3" t="s">
        <v>178</v>
      </c>
      <c r="H280" s="3">
        <v>30</v>
      </c>
      <c r="I280" s="3" t="s">
        <v>19</v>
      </c>
      <c r="J280" s="3">
        <f t="shared" si="4"/>
        <v>0.5</v>
      </c>
      <c r="K280" s="3" t="s">
        <v>20</v>
      </c>
      <c r="L280" t="s">
        <v>51</v>
      </c>
      <c r="M280" t="s">
        <v>51</v>
      </c>
      <c r="N280" s="1">
        <v>0.41666666666666669</v>
      </c>
      <c r="O280" s="1">
        <v>0.4375</v>
      </c>
      <c r="P280" s="3">
        <v>4000112765</v>
      </c>
      <c r="Q280">
        <v>10049882</v>
      </c>
      <c r="R280" t="s">
        <v>21</v>
      </c>
      <c r="S280" t="s">
        <v>182</v>
      </c>
    </row>
    <row r="281" spans="3:19" x14ac:dyDescent="0.25">
      <c r="C281">
        <v>3122073</v>
      </c>
      <c r="D281" s="3" t="s">
        <v>33</v>
      </c>
      <c r="E281" s="3">
        <v>1</v>
      </c>
      <c r="F281" s="3" t="s">
        <v>18</v>
      </c>
      <c r="G281" s="3" t="s">
        <v>178</v>
      </c>
      <c r="H281" s="3">
        <v>30</v>
      </c>
      <c r="I281" s="3" t="s">
        <v>19</v>
      </c>
      <c r="J281" s="3">
        <f t="shared" si="4"/>
        <v>0.5</v>
      </c>
      <c r="K281" s="3" t="s">
        <v>20</v>
      </c>
      <c r="L281" t="s">
        <v>51</v>
      </c>
      <c r="M281" t="s">
        <v>51</v>
      </c>
      <c r="N281" s="1">
        <v>0.70833333333333337</v>
      </c>
      <c r="O281" s="1">
        <v>0.73611111111111116</v>
      </c>
      <c r="P281" s="3">
        <v>4000112769</v>
      </c>
      <c r="Q281">
        <v>10051710</v>
      </c>
      <c r="R281" t="s">
        <v>26</v>
      </c>
      <c r="S281" t="s">
        <v>181</v>
      </c>
    </row>
    <row r="282" spans="3:19" x14ac:dyDescent="0.25">
      <c r="C282">
        <v>3122084</v>
      </c>
      <c r="D282" s="3" t="s">
        <v>33</v>
      </c>
      <c r="E282" s="3">
        <v>1</v>
      </c>
      <c r="F282" s="3" t="s">
        <v>18</v>
      </c>
      <c r="G282" s="3" t="s">
        <v>178</v>
      </c>
      <c r="H282" s="3">
        <v>5</v>
      </c>
      <c r="I282" s="3" t="s">
        <v>19</v>
      </c>
      <c r="J282" s="3">
        <f t="shared" si="4"/>
        <v>8.3333333333333329E-2</v>
      </c>
      <c r="K282" s="3" t="s">
        <v>20</v>
      </c>
      <c r="L282" t="s">
        <v>51</v>
      </c>
      <c r="M282" t="s">
        <v>51</v>
      </c>
      <c r="N282" s="1">
        <v>0.55555555555555558</v>
      </c>
      <c r="O282" s="1">
        <v>0.55902777777777779</v>
      </c>
      <c r="P282" s="3">
        <v>4000112780</v>
      </c>
      <c r="Q282">
        <v>10051035</v>
      </c>
      <c r="R282" t="s">
        <v>130</v>
      </c>
      <c r="S282" t="s">
        <v>183</v>
      </c>
    </row>
    <row r="283" spans="3:19" x14ac:dyDescent="0.25">
      <c r="C283">
        <v>3122087</v>
      </c>
      <c r="D283" s="3" t="s">
        <v>33</v>
      </c>
      <c r="E283" s="3">
        <v>1</v>
      </c>
      <c r="F283" s="3" t="s">
        <v>18</v>
      </c>
      <c r="G283" s="3" t="s">
        <v>178</v>
      </c>
      <c r="H283" s="3">
        <v>25</v>
      </c>
      <c r="I283" s="3" t="s">
        <v>19</v>
      </c>
      <c r="J283" s="3">
        <f t="shared" si="4"/>
        <v>0.41666666666666669</v>
      </c>
      <c r="K283" s="3" t="s">
        <v>20</v>
      </c>
      <c r="L283" t="s">
        <v>51</v>
      </c>
      <c r="M283" t="s">
        <v>51</v>
      </c>
      <c r="N283" s="1">
        <v>0.46180555555555558</v>
      </c>
      <c r="O283" s="1">
        <v>0.47222222222222227</v>
      </c>
      <c r="P283" s="3">
        <v>4000112783</v>
      </c>
      <c r="Q283">
        <v>10070532</v>
      </c>
      <c r="R283" t="s">
        <v>75</v>
      </c>
      <c r="S283" t="s">
        <v>181</v>
      </c>
    </row>
    <row r="284" spans="3:19" x14ac:dyDescent="0.25">
      <c r="C284">
        <v>3122088</v>
      </c>
      <c r="D284" s="3" t="s">
        <v>33</v>
      </c>
      <c r="E284" s="3">
        <v>1</v>
      </c>
      <c r="F284" s="3" t="s">
        <v>18</v>
      </c>
      <c r="G284" s="3" t="s">
        <v>178</v>
      </c>
      <c r="H284" s="3">
        <v>30</v>
      </c>
      <c r="I284" s="3" t="s">
        <v>19</v>
      </c>
      <c r="J284" s="3">
        <f t="shared" si="4"/>
        <v>0.5</v>
      </c>
      <c r="K284" s="3" t="s">
        <v>20</v>
      </c>
      <c r="L284" t="s">
        <v>51</v>
      </c>
      <c r="M284" t="s">
        <v>51</v>
      </c>
      <c r="N284" s="1">
        <v>0.70138888888888884</v>
      </c>
      <c r="O284" s="1">
        <v>0.72222222222222221</v>
      </c>
      <c r="P284" s="3">
        <v>4000112784</v>
      </c>
      <c r="Q284">
        <v>10049797</v>
      </c>
      <c r="R284" t="s">
        <v>130</v>
      </c>
      <c r="S284" t="s">
        <v>79</v>
      </c>
    </row>
    <row r="285" spans="3:19" x14ac:dyDescent="0.25">
      <c r="C285">
        <v>3122090</v>
      </c>
      <c r="D285" s="3" t="s">
        <v>33</v>
      </c>
      <c r="E285" s="3">
        <v>1</v>
      </c>
      <c r="F285" s="3" t="s">
        <v>18</v>
      </c>
      <c r="G285" s="3" t="s">
        <v>178</v>
      </c>
      <c r="H285" s="3">
        <v>30</v>
      </c>
      <c r="I285" s="3" t="s">
        <v>19</v>
      </c>
      <c r="J285" s="3">
        <f t="shared" si="4"/>
        <v>0.5</v>
      </c>
      <c r="K285" s="3" t="s">
        <v>20</v>
      </c>
      <c r="L285" t="s">
        <v>51</v>
      </c>
      <c r="M285" t="s">
        <v>51</v>
      </c>
      <c r="N285" s="1">
        <v>0.41666666666666669</v>
      </c>
      <c r="O285" s="1">
        <v>0.4375</v>
      </c>
      <c r="P285" s="3">
        <v>4000112786</v>
      </c>
      <c r="Q285">
        <v>10049886</v>
      </c>
      <c r="R285" t="s">
        <v>21</v>
      </c>
      <c r="S285" t="s">
        <v>182</v>
      </c>
    </row>
    <row r="286" spans="3:19" x14ac:dyDescent="0.25">
      <c r="C286">
        <v>3122091</v>
      </c>
      <c r="D286" s="3" t="s">
        <v>33</v>
      </c>
      <c r="E286" s="3">
        <v>1</v>
      </c>
      <c r="F286" s="3" t="s">
        <v>18</v>
      </c>
      <c r="G286" s="3" t="s">
        <v>178</v>
      </c>
      <c r="H286" s="3">
        <v>25</v>
      </c>
      <c r="I286" s="3" t="s">
        <v>19</v>
      </c>
      <c r="J286" s="3">
        <f t="shared" si="4"/>
        <v>0.41666666666666669</v>
      </c>
      <c r="K286" s="3" t="s">
        <v>20</v>
      </c>
      <c r="L286" t="s">
        <v>51</v>
      </c>
      <c r="M286" t="s">
        <v>51</v>
      </c>
      <c r="N286" s="1">
        <v>0.44097222222222227</v>
      </c>
      <c r="O286" s="1">
        <v>0.4513888888888889</v>
      </c>
      <c r="P286" s="3">
        <v>4000112787</v>
      </c>
      <c r="Q286">
        <v>10053799</v>
      </c>
      <c r="R286" t="s">
        <v>21</v>
      </c>
      <c r="S286" t="s">
        <v>182</v>
      </c>
    </row>
    <row r="287" spans="3:19" x14ac:dyDescent="0.25">
      <c r="C287">
        <v>3122092</v>
      </c>
      <c r="D287" s="3" t="s">
        <v>33</v>
      </c>
      <c r="E287" s="3">
        <v>1</v>
      </c>
      <c r="F287" s="3" t="s">
        <v>18</v>
      </c>
      <c r="G287" s="3" t="s">
        <v>178</v>
      </c>
      <c r="H287" s="3">
        <v>10</v>
      </c>
      <c r="I287" s="3" t="s">
        <v>19</v>
      </c>
      <c r="J287" s="3">
        <f t="shared" si="4"/>
        <v>0.16666666666666666</v>
      </c>
      <c r="K287" s="3" t="s">
        <v>20</v>
      </c>
      <c r="L287" t="s">
        <v>51</v>
      </c>
      <c r="M287" t="s">
        <v>51</v>
      </c>
      <c r="N287" s="1">
        <v>0.44444444444444442</v>
      </c>
      <c r="O287" s="1">
        <v>0.4513888888888889</v>
      </c>
      <c r="P287" s="3">
        <v>4000112788</v>
      </c>
      <c r="Q287">
        <v>10051716</v>
      </c>
      <c r="R287" t="s">
        <v>21</v>
      </c>
      <c r="S287" t="s">
        <v>182</v>
      </c>
    </row>
    <row r="288" spans="3:19" x14ac:dyDescent="0.25">
      <c r="C288">
        <v>3122101</v>
      </c>
      <c r="D288" s="3" t="s">
        <v>33</v>
      </c>
      <c r="E288" s="3">
        <v>1</v>
      </c>
      <c r="F288" s="3" t="s">
        <v>18</v>
      </c>
      <c r="G288" s="3" t="s">
        <v>178</v>
      </c>
      <c r="H288" s="3">
        <v>10</v>
      </c>
      <c r="I288" s="3" t="s">
        <v>19</v>
      </c>
      <c r="J288" s="3">
        <f t="shared" si="4"/>
        <v>0.16666666666666666</v>
      </c>
      <c r="K288" s="3" t="s">
        <v>20</v>
      </c>
      <c r="L288" t="s">
        <v>51</v>
      </c>
      <c r="M288" t="s">
        <v>51</v>
      </c>
      <c r="N288" s="1">
        <v>0.44444444444444442</v>
      </c>
      <c r="O288" s="1">
        <v>0.4513888888888889</v>
      </c>
      <c r="P288" s="3">
        <v>4000112797</v>
      </c>
      <c r="Q288">
        <v>10051715</v>
      </c>
      <c r="R288" t="s">
        <v>21</v>
      </c>
      <c r="S288" t="s">
        <v>182</v>
      </c>
    </row>
    <row r="289" spans="3:19" x14ac:dyDescent="0.25">
      <c r="C289">
        <v>3122105</v>
      </c>
      <c r="D289" s="3" t="s">
        <v>33</v>
      </c>
      <c r="E289" s="3">
        <v>1</v>
      </c>
      <c r="F289" s="3" t="s">
        <v>18</v>
      </c>
      <c r="G289" s="3" t="s">
        <v>178</v>
      </c>
      <c r="H289" s="3">
        <v>25</v>
      </c>
      <c r="I289" s="3" t="s">
        <v>19</v>
      </c>
      <c r="J289" s="3">
        <f t="shared" si="4"/>
        <v>0.41666666666666669</v>
      </c>
      <c r="K289" s="3" t="s">
        <v>20</v>
      </c>
      <c r="L289" t="s">
        <v>51</v>
      </c>
      <c r="M289" t="s">
        <v>51</v>
      </c>
      <c r="N289" s="1">
        <v>0.47222222222222227</v>
      </c>
      <c r="O289" s="1">
        <v>0.48958333333333331</v>
      </c>
      <c r="P289" s="3">
        <v>4000112801</v>
      </c>
      <c r="Q289">
        <v>10064074</v>
      </c>
      <c r="R289" t="s">
        <v>83</v>
      </c>
      <c r="S289" t="s">
        <v>184</v>
      </c>
    </row>
    <row r="290" spans="3:19" x14ac:dyDescent="0.25">
      <c r="C290">
        <v>3122121</v>
      </c>
      <c r="D290" s="3" t="s">
        <v>33</v>
      </c>
      <c r="E290" s="3">
        <v>1</v>
      </c>
      <c r="F290" s="3" t="s">
        <v>18</v>
      </c>
      <c r="G290" s="3" t="s">
        <v>178</v>
      </c>
      <c r="H290" s="3">
        <v>20</v>
      </c>
      <c r="I290" s="3" t="s">
        <v>19</v>
      </c>
      <c r="J290" s="3">
        <f t="shared" si="4"/>
        <v>0.33333333333333331</v>
      </c>
      <c r="K290" s="3" t="s">
        <v>20</v>
      </c>
      <c r="L290" t="s">
        <v>51</v>
      </c>
      <c r="M290" t="s">
        <v>51</v>
      </c>
      <c r="N290" s="1">
        <v>0.63888888888888895</v>
      </c>
      <c r="O290" s="1">
        <v>0.65277777777777779</v>
      </c>
      <c r="P290" s="3">
        <v>4000112817</v>
      </c>
      <c r="Q290">
        <v>10049795</v>
      </c>
      <c r="R290" t="s">
        <v>130</v>
      </c>
      <c r="S290" t="s">
        <v>79</v>
      </c>
    </row>
    <row r="291" spans="3:19" x14ac:dyDescent="0.25">
      <c r="C291">
        <v>3122126</v>
      </c>
      <c r="D291" s="3" t="s">
        <v>33</v>
      </c>
      <c r="E291" s="3">
        <v>1</v>
      </c>
      <c r="F291" s="3" t="s">
        <v>18</v>
      </c>
      <c r="G291" s="3" t="s">
        <v>178</v>
      </c>
      <c r="H291" s="3">
        <v>45</v>
      </c>
      <c r="I291" s="3" t="s">
        <v>19</v>
      </c>
      <c r="J291" s="3">
        <f t="shared" si="4"/>
        <v>0.75</v>
      </c>
      <c r="K291" s="3" t="s">
        <v>20</v>
      </c>
      <c r="L291" t="s">
        <v>51</v>
      </c>
      <c r="M291" t="s">
        <v>51</v>
      </c>
      <c r="N291" s="1">
        <v>0.54861111111111105</v>
      </c>
      <c r="O291" s="1">
        <v>0.57291666666666663</v>
      </c>
      <c r="P291" s="3">
        <v>4000112822</v>
      </c>
      <c r="Q291">
        <v>10049850</v>
      </c>
      <c r="R291" t="s">
        <v>21</v>
      </c>
      <c r="S291" t="s">
        <v>183</v>
      </c>
    </row>
    <row r="292" spans="3:19" x14ac:dyDescent="0.25">
      <c r="C292">
        <v>3122128</v>
      </c>
      <c r="D292" s="3" t="s">
        <v>33</v>
      </c>
      <c r="E292" s="3">
        <v>1</v>
      </c>
      <c r="F292" s="3" t="s">
        <v>18</v>
      </c>
      <c r="G292" s="3" t="s">
        <v>178</v>
      </c>
      <c r="H292" s="3">
        <v>25</v>
      </c>
      <c r="I292" s="3" t="s">
        <v>19</v>
      </c>
      <c r="J292" s="3">
        <f t="shared" si="4"/>
        <v>0.41666666666666669</v>
      </c>
      <c r="K292" s="3" t="s">
        <v>20</v>
      </c>
      <c r="L292" t="s">
        <v>51</v>
      </c>
      <c r="M292" t="s">
        <v>51</v>
      </c>
      <c r="N292" s="1">
        <v>0.41666666666666669</v>
      </c>
      <c r="O292" s="1">
        <v>0.43402777777777773</v>
      </c>
      <c r="P292" s="3">
        <v>4000112824</v>
      </c>
      <c r="Q292">
        <v>10051083</v>
      </c>
      <c r="R292" t="s">
        <v>21</v>
      </c>
      <c r="S292" t="s">
        <v>182</v>
      </c>
    </row>
    <row r="293" spans="3:19" x14ac:dyDescent="0.25">
      <c r="C293">
        <v>3122129</v>
      </c>
      <c r="D293" s="3" t="s">
        <v>33</v>
      </c>
      <c r="E293" s="3">
        <v>1</v>
      </c>
      <c r="F293" s="3" t="s">
        <v>18</v>
      </c>
      <c r="G293" s="3" t="s">
        <v>178</v>
      </c>
      <c r="H293" s="3">
        <v>30</v>
      </c>
      <c r="I293" s="3" t="s">
        <v>19</v>
      </c>
      <c r="J293" s="3">
        <f t="shared" si="4"/>
        <v>0.5</v>
      </c>
      <c r="K293" s="3" t="s">
        <v>20</v>
      </c>
      <c r="L293" t="s">
        <v>51</v>
      </c>
      <c r="M293" t="s">
        <v>51</v>
      </c>
      <c r="N293" s="1">
        <v>0.68055555555555547</v>
      </c>
      <c r="O293" s="1">
        <v>0.70138888888888884</v>
      </c>
      <c r="P293" s="3">
        <v>4000112825</v>
      </c>
      <c r="Q293">
        <v>10049800</v>
      </c>
      <c r="R293" t="s">
        <v>130</v>
      </c>
      <c r="S293" t="s">
        <v>79</v>
      </c>
    </row>
    <row r="294" spans="3:19" x14ac:dyDescent="0.25">
      <c r="C294">
        <v>3122108</v>
      </c>
      <c r="D294" s="3" t="s">
        <v>33</v>
      </c>
      <c r="E294" s="3">
        <v>1</v>
      </c>
      <c r="F294" s="3" t="s">
        <v>18</v>
      </c>
      <c r="G294" s="3" t="s">
        <v>178</v>
      </c>
      <c r="H294" s="3">
        <v>25</v>
      </c>
      <c r="I294" s="3" t="s">
        <v>19</v>
      </c>
      <c r="J294" s="3">
        <f t="shared" si="4"/>
        <v>0.41666666666666669</v>
      </c>
      <c r="K294" s="3" t="s">
        <v>20</v>
      </c>
      <c r="L294" t="s">
        <v>56</v>
      </c>
      <c r="M294" t="s">
        <v>33</v>
      </c>
      <c r="N294" s="1">
        <v>0.43402777777777773</v>
      </c>
      <c r="O294" s="1">
        <v>0.44444444444444442</v>
      </c>
      <c r="P294" s="3">
        <v>4000112804</v>
      </c>
      <c r="Q294">
        <v>10049881</v>
      </c>
      <c r="R294" t="s">
        <v>21</v>
      </c>
      <c r="S294" t="s">
        <v>182</v>
      </c>
    </row>
    <row r="295" spans="3:19" x14ac:dyDescent="0.25">
      <c r="C295">
        <v>3021734</v>
      </c>
      <c r="D295" s="3" t="s">
        <v>17</v>
      </c>
      <c r="E295" s="3">
        <v>2</v>
      </c>
      <c r="F295" s="3" t="s">
        <v>18</v>
      </c>
      <c r="G295" s="3" t="s">
        <v>178</v>
      </c>
      <c r="H295" s="3">
        <v>0</v>
      </c>
      <c r="I295" s="3" t="s">
        <v>19</v>
      </c>
      <c r="J295" s="3">
        <f t="shared" si="4"/>
        <v>0</v>
      </c>
      <c r="K295" s="3" t="s">
        <v>20</v>
      </c>
      <c r="L295" t="s">
        <v>17</v>
      </c>
      <c r="M295" t="s">
        <v>17</v>
      </c>
      <c r="N295" s="1">
        <v>0.3644444444444444</v>
      </c>
      <c r="O295" s="1">
        <v>0.57245370370370374</v>
      </c>
      <c r="P295" s="3">
        <v>4000073467</v>
      </c>
      <c r="Q295">
        <v>10051083</v>
      </c>
      <c r="R295" t="s">
        <v>21</v>
      </c>
    </row>
    <row r="296" spans="3:19" x14ac:dyDescent="0.25">
      <c r="C296">
        <v>3028660</v>
      </c>
      <c r="D296" s="3" t="s">
        <v>22</v>
      </c>
      <c r="E296" s="3">
        <v>1</v>
      </c>
      <c r="F296" s="3" t="s">
        <v>18</v>
      </c>
      <c r="G296" s="3" t="s">
        <v>178</v>
      </c>
      <c r="H296" s="3">
        <v>10</v>
      </c>
      <c r="I296" s="3" t="s">
        <v>19</v>
      </c>
      <c r="J296" s="3">
        <f t="shared" si="4"/>
        <v>0.16666666666666666</v>
      </c>
      <c r="K296" s="3" t="s">
        <v>20</v>
      </c>
      <c r="L296" t="s">
        <v>55</v>
      </c>
      <c r="M296" t="s">
        <v>55</v>
      </c>
      <c r="N296" s="1">
        <v>0.85416666666666663</v>
      </c>
      <c r="O296" s="1">
        <v>0.86111111111111116</v>
      </c>
      <c r="P296" s="3">
        <v>4000076858</v>
      </c>
      <c r="Q296">
        <v>10051091</v>
      </c>
      <c r="R296" t="s">
        <v>21</v>
      </c>
      <c r="S296" t="s">
        <v>82</v>
      </c>
    </row>
    <row r="297" spans="3:19" x14ac:dyDescent="0.25">
      <c r="C297">
        <v>3028661</v>
      </c>
      <c r="D297" s="3" t="s">
        <v>22</v>
      </c>
      <c r="E297" s="3">
        <v>1</v>
      </c>
      <c r="F297" s="3" t="s">
        <v>18</v>
      </c>
      <c r="G297" s="3" t="s">
        <v>178</v>
      </c>
      <c r="H297" s="3">
        <v>10</v>
      </c>
      <c r="I297" s="3" t="s">
        <v>19</v>
      </c>
      <c r="J297" s="3">
        <f t="shared" si="4"/>
        <v>0.16666666666666666</v>
      </c>
      <c r="K297" s="3" t="s">
        <v>20</v>
      </c>
      <c r="L297" t="s">
        <v>55</v>
      </c>
      <c r="M297" t="s">
        <v>55</v>
      </c>
      <c r="N297" s="1">
        <v>0.85416666666666663</v>
      </c>
      <c r="O297" s="1">
        <v>0.86111111111111116</v>
      </c>
      <c r="P297" s="3">
        <v>4000076858</v>
      </c>
      <c r="Q297">
        <v>10051091</v>
      </c>
      <c r="R297" t="s">
        <v>21</v>
      </c>
      <c r="S297" t="s">
        <v>82</v>
      </c>
    </row>
    <row r="298" spans="3:19" x14ac:dyDescent="0.25">
      <c r="C298">
        <v>3028687</v>
      </c>
      <c r="D298" s="3" t="s">
        <v>22</v>
      </c>
      <c r="E298" s="3">
        <v>1</v>
      </c>
      <c r="F298" s="3" t="s">
        <v>18</v>
      </c>
      <c r="G298" s="3" t="s">
        <v>178</v>
      </c>
      <c r="H298" s="3">
        <v>20</v>
      </c>
      <c r="I298" s="3" t="s">
        <v>19</v>
      </c>
      <c r="J298" s="3">
        <f t="shared" si="4"/>
        <v>0.33333333333333331</v>
      </c>
      <c r="K298" s="3" t="s">
        <v>20</v>
      </c>
      <c r="L298" t="s">
        <v>55</v>
      </c>
      <c r="M298" t="s">
        <v>55</v>
      </c>
      <c r="N298" s="1">
        <v>0.85416666666666663</v>
      </c>
      <c r="O298" s="1">
        <v>0.86805555555555547</v>
      </c>
      <c r="P298" s="3">
        <v>4000076868</v>
      </c>
      <c r="Q298">
        <v>10051091</v>
      </c>
      <c r="R298" t="s">
        <v>21</v>
      </c>
      <c r="S298" t="s">
        <v>82</v>
      </c>
    </row>
    <row r="299" spans="3:19" x14ac:dyDescent="0.25">
      <c r="C299">
        <v>3028687</v>
      </c>
      <c r="D299" s="3" t="s">
        <v>22</v>
      </c>
      <c r="E299" s="3">
        <v>2</v>
      </c>
      <c r="F299" s="3" t="s">
        <v>18</v>
      </c>
      <c r="G299" s="3" t="s">
        <v>178</v>
      </c>
      <c r="H299" s="3">
        <v>20</v>
      </c>
      <c r="I299" s="3" t="s">
        <v>19</v>
      </c>
      <c r="J299" s="3">
        <f t="shared" si="4"/>
        <v>0.33333333333333331</v>
      </c>
      <c r="K299" s="3" t="s">
        <v>20</v>
      </c>
      <c r="L299" t="s">
        <v>55</v>
      </c>
      <c r="M299" t="s">
        <v>55</v>
      </c>
      <c r="N299" s="1">
        <v>0.85416666666666663</v>
      </c>
      <c r="O299" s="1">
        <v>0.86805555555555547</v>
      </c>
      <c r="P299" s="3">
        <v>4000076868</v>
      </c>
      <c r="Q299">
        <v>10051091</v>
      </c>
      <c r="R299" t="s">
        <v>21</v>
      </c>
      <c r="S299" t="s">
        <v>82</v>
      </c>
    </row>
    <row r="300" spans="3:19" x14ac:dyDescent="0.25">
      <c r="C300">
        <v>3028687</v>
      </c>
      <c r="D300" s="3" t="s">
        <v>22</v>
      </c>
      <c r="E300" s="3">
        <v>3</v>
      </c>
      <c r="F300" s="3" t="s">
        <v>18</v>
      </c>
      <c r="G300" s="3" t="s">
        <v>178</v>
      </c>
      <c r="H300" s="3">
        <v>20</v>
      </c>
      <c r="I300" s="3" t="s">
        <v>19</v>
      </c>
      <c r="J300" s="3">
        <f t="shared" si="4"/>
        <v>0.33333333333333331</v>
      </c>
      <c r="K300" s="3" t="s">
        <v>20</v>
      </c>
      <c r="L300" t="s">
        <v>55</v>
      </c>
      <c r="M300" t="s">
        <v>55</v>
      </c>
      <c r="N300" s="1">
        <v>0.85416666666666663</v>
      </c>
      <c r="O300" s="1">
        <v>0.86805555555555547</v>
      </c>
      <c r="P300" s="3">
        <v>4000076868</v>
      </c>
      <c r="Q300">
        <v>10051091</v>
      </c>
      <c r="R300" t="s">
        <v>21</v>
      </c>
      <c r="S300" t="s">
        <v>82</v>
      </c>
    </row>
    <row r="301" spans="3:19" x14ac:dyDescent="0.25">
      <c r="C301">
        <v>3028656</v>
      </c>
      <c r="D301" s="3" t="s">
        <v>22</v>
      </c>
      <c r="E301" s="3">
        <v>1</v>
      </c>
      <c r="F301" s="3" t="s">
        <v>18</v>
      </c>
      <c r="G301" s="3" t="s">
        <v>178</v>
      </c>
      <c r="H301" s="3">
        <v>10</v>
      </c>
      <c r="I301" s="3" t="s">
        <v>19</v>
      </c>
      <c r="J301" s="3">
        <f t="shared" si="4"/>
        <v>0.16666666666666666</v>
      </c>
      <c r="K301" s="3" t="s">
        <v>20</v>
      </c>
      <c r="L301" t="s">
        <v>25</v>
      </c>
      <c r="M301" t="s">
        <v>25</v>
      </c>
      <c r="N301" s="1">
        <v>0.90277777777777779</v>
      </c>
      <c r="O301" s="1">
        <v>0.90972222222222221</v>
      </c>
      <c r="P301" s="3">
        <v>4000076855</v>
      </c>
      <c r="Q301">
        <v>10051715</v>
      </c>
      <c r="R301" t="s">
        <v>21</v>
      </c>
      <c r="S301" t="s">
        <v>85</v>
      </c>
    </row>
    <row r="302" spans="3:19" x14ac:dyDescent="0.25">
      <c r="C302">
        <v>3028657</v>
      </c>
      <c r="D302" s="3" t="s">
        <v>22</v>
      </c>
      <c r="E302" s="3">
        <v>1</v>
      </c>
      <c r="F302" s="3" t="s">
        <v>18</v>
      </c>
      <c r="G302" s="3" t="s">
        <v>178</v>
      </c>
      <c r="H302" s="3">
        <v>10</v>
      </c>
      <c r="I302" s="3" t="s">
        <v>19</v>
      </c>
      <c r="J302" s="3">
        <f t="shared" si="4"/>
        <v>0.16666666666666666</v>
      </c>
      <c r="K302" s="3" t="s">
        <v>20</v>
      </c>
      <c r="L302" t="s">
        <v>25</v>
      </c>
      <c r="M302" t="s">
        <v>25</v>
      </c>
      <c r="N302" s="1">
        <v>0.90277777777777779</v>
      </c>
      <c r="O302" s="1">
        <v>0.90972222222222221</v>
      </c>
      <c r="P302" s="3">
        <v>4000076855</v>
      </c>
      <c r="Q302">
        <v>10051715</v>
      </c>
      <c r="R302" t="s">
        <v>21</v>
      </c>
      <c r="S302" t="s">
        <v>85</v>
      </c>
    </row>
    <row r="303" spans="3:19" x14ac:dyDescent="0.25">
      <c r="C303">
        <v>3028682</v>
      </c>
      <c r="D303" s="3" t="s">
        <v>22</v>
      </c>
      <c r="E303" s="3">
        <v>1</v>
      </c>
      <c r="F303" s="3" t="s">
        <v>18</v>
      </c>
      <c r="G303" s="3" t="s">
        <v>178</v>
      </c>
      <c r="H303" s="3">
        <v>10</v>
      </c>
      <c r="I303" s="3" t="s">
        <v>19</v>
      </c>
      <c r="J303" s="3">
        <f t="shared" si="4"/>
        <v>0.16666666666666666</v>
      </c>
      <c r="K303" s="3" t="s">
        <v>20</v>
      </c>
      <c r="L303" t="s">
        <v>25</v>
      </c>
      <c r="M303" t="s">
        <v>25</v>
      </c>
      <c r="N303" s="1">
        <v>0.92361111111111116</v>
      </c>
      <c r="O303" s="1">
        <v>0.93055555555555547</v>
      </c>
      <c r="P303" s="3">
        <v>4000076865</v>
      </c>
      <c r="Q303">
        <v>10051716</v>
      </c>
      <c r="R303" t="s">
        <v>21</v>
      </c>
      <c r="S303" t="s">
        <v>85</v>
      </c>
    </row>
    <row r="304" spans="3:19" x14ac:dyDescent="0.25">
      <c r="C304">
        <v>3028683</v>
      </c>
      <c r="D304" s="3" t="s">
        <v>22</v>
      </c>
      <c r="E304" s="3">
        <v>1</v>
      </c>
      <c r="F304" s="3" t="s">
        <v>18</v>
      </c>
      <c r="G304" s="3" t="s">
        <v>178</v>
      </c>
      <c r="H304" s="3">
        <v>10</v>
      </c>
      <c r="I304" s="3" t="s">
        <v>19</v>
      </c>
      <c r="J304" s="3">
        <f t="shared" si="4"/>
        <v>0.16666666666666666</v>
      </c>
      <c r="K304" s="3" t="s">
        <v>20</v>
      </c>
      <c r="L304" t="s">
        <v>25</v>
      </c>
      <c r="M304" t="s">
        <v>25</v>
      </c>
      <c r="N304" s="1">
        <v>0.92361111111111116</v>
      </c>
      <c r="O304" s="1">
        <v>0.93055555555555547</v>
      </c>
      <c r="P304" s="3">
        <v>4000076865</v>
      </c>
      <c r="Q304">
        <v>10051716</v>
      </c>
      <c r="R304" t="s">
        <v>21</v>
      </c>
      <c r="S304" t="s">
        <v>85</v>
      </c>
    </row>
    <row r="305" spans="3:19" x14ac:dyDescent="0.25">
      <c r="C305">
        <v>3028688</v>
      </c>
      <c r="D305" s="3" t="s">
        <v>22</v>
      </c>
      <c r="E305" s="3">
        <v>1</v>
      </c>
      <c r="F305" s="3" t="s">
        <v>18</v>
      </c>
      <c r="G305" s="3" t="s">
        <v>178</v>
      </c>
      <c r="H305" s="3">
        <v>10</v>
      </c>
      <c r="I305" s="3" t="s">
        <v>19</v>
      </c>
      <c r="J305" s="3">
        <f t="shared" si="4"/>
        <v>0.16666666666666666</v>
      </c>
      <c r="K305" s="3" t="s">
        <v>20</v>
      </c>
      <c r="L305" t="s">
        <v>25</v>
      </c>
      <c r="M305" t="s">
        <v>25</v>
      </c>
      <c r="N305" s="1">
        <v>0.90972222222222221</v>
      </c>
      <c r="O305" s="1">
        <v>0.91666666666666663</v>
      </c>
      <c r="P305" s="3">
        <v>4000076869</v>
      </c>
      <c r="Q305">
        <v>10051715</v>
      </c>
      <c r="R305" t="s">
        <v>21</v>
      </c>
      <c r="S305" t="s">
        <v>85</v>
      </c>
    </row>
    <row r="306" spans="3:19" x14ac:dyDescent="0.25">
      <c r="C306">
        <v>3028689</v>
      </c>
      <c r="D306" s="3" t="s">
        <v>22</v>
      </c>
      <c r="E306" s="3">
        <v>1</v>
      </c>
      <c r="F306" s="3" t="s">
        <v>18</v>
      </c>
      <c r="G306" s="3" t="s">
        <v>178</v>
      </c>
      <c r="H306" s="3">
        <v>10</v>
      </c>
      <c r="I306" s="3" t="s">
        <v>19</v>
      </c>
      <c r="J306" s="3">
        <f t="shared" si="4"/>
        <v>0.16666666666666666</v>
      </c>
      <c r="K306" s="3" t="s">
        <v>20</v>
      </c>
      <c r="L306" t="s">
        <v>25</v>
      </c>
      <c r="M306" t="s">
        <v>25</v>
      </c>
      <c r="N306" s="1">
        <v>0.90972222222222221</v>
      </c>
      <c r="O306" s="1">
        <v>0.91666666666666663</v>
      </c>
      <c r="P306" s="3">
        <v>4000076869</v>
      </c>
      <c r="Q306">
        <v>10051715</v>
      </c>
      <c r="R306" t="s">
        <v>21</v>
      </c>
      <c r="S306" t="s">
        <v>85</v>
      </c>
    </row>
    <row r="307" spans="3:19" x14ac:dyDescent="0.25">
      <c r="C307">
        <v>3028690</v>
      </c>
      <c r="D307" s="3" t="s">
        <v>22</v>
      </c>
      <c r="E307" s="3">
        <v>1</v>
      </c>
      <c r="F307" s="3" t="s">
        <v>18</v>
      </c>
      <c r="G307" s="3" t="s">
        <v>178</v>
      </c>
      <c r="H307" s="3">
        <v>10</v>
      </c>
      <c r="I307" s="3" t="s">
        <v>19</v>
      </c>
      <c r="J307" s="3">
        <f t="shared" si="4"/>
        <v>0.16666666666666666</v>
      </c>
      <c r="K307" s="3" t="s">
        <v>20</v>
      </c>
      <c r="L307" t="s">
        <v>25</v>
      </c>
      <c r="M307" t="s">
        <v>25</v>
      </c>
      <c r="N307" s="1">
        <v>0.91666666666666663</v>
      </c>
      <c r="O307" s="1">
        <v>0.92361111111111116</v>
      </c>
      <c r="P307" s="3">
        <v>4000076870</v>
      </c>
      <c r="Q307">
        <v>10051716</v>
      </c>
      <c r="R307" t="s">
        <v>21</v>
      </c>
      <c r="S307" t="s">
        <v>85</v>
      </c>
    </row>
    <row r="308" spans="3:19" x14ac:dyDescent="0.25">
      <c r="C308">
        <v>3028691</v>
      </c>
      <c r="D308" s="3" t="s">
        <v>22</v>
      </c>
      <c r="E308" s="3">
        <v>2</v>
      </c>
      <c r="F308" s="3" t="s">
        <v>18</v>
      </c>
      <c r="G308" s="3" t="s">
        <v>178</v>
      </c>
      <c r="H308" s="3">
        <v>10</v>
      </c>
      <c r="I308" s="3" t="s">
        <v>19</v>
      </c>
      <c r="J308" s="3">
        <f t="shared" si="4"/>
        <v>0.16666666666666666</v>
      </c>
      <c r="K308" s="3" t="s">
        <v>20</v>
      </c>
      <c r="L308" t="s">
        <v>25</v>
      </c>
      <c r="M308" t="s">
        <v>25</v>
      </c>
      <c r="N308" s="1">
        <v>0.91666666666666663</v>
      </c>
      <c r="O308" s="1">
        <v>0.92361111111111116</v>
      </c>
      <c r="P308" s="3">
        <v>4000076870</v>
      </c>
      <c r="Q308">
        <v>10051716</v>
      </c>
      <c r="R308" t="s">
        <v>21</v>
      </c>
      <c r="S308" t="s">
        <v>85</v>
      </c>
    </row>
    <row r="309" spans="3:19" x14ac:dyDescent="0.25">
      <c r="C309">
        <v>3134789</v>
      </c>
      <c r="D309" s="3" t="s">
        <v>25</v>
      </c>
      <c r="E309" s="3">
        <v>2</v>
      </c>
      <c r="F309" s="3" t="s">
        <v>122</v>
      </c>
      <c r="G309" s="3" t="s">
        <v>178</v>
      </c>
      <c r="H309" s="3">
        <v>2</v>
      </c>
      <c r="I309" s="3" t="s">
        <v>129</v>
      </c>
      <c r="J309" s="3">
        <f>H309*60</f>
        <v>120</v>
      </c>
      <c r="K309" s="3" t="s">
        <v>20</v>
      </c>
      <c r="L309" t="s">
        <v>51</v>
      </c>
      <c r="M309" t="s">
        <v>51</v>
      </c>
      <c r="N309" s="1">
        <v>0.45833333333333331</v>
      </c>
      <c r="O309" s="1">
        <v>0.54166666666666663</v>
      </c>
      <c r="P309" s="3">
        <v>4000115719</v>
      </c>
      <c r="Q309">
        <v>10049809</v>
      </c>
      <c r="R309" t="s">
        <v>130</v>
      </c>
      <c r="S309" t="s">
        <v>131</v>
      </c>
    </row>
    <row r="310" spans="3:19" x14ac:dyDescent="0.25">
      <c r="C310">
        <v>3132496</v>
      </c>
      <c r="D310" s="3" t="s">
        <v>55</v>
      </c>
      <c r="E310" s="3">
        <v>1</v>
      </c>
      <c r="F310" s="3" t="s">
        <v>106</v>
      </c>
      <c r="G310" s="3" t="s">
        <v>178</v>
      </c>
      <c r="H310" s="3">
        <v>30</v>
      </c>
      <c r="I310" s="3" t="s">
        <v>19</v>
      </c>
      <c r="J310" s="3">
        <f t="shared" si="4"/>
        <v>0.5</v>
      </c>
      <c r="K310" s="3" t="s">
        <v>20</v>
      </c>
      <c r="L310" t="s">
        <v>33</v>
      </c>
      <c r="M310" t="s">
        <v>33</v>
      </c>
      <c r="N310" s="1">
        <v>0.83333333333333337</v>
      </c>
      <c r="O310" s="1">
        <v>0.85416666666666663</v>
      </c>
      <c r="P310" s="3">
        <v>4000114053</v>
      </c>
      <c r="Q310">
        <v>10051738</v>
      </c>
      <c r="R310" t="s">
        <v>58</v>
      </c>
    </row>
    <row r="311" spans="3:19" x14ac:dyDescent="0.25">
      <c r="C311">
        <v>3119992</v>
      </c>
      <c r="D311" s="3" t="s">
        <v>33</v>
      </c>
      <c r="E311" s="3">
        <v>3</v>
      </c>
      <c r="F311" s="3" t="s">
        <v>29</v>
      </c>
      <c r="G311" s="3" t="s">
        <v>178</v>
      </c>
      <c r="H311" s="3">
        <v>10</v>
      </c>
      <c r="I311" s="3" t="s">
        <v>19</v>
      </c>
      <c r="J311" s="3">
        <f t="shared" si="4"/>
        <v>0.16666666666666666</v>
      </c>
      <c r="K311" s="3" t="s">
        <v>20</v>
      </c>
      <c r="L311" t="s">
        <v>30</v>
      </c>
      <c r="M311" t="s">
        <v>30</v>
      </c>
      <c r="N311" s="1">
        <v>0.40972222222222227</v>
      </c>
      <c r="O311" s="1">
        <v>0.41666666666666669</v>
      </c>
      <c r="P311" s="3">
        <v>4000112063</v>
      </c>
      <c r="Q311">
        <v>10049399</v>
      </c>
      <c r="R311" t="s">
        <v>53</v>
      </c>
      <c r="S311" t="s">
        <v>146</v>
      </c>
    </row>
    <row r="312" spans="3:19" x14ac:dyDescent="0.25">
      <c r="C312">
        <v>3132488</v>
      </c>
      <c r="D312" s="3" t="s">
        <v>55</v>
      </c>
      <c r="E312" s="3">
        <v>1</v>
      </c>
      <c r="F312" s="3" t="s">
        <v>29</v>
      </c>
      <c r="G312" s="3" t="s">
        <v>178</v>
      </c>
      <c r="H312" s="3">
        <v>30</v>
      </c>
      <c r="I312" s="3" t="s">
        <v>19</v>
      </c>
      <c r="J312" s="3">
        <f t="shared" si="4"/>
        <v>0.5</v>
      </c>
      <c r="K312" s="3" t="s">
        <v>20</v>
      </c>
      <c r="L312" t="s">
        <v>33</v>
      </c>
      <c r="M312" t="s">
        <v>33</v>
      </c>
      <c r="N312" s="1">
        <v>0.85416666666666663</v>
      </c>
      <c r="O312" s="1">
        <v>0.875</v>
      </c>
      <c r="P312" s="3">
        <v>4000114046</v>
      </c>
      <c r="Q312">
        <v>10051555</v>
      </c>
      <c r="R312" t="s">
        <v>57</v>
      </c>
      <c r="S312" t="s">
        <v>185</v>
      </c>
    </row>
    <row r="313" spans="3:19" x14ac:dyDescent="0.25">
      <c r="C313">
        <v>3132471</v>
      </c>
      <c r="D313" s="3" t="s">
        <v>22</v>
      </c>
      <c r="E313" s="3">
        <v>2</v>
      </c>
      <c r="F313" s="3" t="s">
        <v>29</v>
      </c>
      <c r="G313" s="3" t="s">
        <v>178</v>
      </c>
      <c r="H313" s="3">
        <v>10</v>
      </c>
      <c r="I313" s="3" t="s">
        <v>19</v>
      </c>
      <c r="J313" s="3">
        <f t="shared" si="4"/>
        <v>0.16666666666666666</v>
      </c>
      <c r="K313" s="3" t="s">
        <v>20</v>
      </c>
      <c r="L313" t="s">
        <v>55</v>
      </c>
      <c r="M313" t="s">
        <v>55</v>
      </c>
      <c r="N313" s="1">
        <v>0.84027777777777779</v>
      </c>
      <c r="O313" s="1">
        <v>0.84722222222222221</v>
      </c>
      <c r="P313" s="3">
        <v>4000114009</v>
      </c>
      <c r="Q313">
        <v>10049350</v>
      </c>
      <c r="R313" t="s">
        <v>36</v>
      </c>
      <c r="S313" t="s">
        <v>86</v>
      </c>
    </row>
    <row r="314" spans="3:19" x14ac:dyDescent="0.25">
      <c r="C314">
        <v>3134115</v>
      </c>
      <c r="D314" s="3" t="s">
        <v>22</v>
      </c>
      <c r="E314" s="3">
        <v>1</v>
      </c>
      <c r="F314" s="3" t="s">
        <v>29</v>
      </c>
      <c r="G314" s="3" t="s">
        <v>178</v>
      </c>
      <c r="H314" s="3">
        <v>30</v>
      </c>
      <c r="I314" s="3" t="s">
        <v>19</v>
      </c>
      <c r="J314" s="3">
        <f t="shared" si="4"/>
        <v>0.5</v>
      </c>
      <c r="K314" s="3" t="s">
        <v>20</v>
      </c>
      <c r="L314" t="s">
        <v>55</v>
      </c>
      <c r="M314" t="s">
        <v>55</v>
      </c>
      <c r="N314" s="1">
        <v>0.8125</v>
      </c>
      <c r="O314" s="1">
        <v>0.83333333333333337</v>
      </c>
      <c r="P314" s="3">
        <v>4000114874</v>
      </c>
      <c r="Q314">
        <v>10049663</v>
      </c>
      <c r="R314" t="s">
        <v>38</v>
      </c>
      <c r="S314" t="s">
        <v>86</v>
      </c>
    </row>
    <row r="315" spans="3:19" x14ac:dyDescent="0.25">
      <c r="C315">
        <v>3134139</v>
      </c>
      <c r="D315" s="3" t="s">
        <v>22</v>
      </c>
      <c r="E315" s="3">
        <v>1</v>
      </c>
      <c r="F315" s="3" t="s">
        <v>29</v>
      </c>
      <c r="G315" s="3" t="s">
        <v>178</v>
      </c>
      <c r="H315" s="3">
        <v>30</v>
      </c>
      <c r="I315" s="3" t="s">
        <v>19</v>
      </c>
      <c r="J315" s="3">
        <f t="shared" si="4"/>
        <v>0.5</v>
      </c>
      <c r="K315" s="3" t="s">
        <v>20</v>
      </c>
      <c r="L315" t="s">
        <v>55</v>
      </c>
      <c r="M315" t="s">
        <v>55</v>
      </c>
      <c r="N315" s="1">
        <v>0.8125</v>
      </c>
      <c r="O315" s="1">
        <v>0.83333333333333337</v>
      </c>
      <c r="P315" s="3">
        <v>4000114892</v>
      </c>
      <c r="Q315">
        <v>10049652</v>
      </c>
      <c r="R315" t="s">
        <v>38</v>
      </c>
      <c r="S315" t="s">
        <v>87</v>
      </c>
    </row>
    <row r="316" spans="3:19" x14ac:dyDescent="0.25">
      <c r="C316">
        <v>3134140</v>
      </c>
      <c r="D316" s="3" t="s">
        <v>22</v>
      </c>
      <c r="E316" s="3">
        <v>1</v>
      </c>
      <c r="F316" s="3" t="s">
        <v>29</v>
      </c>
      <c r="G316" s="3" t="s">
        <v>178</v>
      </c>
      <c r="H316" s="3">
        <v>30</v>
      </c>
      <c r="I316" s="3" t="s">
        <v>19</v>
      </c>
      <c r="J316" s="3">
        <f t="shared" si="4"/>
        <v>0.5</v>
      </c>
      <c r="K316" s="3" t="s">
        <v>20</v>
      </c>
      <c r="L316" t="s">
        <v>55</v>
      </c>
      <c r="M316" t="s">
        <v>55</v>
      </c>
      <c r="N316" s="1">
        <v>0.8125</v>
      </c>
      <c r="O316" s="1">
        <v>0.83333333333333337</v>
      </c>
      <c r="P316" s="3">
        <v>4000114893</v>
      </c>
      <c r="Q316">
        <v>10049663</v>
      </c>
      <c r="R316" t="s">
        <v>38</v>
      </c>
      <c r="S316" t="s">
        <v>88</v>
      </c>
    </row>
    <row r="317" spans="3:19" x14ac:dyDescent="0.25">
      <c r="C317">
        <v>3134176</v>
      </c>
      <c r="D317" s="3" t="s">
        <v>22</v>
      </c>
      <c r="E317" s="3">
        <v>2</v>
      </c>
      <c r="F317" s="3" t="s">
        <v>29</v>
      </c>
      <c r="G317" s="3" t="s">
        <v>178</v>
      </c>
      <c r="H317" s="3">
        <v>30</v>
      </c>
      <c r="I317" s="3" t="s">
        <v>19</v>
      </c>
      <c r="J317" s="3">
        <f t="shared" si="4"/>
        <v>0.5</v>
      </c>
      <c r="K317" s="3" t="s">
        <v>20</v>
      </c>
      <c r="L317" t="s">
        <v>55</v>
      </c>
      <c r="M317" t="s">
        <v>55</v>
      </c>
      <c r="N317" s="1">
        <v>0.83333333333333337</v>
      </c>
      <c r="O317" s="1">
        <v>0.85416666666666663</v>
      </c>
      <c r="P317" s="3">
        <v>4000114925</v>
      </c>
      <c r="Q317">
        <v>10049461</v>
      </c>
      <c r="R317" t="s">
        <v>57</v>
      </c>
      <c r="S317" t="s">
        <v>89</v>
      </c>
    </row>
    <row r="318" spans="3:19" x14ac:dyDescent="0.25">
      <c r="C318">
        <v>3134183</v>
      </c>
      <c r="D318" s="3" t="s">
        <v>22</v>
      </c>
      <c r="E318" s="3">
        <v>2</v>
      </c>
      <c r="F318" s="3" t="s">
        <v>29</v>
      </c>
      <c r="G318" s="3" t="s">
        <v>178</v>
      </c>
      <c r="H318" s="3">
        <v>30</v>
      </c>
      <c r="I318" s="3" t="s">
        <v>19</v>
      </c>
      <c r="J318" s="3">
        <f t="shared" si="4"/>
        <v>0.5</v>
      </c>
      <c r="K318" s="3" t="s">
        <v>20</v>
      </c>
      <c r="L318" t="s">
        <v>55</v>
      </c>
      <c r="M318" t="s">
        <v>55</v>
      </c>
      <c r="N318" s="1">
        <v>0.83333333333333337</v>
      </c>
      <c r="O318" s="1">
        <v>0.85416666666666663</v>
      </c>
      <c r="P318" s="3">
        <v>4000114932</v>
      </c>
      <c r="Q318">
        <v>10051218</v>
      </c>
      <c r="R318" t="s">
        <v>31</v>
      </c>
      <c r="S318" t="s">
        <v>86</v>
      </c>
    </row>
    <row r="319" spans="3:19" x14ac:dyDescent="0.25">
      <c r="C319">
        <v>3134213</v>
      </c>
      <c r="D319" s="3" t="s">
        <v>22</v>
      </c>
      <c r="E319" s="3">
        <v>2</v>
      </c>
      <c r="F319" s="3" t="s">
        <v>29</v>
      </c>
      <c r="G319" s="3" t="s">
        <v>178</v>
      </c>
      <c r="H319" s="3">
        <v>30</v>
      </c>
      <c r="I319" s="3" t="s">
        <v>19</v>
      </c>
      <c r="J319" s="3">
        <f t="shared" si="4"/>
        <v>0.5</v>
      </c>
      <c r="K319" s="3" t="s">
        <v>20</v>
      </c>
      <c r="L319" t="s">
        <v>55</v>
      </c>
      <c r="M319" t="s">
        <v>55</v>
      </c>
      <c r="N319" s="1">
        <v>0.83333333333333337</v>
      </c>
      <c r="O319" s="1">
        <v>0.85416666666666663</v>
      </c>
      <c r="P319" s="3">
        <v>4000114962</v>
      </c>
      <c r="Q319">
        <v>10049451</v>
      </c>
      <c r="R319" t="s">
        <v>57</v>
      </c>
      <c r="S319" t="s">
        <v>90</v>
      </c>
    </row>
    <row r="320" spans="3:19" x14ac:dyDescent="0.25">
      <c r="C320">
        <v>3134233</v>
      </c>
      <c r="D320" s="3" t="s">
        <v>22</v>
      </c>
      <c r="E320" s="3">
        <v>2</v>
      </c>
      <c r="F320" s="3" t="s">
        <v>29</v>
      </c>
      <c r="G320" s="3" t="s">
        <v>178</v>
      </c>
      <c r="H320" s="3">
        <v>30</v>
      </c>
      <c r="I320" s="3" t="s">
        <v>19</v>
      </c>
      <c r="J320" s="3">
        <f t="shared" si="4"/>
        <v>0.5</v>
      </c>
      <c r="K320" s="3" t="s">
        <v>20</v>
      </c>
      <c r="L320" t="s">
        <v>55</v>
      </c>
      <c r="M320" t="s">
        <v>55</v>
      </c>
      <c r="N320" s="1">
        <v>0.83333333333333337</v>
      </c>
      <c r="O320" s="1">
        <v>0.85416666666666663</v>
      </c>
      <c r="P320" s="3">
        <v>4000114981</v>
      </c>
      <c r="Q320">
        <v>10049451</v>
      </c>
      <c r="R320" t="s">
        <v>57</v>
      </c>
      <c r="S320" t="s">
        <v>86</v>
      </c>
    </row>
    <row r="321" spans="3:19" x14ac:dyDescent="0.25">
      <c r="C321">
        <v>3120256</v>
      </c>
      <c r="D321" s="3" t="s">
        <v>22</v>
      </c>
      <c r="E321" s="3">
        <v>1</v>
      </c>
      <c r="F321" s="3" t="s">
        <v>29</v>
      </c>
      <c r="G321" s="3" t="s">
        <v>178</v>
      </c>
      <c r="H321" s="3">
        <v>20</v>
      </c>
      <c r="I321" s="3" t="s">
        <v>19</v>
      </c>
      <c r="J321" s="3">
        <f t="shared" si="4"/>
        <v>0.33333333333333331</v>
      </c>
      <c r="K321" s="3" t="s">
        <v>20</v>
      </c>
      <c r="L321" t="s">
        <v>25</v>
      </c>
      <c r="M321" t="s">
        <v>25</v>
      </c>
      <c r="N321" s="1">
        <v>0.86111111111111116</v>
      </c>
      <c r="O321" s="1">
        <v>0.875</v>
      </c>
      <c r="P321" s="3">
        <v>4000112123</v>
      </c>
      <c r="Q321">
        <v>10049540</v>
      </c>
      <c r="R321" t="s">
        <v>58</v>
      </c>
      <c r="S321" t="s">
        <v>86</v>
      </c>
    </row>
    <row r="322" spans="3:19" x14ac:dyDescent="0.25">
      <c r="C322">
        <v>3120257</v>
      </c>
      <c r="D322" s="3" t="s">
        <v>22</v>
      </c>
      <c r="E322" s="3">
        <v>1</v>
      </c>
      <c r="F322" s="3" t="s">
        <v>29</v>
      </c>
      <c r="G322" s="3" t="s">
        <v>178</v>
      </c>
      <c r="H322" s="3">
        <v>15</v>
      </c>
      <c r="I322" s="3" t="s">
        <v>19</v>
      </c>
      <c r="J322" s="3">
        <f t="shared" si="4"/>
        <v>0.25</v>
      </c>
      <c r="K322" s="3" t="s">
        <v>20</v>
      </c>
      <c r="L322" t="s">
        <v>25</v>
      </c>
      <c r="M322" t="s">
        <v>25</v>
      </c>
      <c r="N322" s="1">
        <v>0.84722222222222221</v>
      </c>
      <c r="O322" s="1">
        <v>0.85763888888888884</v>
      </c>
      <c r="P322" s="3">
        <v>4000112124</v>
      </c>
      <c r="Q322">
        <v>10049549</v>
      </c>
      <c r="R322" t="s">
        <v>58</v>
      </c>
      <c r="S322" t="s">
        <v>86</v>
      </c>
    </row>
    <row r="323" spans="3:19" x14ac:dyDescent="0.25">
      <c r="C323">
        <v>3132709</v>
      </c>
      <c r="D323" s="3" t="s">
        <v>22</v>
      </c>
      <c r="E323" s="3">
        <v>1</v>
      </c>
      <c r="F323" s="3" t="s">
        <v>29</v>
      </c>
      <c r="G323" s="3" t="s">
        <v>178</v>
      </c>
      <c r="H323" s="3">
        <v>10</v>
      </c>
      <c r="I323" s="3" t="s">
        <v>19</v>
      </c>
      <c r="J323" s="3">
        <f t="shared" si="4"/>
        <v>0.16666666666666666</v>
      </c>
      <c r="K323" s="3" t="s">
        <v>20</v>
      </c>
      <c r="L323" t="s">
        <v>25</v>
      </c>
      <c r="M323" t="s">
        <v>25</v>
      </c>
      <c r="N323" s="1">
        <v>0.84722222222222221</v>
      </c>
      <c r="O323" s="1">
        <v>0.85416666666666663</v>
      </c>
      <c r="P323" s="3">
        <v>4000114066</v>
      </c>
      <c r="Q323">
        <v>10049540</v>
      </c>
      <c r="R323" t="s">
        <v>58</v>
      </c>
      <c r="S323" t="s">
        <v>91</v>
      </c>
    </row>
    <row r="324" spans="3:19" x14ac:dyDescent="0.25">
      <c r="C324">
        <v>3132716</v>
      </c>
      <c r="D324" s="3" t="s">
        <v>22</v>
      </c>
      <c r="E324" s="3">
        <v>1</v>
      </c>
      <c r="F324" s="3" t="s">
        <v>29</v>
      </c>
      <c r="G324" s="3" t="s">
        <v>178</v>
      </c>
      <c r="H324" s="3">
        <v>30</v>
      </c>
      <c r="I324" s="3" t="s">
        <v>19</v>
      </c>
      <c r="J324" s="3">
        <f t="shared" si="4"/>
        <v>0.5</v>
      </c>
      <c r="K324" s="3" t="s">
        <v>20</v>
      </c>
      <c r="L324" t="s">
        <v>25</v>
      </c>
      <c r="M324" t="s">
        <v>25</v>
      </c>
      <c r="N324" s="1">
        <v>0.83333333333333337</v>
      </c>
      <c r="O324" s="1">
        <v>0.85416666666666663</v>
      </c>
      <c r="P324" s="3">
        <v>4000114073</v>
      </c>
      <c r="Q324">
        <v>10051704</v>
      </c>
      <c r="R324" t="s">
        <v>58</v>
      </c>
      <c r="S324" t="s">
        <v>92</v>
      </c>
    </row>
    <row r="325" spans="3:19" x14ac:dyDescent="0.25">
      <c r="C325">
        <v>3132717</v>
      </c>
      <c r="D325" s="3" t="s">
        <v>22</v>
      </c>
      <c r="E325" s="3">
        <v>1</v>
      </c>
      <c r="F325" s="3" t="s">
        <v>29</v>
      </c>
      <c r="G325" s="3" t="s">
        <v>178</v>
      </c>
      <c r="H325" s="3">
        <v>30</v>
      </c>
      <c r="I325" s="3" t="s">
        <v>19</v>
      </c>
      <c r="J325" s="3">
        <f t="shared" si="4"/>
        <v>0.5</v>
      </c>
      <c r="K325" s="3" t="s">
        <v>20</v>
      </c>
      <c r="L325" t="s">
        <v>25</v>
      </c>
      <c r="M325" t="s">
        <v>25</v>
      </c>
      <c r="N325" s="1">
        <v>0.83333333333333337</v>
      </c>
      <c r="O325" s="1">
        <v>0.85416666666666663</v>
      </c>
      <c r="P325" s="3">
        <v>4000114074</v>
      </c>
      <c r="Q325">
        <v>10051704</v>
      </c>
      <c r="R325" t="s">
        <v>58</v>
      </c>
      <c r="S325" t="s">
        <v>86</v>
      </c>
    </row>
    <row r="326" spans="3:19" x14ac:dyDescent="0.25">
      <c r="C326">
        <v>3134276</v>
      </c>
      <c r="D326" s="3" t="s">
        <v>22</v>
      </c>
      <c r="E326" s="3">
        <v>1</v>
      </c>
      <c r="F326" s="3" t="s">
        <v>29</v>
      </c>
      <c r="G326" s="3" t="s">
        <v>178</v>
      </c>
      <c r="H326" s="3">
        <v>20</v>
      </c>
      <c r="I326" s="3" t="s">
        <v>19</v>
      </c>
      <c r="J326" s="3">
        <f t="shared" ref="J326:J389" si="5">H326/60</f>
        <v>0.33333333333333331</v>
      </c>
      <c r="K326" s="3" t="s">
        <v>20</v>
      </c>
      <c r="L326" t="s">
        <v>25</v>
      </c>
      <c r="M326" t="s">
        <v>25</v>
      </c>
      <c r="N326" s="1">
        <v>0.875</v>
      </c>
      <c r="O326" s="1">
        <v>0.88888888888888884</v>
      </c>
      <c r="P326" s="3">
        <v>4000115022</v>
      </c>
      <c r="Q326">
        <v>10049578</v>
      </c>
      <c r="R326" t="s">
        <v>58</v>
      </c>
      <c r="S326" t="s">
        <v>86</v>
      </c>
    </row>
    <row r="327" spans="3:19" x14ac:dyDescent="0.25">
      <c r="C327">
        <v>3134299</v>
      </c>
      <c r="D327" s="3" t="s">
        <v>22</v>
      </c>
      <c r="E327" s="3">
        <v>1</v>
      </c>
      <c r="F327" s="3" t="s">
        <v>29</v>
      </c>
      <c r="G327" s="3" t="s">
        <v>178</v>
      </c>
      <c r="H327" s="3">
        <v>20</v>
      </c>
      <c r="I327" s="3" t="s">
        <v>19</v>
      </c>
      <c r="J327" s="3">
        <f t="shared" si="5"/>
        <v>0.33333333333333331</v>
      </c>
      <c r="K327" s="3" t="s">
        <v>20</v>
      </c>
      <c r="L327" t="s">
        <v>25</v>
      </c>
      <c r="M327" t="s">
        <v>25</v>
      </c>
      <c r="N327" s="1">
        <v>0.88888888888888884</v>
      </c>
      <c r="O327" s="1">
        <v>0.90277777777777779</v>
      </c>
      <c r="P327" s="3">
        <v>4000115045</v>
      </c>
      <c r="Q327">
        <v>10049565</v>
      </c>
      <c r="R327" t="s">
        <v>58</v>
      </c>
      <c r="S327" t="s">
        <v>86</v>
      </c>
    </row>
    <row r="328" spans="3:19" x14ac:dyDescent="0.25">
      <c r="C328">
        <v>3134300</v>
      </c>
      <c r="D328" s="3" t="s">
        <v>22</v>
      </c>
      <c r="E328" s="3">
        <v>1</v>
      </c>
      <c r="F328" s="3" t="s">
        <v>29</v>
      </c>
      <c r="G328" s="3" t="s">
        <v>178</v>
      </c>
      <c r="H328" s="3">
        <v>10</v>
      </c>
      <c r="I328" s="3" t="s">
        <v>19</v>
      </c>
      <c r="J328" s="3">
        <f t="shared" si="5"/>
        <v>0.16666666666666666</v>
      </c>
      <c r="K328" s="3" t="s">
        <v>20</v>
      </c>
      <c r="L328" t="s">
        <v>25</v>
      </c>
      <c r="M328" t="s">
        <v>25</v>
      </c>
      <c r="N328" s="1">
        <v>0.88194444444444453</v>
      </c>
      <c r="O328" s="1">
        <v>0.88888888888888884</v>
      </c>
      <c r="P328" s="3">
        <v>4000115046</v>
      </c>
      <c r="Q328">
        <v>10049540</v>
      </c>
      <c r="R328" t="s">
        <v>58</v>
      </c>
      <c r="S328" t="s">
        <v>93</v>
      </c>
    </row>
    <row r="329" spans="3:19" x14ac:dyDescent="0.25">
      <c r="C329">
        <v>3134305</v>
      </c>
      <c r="D329" s="3" t="s">
        <v>22</v>
      </c>
      <c r="E329" s="3">
        <v>2</v>
      </c>
      <c r="F329" s="3" t="s">
        <v>29</v>
      </c>
      <c r="G329" s="3" t="s">
        <v>178</v>
      </c>
      <c r="H329" s="3">
        <v>25</v>
      </c>
      <c r="I329" s="3" t="s">
        <v>19</v>
      </c>
      <c r="J329" s="3">
        <f t="shared" si="5"/>
        <v>0.41666666666666669</v>
      </c>
      <c r="K329" s="3" t="s">
        <v>20</v>
      </c>
      <c r="L329" t="s">
        <v>25</v>
      </c>
      <c r="M329" t="s">
        <v>25</v>
      </c>
      <c r="N329" s="1">
        <v>0.85763888888888884</v>
      </c>
      <c r="O329" s="1">
        <v>0.875</v>
      </c>
      <c r="P329" s="3">
        <v>4000115051</v>
      </c>
      <c r="Q329">
        <v>10051174</v>
      </c>
      <c r="R329" t="s">
        <v>58</v>
      </c>
      <c r="S329" t="s">
        <v>86</v>
      </c>
    </row>
    <row r="330" spans="3:19" x14ac:dyDescent="0.25">
      <c r="C330">
        <v>3134306</v>
      </c>
      <c r="D330" s="3" t="s">
        <v>22</v>
      </c>
      <c r="E330" s="3">
        <v>1</v>
      </c>
      <c r="F330" s="3" t="s">
        <v>29</v>
      </c>
      <c r="G330" s="3" t="s">
        <v>178</v>
      </c>
      <c r="H330" s="3">
        <v>10</v>
      </c>
      <c r="I330" s="3" t="s">
        <v>19</v>
      </c>
      <c r="J330" s="3">
        <f t="shared" si="5"/>
        <v>0.16666666666666666</v>
      </c>
      <c r="K330" s="3" t="s">
        <v>20</v>
      </c>
      <c r="L330" t="s">
        <v>25</v>
      </c>
      <c r="M330" t="s">
        <v>25</v>
      </c>
      <c r="N330" s="1">
        <v>0.84027777777777779</v>
      </c>
      <c r="O330" s="1">
        <v>0.84722222222222221</v>
      </c>
      <c r="P330" s="3">
        <v>4000115052</v>
      </c>
      <c r="Q330">
        <v>10051704</v>
      </c>
      <c r="R330" t="s">
        <v>58</v>
      </c>
    </row>
    <row r="331" spans="3:19" x14ac:dyDescent="0.25">
      <c r="C331">
        <v>3134307</v>
      </c>
      <c r="D331" s="3" t="s">
        <v>22</v>
      </c>
      <c r="E331" s="3">
        <v>1</v>
      </c>
      <c r="F331" s="3" t="s">
        <v>29</v>
      </c>
      <c r="G331" s="3" t="s">
        <v>178</v>
      </c>
      <c r="H331" s="3">
        <v>20</v>
      </c>
      <c r="I331" s="3" t="s">
        <v>19</v>
      </c>
      <c r="J331" s="3">
        <f t="shared" si="5"/>
        <v>0.33333333333333331</v>
      </c>
      <c r="K331" s="3" t="s">
        <v>20</v>
      </c>
      <c r="L331" t="s">
        <v>25</v>
      </c>
      <c r="M331" t="s">
        <v>25</v>
      </c>
      <c r="N331" s="1">
        <v>0.875</v>
      </c>
      <c r="O331" s="1">
        <v>0.88888888888888884</v>
      </c>
      <c r="P331" s="3">
        <v>4000115053</v>
      </c>
      <c r="Q331">
        <v>10049549</v>
      </c>
      <c r="R331" t="s">
        <v>58</v>
      </c>
      <c r="S331" t="s">
        <v>94</v>
      </c>
    </row>
    <row r="332" spans="3:19" x14ac:dyDescent="0.25">
      <c r="C332">
        <v>3134310</v>
      </c>
      <c r="D332" s="3" t="s">
        <v>22</v>
      </c>
      <c r="E332" s="3">
        <v>1</v>
      </c>
      <c r="F332" s="3" t="s">
        <v>29</v>
      </c>
      <c r="G332" s="3" t="s">
        <v>178</v>
      </c>
      <c r="H332" s="3">
        <v>10</v>
      </c>
      <c r="I332" s="3" t="s">
        <v>19</v>
      </c>
      <c r="J332" s="3">
        <f t="shared" si="5"/>
        <v>0.16666666666666666</v>
      </c>
      <c r="K332" s="3" t="s">
        <v>20</v>
      </c>
      <c r="L332" t="s">
        <v>25</v>
      </c>
      <c r="M332" t="s">
        <v>25</v>
      </c>
      <c r="N332" s="1">
        <v>0.88888888888888884</v>
      </c>
      <c r="O332" s="1">
        <v>0.89583333333333337</v>
      </c>
      <c r="P332" s="3">
        <v>4000115056</v>
      </c>
      <c r="Q332">
        <v>10049549</v>
      </c>
      <c r="R332" t="s">
        <v>58</v>
      </c>
      <c r="S332" t="s">
        <v>95</v>
      </c>
    </row>
    <row r="333" spans="3:19" x14ac:dyDescent="0.25">
      <c r="C333">
        <v>3134172</v>
      </c>
      <c r="D333" s="3" t="s">
        <v>28</v>
      </c>
      <c r="E333" s="3">
        <v>1</v>
      </c>
      <c r="F333" s="3" t="s">
        <v>29</v>
      </c>
      <c r="G333" s="3" t="s">
        <v>178</v>
      </c>
      <c r="H333" s="3">
        <v>15</v>
      </c>
      <c r="I333" s="3" t="s">
        <v>19</v>
      </c>
      <c r="J333" s="3">
        <f t="shared" si="5"/>
        <v>0.25</v>
      </c>
      <c r="K333" s="3" t="s">
        <v>20</v>
      </c>
      <c r="L333" t="s">
        <v>67</v>
      </c>
      <c r="M333" t="s">
        <v>67</v>
      </c>
      <c r="N333" s="1">
        <v>0.4375</v>
      </c>
      <c r="O333" s="1">
        <v>0.44791666666666669</v>
      </c>
      <c r="P333" s="3">
        <v>4000114921</v>
      </c>
      <c r="Q333">
        <v>10051555</v>
      </c>
      <c r="R333" t="s">
        <v>57</v>
      </c>
      <c r="S333" t="s">
        <v>96</v>
      </c>
    </row>
    <row r="334" spans="3:19" x14ac:dyDescent="0.25">
      <c r="C334">
        <v>3134173</v>
      </c>
      <c r="D334" s="3" t="s">
        <v>28</v>
      </c>
      <c r="E334" s="3">
        <v>1</v>
      </c>
      <c r="F334" s="3" t="s">
        <v>29</v>
      </c>
      <c r="G334" s="3" t="s">
        <v>178</v>
      </c>
      <c r="H334" s="3">
        <v>30</v>
      </c>
      <c r="I334" s="3" t="s">
        <v>19</v>
      </c>
      <c r="J334" s="3">
        <f t="shared" si="5"/>
        <v>0.5</v>
      </c>
      <c r="K334" s="3" t="s">
        <v>20</v>
      </c>
      <c r="L334" t="s">
        <v>67</v>
      </c>
      <c r="M334" t="s">
        <v>67</v>
      </c>
      <c r="N334" s="1">
        <v>0.5</v>
      </c>
      <c r="O334" s="1">
        <v>0.52083333333333337</v>
      </c>
      <c r="P334" s="3">
        <v>4000114922</v>
      </c>
      <c r="Q334">
        <v>10051555</v>
      </c>
      <c r="R334" t="s">
        <v>57</v>
      </c>
      <c r="S334" t="s">
        <v>97</v>
      </c>
    </row>
    <row r="335" spans="3:19" x14ac:dyDescent="0.25">
      <c r="C335">
        <v>3134175</v>
      </c>
      <c r="D335" s="3" t="s">
        <v>28</v>
      </c>
      <c r="E335" s="3">
        <v>1</v>
      </c>
      <c r="F335" s="3" t="s">
        <v>29</v>
      </c>
      <c r="G335" s="3" t="s">
        <v>178</v>
      </c>
      <c r="H335" s="3">
        <v>25</v>
      </c>
      <c r="I335" s="3" t="s">
        <v>19</v>
      </c>
      <c r="J335" s="3">
        <f t="shared" si="5"/>
        <v>0.41666666666666669</v>
      </c>
      <c r="K335" s="3" t="s">
        <v>20</v>
      </c>
      <c r="L335" t="s">
        <v>67</v>
      </c>
      <c r="M335" t="s">
        <v>67</v>
      </c>
      <c r="N335" s="1">
        <v>0.42708333333333331</v>
      </c>
      <c r="O335" s="1">
        <v>0.4375</v>
      </c>
      <c r="P335" s="3">
        <v>4000114924</v>
      </c>
      <c r="Q335">
        <v>10049451</v>
      </c>
      <c r="R335" t="s">
        <v>57</v>
      </c>
      <c r="S335" t="s">
        <v>98</v>
      </c>
    </row>
    <row r="336" spans="3:19" x14ac:dyDescent="0.25">
      <c r="C336">
        <v>3134177</v>
      </c>
      <c r="D336" s="3" t="s">
        <v>28</v>
      </c>
      <c r="E336" s="3">
        <v>1</v>
      </c>
      <c r="F336" s="3" t="s">
        <v>29</v>
      </c>
      <c r="G336" s="3" t="s">
        <v>178</v>
      </c>
      <c r="H336" s="3">
        <v>5</v>
      </c>
      <c r="I336" s="3" t="s">
        <v>19</v>
      </c>
      <c r="J336" s="3">
        <f t="shared" si="5"/>
        <v>8.3333333333333329E-2</v>
      </c>
      <c r="K336" s="3" t="s">
        <v>20</v>
      </c>
      <c r="L336" t="s">
        <v>67</v>
      </c>
      <c r="M336" t="s">
        <v>67</v>
      </c>
      <c r="N336" s="1">
        <v>0.43402777777777773</v>
      </c>
      <c r="O336" s="1">
        <v>0.4375</v>
      </c>
      <c r="P336" s="3">
        <v>4000114926</v>
      </c>
      <c r="Q336">
        <v>10049461</v>
      </c>
      <c r="R336" t="s">
        <v>57</v>
      </c>
      <c r="S336" t="s">
        <v>96</v>
      </c>
    </row>
    <row r="337" spans="3:19" x14ac:dyDescent="0.25">
      <c r="C337">
        <v>3134212</v>
      </c>
      <c r="D337" s="3" t="s">
        <v>28</v>
      </c>
      <c r="E337" s="3">
        <v>1</v>
      </c>
      <c r="F337" s="3" t="s">
        <v>29</v>
      </c>
      <c r="G337" s="3" t="s">
        <v>178</v>
      </c>
      <c r="H337" s="3">
        <v>20</v>
      </c>
      <c r="I337" s="3" t="s">
        <v>19</v>
      </c>
      <c r="J337" s="3">
        <f t="shared" si="5"/>
        <v>0.33333333333333331</v>
      </c>
      <c r="K337" s="3" t="s">
        <v>20</v>
      </c>
      <c r="L337" t="s">
        <v>67</v>
      </c>
      <c r="M337" t="s">
        <v>67</v>
      </c>
      <c r="N337" s="1">
        <v>0.41666666666666669</v>
      </c>
      <c r="O337" s="1">
        <v>0.43055555555555558</v>
      </c>
      <c r="P337" s="3">
        <v>4000114961</v>
      </c>
      <c r="Q337">
        <v>10051555</v>
      </c>
      <c r="R337" t="s">
        <v>57</v>
      </c>
      <c r="S337" t="s">
        <v>99</v>
      </c>
    </row>
    <row r="338" spans="3:19" x14ac:dyDescent="0.25">
      <c r="C338">
        <v>3134214</v>
      </c>
      <c r="D338" s="3" t="s">
        <v>28</v>
      </c>
      <c r="E338" s="3">
        <v>2</v>
      </c>
      <c r="F338" s="3" t="s">
        <v>29</v>
      </c>
      <c r="G338" s="3" t="s">
        <v>178</v>
      </c>
      <c r="H338" s="3">
        <v>10</v>
      </c>
      <c r="I338" s="3" t="s">
        <v>19</v>
      </c>
      <c r="J338" s="3">
        <f t="shared" si="5"/>
        <v>0.16666666666666666</v>
      </c>
      <c r="K338" s="3" t="s">
        <v>20</v>
      </c>
      <c r="L338" t="s">
        <v>67</v>
      </c>
      <c r="M338" t="s">
        <v>67</v>
      </c>
      <c r="N338" s="1">
        <v>0.45833333333333331</v>
      </c>
      <c r="O338" s="1">
        <v>0.46527777777777773</v>
      </c>
      <c r="P338" s="3">
        <v>4000114963</v>
      </c>
      <c r="Q338">
        <v>10049461</v>
      </c>
      <c r="R338" t="s">
        <v>57</v>
      </c>
      <c r="S338" t="s">
        <v>100</v>
      </c>
    </row>
    <row r="339" spans="3:19" x14ac:dyDescent="0.25">
      <c r="C339">
        <v>3134250</v>
      </c>
      <c r="D339" s="3" t="s">
        <v>28</v>
      </c>
      <c r="E339" s="3">
        <v>2</v>
      </c>
      <c r="F339" s="3" t="s">
        <v>29</v>
      </c>
      <c r="G339" s="3" t="s">
        <v>178</v>
      </c>
      <c r="H339" s="3">
        <v>50</v>
      </c>
      <c r="I339" s="3" t="s">
        <v>19</v>
      </c>
      <c r="J339" s="3">
        <f t="shared" si="5"/>
        <v>0.83333333333333337</v>
      </c>
      <c r="K339" s="3" t="s">
        <v>20</v>
      </c>
      <c r="L339" t="s">
        <v>67</v>
      </c>
      <c r="M339" t="s">
        <v>67</v>
      </c>
      <c r="N339" s="1">
        <v>0.33333333333333331</v>
      </c>
      <c r="O339" s="1">
        <v>0.36805555555555558</v>
      </c>
      <c r="P339" s="3">
        <v>4000114996</v>
      </c>
      <c r="Q339">
        <v>10049465</v>
      </c>
      <c r="R339" t="s">
        <v>57</v>
      </c>
      <c r="S339" t="s">
        <v>101</v>
      </c>
    </row>
    <row r="340" spans="3:19" x14ac:dyDescent="0.25">
      <c r="C340">
        <v>3134253</v>
      </c>
      <c r="D340" s="3" t="s">
        <v>28</v>
      </c>
      <c r="E340" s="3">
        <v>1</v>
      </c>
      <c r="F340" s="3" t="s">
        <v>29</v>
      </c>
      <c r="G340" s="3" t="s">
        <v>178</v>
      </c>
      <c r="H340" s="3">
        <v>40</v>
      </c>
      <c r="I340" s="3" t="s">
        <v>19</v>
      </c>
      <c r="J340" s="3">
        <f t="shared" si="5"/>
        <v>0.66666666666666663</v>
      </c>
      <c r="K340" s="3" t="s">
        <v>20</v>
      </c>
      <c r="L340" t="s">
        <v>67</v>
      </c>
      <c r="M340" t="s">
        <v>67</v>
      </c>
      <c r="N340" s="1">
        <v>0.41666666666666669</v>
      </c>
      <c r="O340" s="1">
        <v>0.44444444444444442</v>
      </c>
      <c r="P340" s="3">
        <v>4000114999</v>
      </c>
      <c r="Q340">
        <v>10049549</v>
      </c>
      <c r="R340" t="s">
        <v>58</v>
      </c>
      <c r="S340" t="s">
        <v>102</v>
      </c>
    </row>
    <row r="341" spans="3:19" x14ac:dyDescent="0.25">
      <c r="C341">
        <v>3137627</v>
      </c>
      <c r="D341" s="3" t="s">
        <v>28</v>
      </c>
      <c r="E341" s="3">
        <v>1</v>
      </c>
      <c r="F341" s="3" t="s">
        <v>29</v>
      </c>
      <c r="G341" s="3" t="s">
        <v>178</v>
      </c>
      <c r="H341" s="3">
        <v>20</v>
      </c>
      <c r="I341" s="3" t="s">
        <v>19</v>
      </c>
      <c r="J341" s="3">
        <f t="shared" si="5"/>
        <v>0.33333333333333331</v>
      </c>
      <c r="K341" s="3" t="s">
        <v>20</v>
      </c>
      <c r="L341" t="s">
        <v>67</v>
      </c>
      <c r="M341" t="s">
        <v>67</v>
      </c>
      <c r="N341" s="1">
        <v>0.41666666666666669</v>
      </c>
      <c r="O341" s="1">
        <v>0.43055555555555558</v>
      </c>
      <c r="P341" s="3">
        <v>4000116060</v>
      </c>
      <c r="Q341">
        <v>10051555</v>
      </c>
      <c r="R341" t="s">
        <v>57</v>
      </c>
      <c r="S341" t="s">
        <v>96</v>
      </c>
    </row>
    <row r="342" spans="3:19" x14ac:dyDescent="0.25">
      <c r="C342">
        <v>3122047</v>
      </c>
      <c r="D342" s="3" t="s">
        <v>22</v>
      </c>
      <c r="E342" s="3">
        <v>1</v>
      </c>
      <c r="F342" s="3" t="s">
        <v>18</v>
      </c>
      <c r="G342" s="3" t="s">
        <v>186</v>
      </c>
      <c r="H342" s="3">
        <v>30</v>
      </c>
      <c r="I342" s="3" t="s">
        <v>19</v>
      </c>
      <c r="J342" s="3">
        <f t="shared" si="5"/>
        <v>0.5</v>
      </c>
      <c r="K342" s="3" t="s">
        <v>20</v>
      </c>
      <c r="L342" t="s">
        <v>51</v>
      </c>
      <c r="M342" t="s">
        <v>51</v>
      </c>
      <c r="N342" s="1">
        <v>0.9375</v>
      </c>
      <c r="O342" s="1">
        <v>0.95833333333333337</v>
      </c>
      <c r="P342" s="3">
        <v>4000112743</v>
      </c>
      <c r="Q342">
        <v>10055740</v>
      </c>
      <c r="R342" t="s">
        <v>26</v>
      </c>
      <c r="S342" t="s">
        <v>158</v>
      </c>
    </row>
    <row r="343" spans="3:19" x14ac:dyDescent="0.25">
      <c r="C343">
        <v>3122103</v>
      </c>
      <c r="D343" s="3" t="s">
        <v>22</v>
      </c>
      <c r="E343" s="3">
        <v>2</v>
      </c>
      <c r="F343" s="3" t="s">
        <v>18</v>
      </c>
      <c r="G343" s="3" t="s">
        <v>186</v>
      </c>
      <c r="H343" s="3">
        <v>30</v>
      </c>
      <c r="I343" s="3" t="s">
        <v>19</v>
      </c>
      <c r="J343" s="3">
        <f t="shared" si="5"/>
        <v>0.5</v>
      </c>
      <c r="K343" s="3" t="s">
        <v>20</v>
      </c>
      <c r="L343" t="s">
        <v>24</v>
      </c>
      <c r="M343" t="s">
        <v>25</v>
      </c>
      <c r="N343" s="1">
        <v>0.45833333333333331</v>
      </c>
      <c r="O343" s="1">
        <v>0.47916666666666669</v>
      </c>
      <c r="P343" s="3">
        <v>4000112799</v>
      </c>
      <c r="Q343">
        <v>10070472</v>
      </c>
      <c r="R343" t="s">
        <v>26</v>
      </c>
      <c r="S343" t="s">
        <v>27</v>
      </c>
    </row>
    <row r="344" spans="3:19" x14ac:dyDescent="0.25">
      <c r="C344">
        <v>3134107</v>
      </c>
      <c r="D344" s="3" t="s">
        <v>28</v>
      </c>
      <c r="E344" s="3">
        <v>1</v>
      </c>
      <c r="F344" s="3" t="s">
        <v>29</v>
      </c>
      <c r="G344" s="3" t="s">
        <v>186</v>
      </c>
      <c r="H344" s="3">
        <v>30</v>
      </c>
      <c r="I344" s="3" t="s">
        <v>19</v>
      </c>
      <c r="J344" s="3">
        <f t="shared" si="5"/>
        <v>0.5</v>
      </c>
      <c r="K344" s="3" t="s">
        <v>20</v>
      </c>
      <c r="L344" t="s">
        <v>30</v>
      </c>
      <c r="M344" t="s">
        <v>30</v>
      </c>
      <c r="N344" s="1">
        <v>0.41666666666666669</v>
      </c>
      <c r="O344" s="1">
        <v>0.4375</v>
      </c>
      <c r="P344" s="3">
        <v>4000114866</v>
      </c>
      <c r="Q344">
        <v>10051218</v>
      </c>
      <c r="R344" t="s">
        <v>31</v>
      </c>
      <c r="S344" t="s">
        <v>32</v>
      </c>
    </row>
    <row r="345" spans="3:19" x14ac:dyDescent="0.25">
      <c r="C345">
        <v>3122009</v>
      </c>
      <c r="D345" s="3" t="s">
        <v>55</v>
      </c>
      <c r="E345" s="3">
        <v>1</v>
      </c>
      <c r="F345" s="3" t="s">
        <v>29</v>
      </c>
      <c r="G345" s="3" t="s">
        <v>186</v>
      </c>
      <c r="H345" s="3">
        <v>30</v>
      </c>
      <c r="I345" s="3" t="s">
        <v>19</v>
      </c>
      <c r="J345" s="3">
        <f t="shared" si="5"/>
        <v>0.5</v>
      </c>
      <c r="K345" s="3" t="s">
        <v>20</v>
      </c>
      <c r="L345" t="s">
        <v>56</v>
      </c>
      <c r="M345" t="s">
        <v>56</v>
      </c>
      <c r="N345" s="1">
        <v>0.9375</v>
      </c>
      <c r="O345" s="2">
        <v>1</v>
      </c>
      <c r="P345" s="3">
        <v>4000112706</v>
      </c>
      <c r="Q345">
        <v>10049465</v>
      </c>
      <c r="R345" t="s">
        <v>57</v>
      </c>
      <c r="S345" t="s">
        <v>187</v>
      </c>
    </row>
    <row r="346" spans="3:19" x14ac:dyDescent="0.25">
      <c r="C346">
        <v>3134248</v>
      </c>
      <c r="D346" s="3" t="s">
        <v>28</v>
      </c>
      <c r="E346" s="3">
        <v>1</v>
      </c>
      <c r="F346" s="3" t="s">
        <v>29</v>
      </c>
      <c r="G346" s="3" t="s">
        <v>186</v>
      </c>
      <c r="H346" s="3">
        <v>30</v>
      </c>
      <c r="I346" s="3" t="s">
        <v>19</v>
      </c>
      <c r="J346" s="3">
        <f t="shared" si="5"/>
        <v>0.5</v>
      </c>
      <c r="K346" s="3" t="s">
        <v>20</v>
      </c>
      <c r="L346" t="s">
        <v>55</v>
      </c>
      <c r="M346" t="s">
        <v>55</v>
      </c>
      <c r="N346" s="1">
        <v>0.5625</v>
      </c>
      <c r="O346" s="1">
        <v>0.58333333333333337</v>
      </c>
      <c r="P346" s="3">
        <v>4000114994</v>
      </c>
      <c r="Q346">
        <v>10051541</v>
      </c>
      <c r="R346" t="s">
        <v>57</v>
      </c>
      <c r="S346" t="s">
        <v>114</v>
      </c>
    </row>
    <row r="347" spans="3:19" x14ac:dyDescent="0.25">
      <c r="C347">
        <v>3110471</v>
      </c>
      <c r="D347" s="3" t="s">
        <v>33</v>
      </c>
      <c r="E347" s="3">
        <v>2</v>
      </c>
      <c r="F347" s="3" t="s">
        <v>34</v>
      </c>
      <c r="G347" s="3" t="s">
        <v>186</v>
      </c>
      <c r="H347" s="3">
        <v>30</v>
      </c>
      <c r="I347" s="3" t="s">
        <v>19</v>
      </c>
      <c r="J347" s="3">
        <f t="shared" si="5"/>
        <v>0.5</v>
      </c>
      <c r="K347" s="3" t="s">
        <v>20</v>
      </c>
      <c r="L347" t="s">
        <v>35</v>
      </c>
      <c r="M347" t="s">
        <v>35</v>
      </c>
      <c r="N347" s="1">
        <v>0.33333333333333331</v>
      </c>
      <c r="O347" s="1">
        <v>0.35416666666666669</v>
      </c>
      <c r="P347" s="3">
        <v>4000107627</v>
      </c>
      <c r="Q347">
        <v>10051396</v>
      </c>
      <c r="R347" t="s">
        <v>36</v>
      </c>
      <c r="S347" t="s">
        <v>37</v>
      </c>
    </row>
    <row r="348" spans="3:19" x14ac:dyDescent="0.25">
      <c r="C348">
        <v>3118352</v>
      </c>
      <c r="D348" s="3" t="s">
        <v>33</v>
      </c>
      <c r="E348" s="3">
        <v>1</v>
      </c>
      <c r="F348" s="3" t="s">
        <v>34</v>
      </c>
      <c r="G348" s="3" t="s">
        <v>186</v>
      </c>
      <c r="H348" s="3">
        <v>20</v>
      </c>
      <c r="I348" s="3" t="s">
        <v>19</v>
      </c>
      <c r="J348" s="3">
        <f t="shared" si="5"/>
        <v>0.33333333333333331</v>
      </c>
      <c r="K348" s="3" t="s">
        <v>20</v>
      </c>
      <c r="L348" t="s">
        <v>35</v>
      </c>
      <c r="M348" t="s">
        <v>35</v>
      </c>
      <c r="N348" s="1">
        <v>0.33333333333333331</v>
      </c>
      <c r="O348" s="1">
        <v>0.34722222222222227</v>
      </c>
      <c r="P348" s="3">
        <v>4000111376</v>
      </c>
      <c r="Q348">
        <v>10051763</v>
      </c>
      <c r="R348" t="s">
        <v>36</v>
      </c>
      <c r="S348" t="s">
        <v>37</v>
      </c>
    </row>
    <row r="349" spans="3:19" x14ac:dyDescent="0.25">
      <c r="C349">
        <v>3122722</v>
      </c>
      <c r="D349" s="3" t="s">
        <v>33</v>
      </c>
      <c r="E349" s="3">
        <v>1</v>
      </c>
      <c r="F349" s="3" t="s">
        <v>34</v>
      </c>
      <c r="G349" s="3" t="s">
        <v>186</v>
      </c>
      <c r="H349" s="3">
        <v>20</v>
      </c>
      <c r="I349" s="3" t="s">
        <v>19</v>
      </c>
      <c r="J349" s="3">
        <f t="shared" si="5"/>
        <v>0.33333333333333331</v>
      </c>
      <c r="K349" s="3" t="s">
        <v>20</v>
      </c>
      <c r="L349" t="s">
        <v>35</v>
      </c>
      <c r="M349" t="s">
        <v>35</v>
      </c>
      <c r="N349" s="1">
        <v>0.3888888888888889</v>
      </c>
      <c r="O349" s="1">
        <v>0.40277777777777773</v>
      </c>
      <c r="P349" s="3">
        <v>4000113249</v>
      </c>
      <c r="Q349">
        <v>10049663</v>
      </c>
      <c r="R349" t="s">
        <v>38</v>
      </c>
      <c r="S349" t="s">
        <v>39</v>
      </c>
    </row>
    <row r="350" spans="3:19" x14ac:dyDescent="0.25">
      <c r="C350">
        <v>3122759</v>
      </c>
      <c r="D350" s="3" t="s">
        <v>33</v>
      </c>
      <c r="E350" s="3">
        <v>2</v>
      </c>
      <c r="F350" s="3" t="s">
        <v>34</v>
      </c>
      <c r="G350" s="3" t="s">
        <v>186</v>
      </c>
      <c r="H350" s="3">
        <v>20</v>
      </c>
      <c r="I350" s="3" t="s">
        <v>19</v>
      </c>
      <c r="J350" s="3">
        <f t="shared" si="5"/>
        <v>0.33333333333333331</v>
      </c>
      <c r="K350" s="3" t="s">
        <v>20</v>
      </c>
      <c r="L350" t="s">
        <v>35</v>
      </c>
      <c r="M350" t="s">
        <v>35</v>
      </c>
      <c r="N350" s="1">
        <v>0.375</v>
      </c>
      <c r="O350" s="1">
        <v>0.3888888888888889</v>
      </c>
      <c r="P350" s="3">
        <v>4000113361</v>
      </c>
      <c r="Q350">
        <v>10049598</v>
      </c>
      <c r="R350" t="s">
        <v>31</v>
      </c>
      <c r="S350" t="s">
        <v>39</v>
      </c>
    </row>
    <row r="351" spans="3:19" x14ac:dyDescent="0.25">
      <c r="C351">
        <v>3122772</v>
      </c>
      <c r="D351" s="3" t="s">
        <v>33</v>
      </c>
      <c r="E351" s="3">
        <v>1</v>
      </c>
      <c r="F351" s="3" t="s">
        <v>34</v>
      </c>
      <c r="G351" s="3" t="s">
        <v>186</v>
      </c>
      <c r="H351" s="3">
        <v>20</v>
      </c>
      <c r="I351" s="3" t="s">
        <v>19</v>
      </c>
      <c r="J351" s="3">
        <f t="shared" si="5"/>
        <v>0.33333333333333331</v>
      </c>
      <c r="K351" s="3" t="s">
        <v>20</v>
      </c>
      <c r="L351" t="s">
        <v>35</v>
      </c>
      <c r="M351" t="s">
        <v>35</v>
      </c>
      <c r="N351" s="1">
        <v>0.79166666666666663</v>
      </c>
      <c r="O351" s="1">
        <v>0.80555555555555547</v>
      </c>
      <c r="P351" s="3">
        <v>4000113374</v>
      </c>
      <c r="Q351">
        <v>10049640</v>
      </c>
      <c r="R351" t="s">
        <v>38</v>
      </c>
      <c r="S351" t="s">
        <v>39</v>
      </c>
    </row>
    <row r="352" spans="3:19" x14ac:dyDescent="0.25">
      <c r="C352">
        <v>3088991</v>
      </c>
      <c r="D352" s="3" t="s">
        <v>33</v>
      </c>
      <c r="E352" s="3">
        <v>1</v>
      </c>
      <c r="F352" s="3" t="s">
        <v>34</v>
      </c>
      <c r="G352" s="3" t="s">
        <v>186</v>
      </c>
      <c r="H352" s="3">
        <v>60</v>
      </c>
      <c r="I352" s="3" t="s">
        <v>19</v>
      </c>
      <c r="J352" s="3">
        <f t="shared" si="5"/>
        <v>1</v>
      </c>
      <c r="K352" s="3" t="s">
        <v>20</v>
      </c>
      <c r="L352" t="s">
        <v>73</v>
      </c>
      <c r="M352" t="s">
        <v>73</v>
      </c>
      <c r="N352" s="1">
        <v>0.33333333333333331</v>
      </c>
      <c r="O352" s="1">
        <v>0.35416666666666669</v>
      </c>
      <c r="P352" s="3">
        <v>4000102706</v>
      </c>
      <c r="Q352">
        <v>10051704</v>
      </c>
      <c r="R352" t="s">
        <v>58</v>
      </c>
      <c r="S352" t="s">
        <v>37</v>
      </c>
    </row>
    <row r="353" spans="3:19" x14ac:dyDescent="0.25">
      <c r="C353">
        <v>3119959</v>
      </c>
      <c r="D353" s="3" t="s">
        <v>33</v>
      </c>
      <c r="E353" s="3">
        <v>1</v>
      </c>
      <c r="F353" s="3" t="s">
        <v>34</v>
      </c>
      <c r="G353" s="3" t="s">
        <v>186</v>
      </c>
      <c r="H353" s="3">
        <v>60</v>
      </c>
      <c r="I353" s="3" t="s">
        <v>19</v>
      </c>
      <c r="J353" s="3">
        <f t="shared" si="5"/>
        <v>1</v>
      </c>
      <c r="K353" s="3" t="s">
        <v>20</v>
      </c>
      <c r="L353" t="s">
        <v>73</v>
      </c>
      <c r="M353" t="s">
        <v>73</v>
      </c>
      <c r="N353" s="1">
        <v>0.33333333333333331</v>
      </c>
      <c r="O353" s="1">
        <v>0.35416666666666669</v>
      </c>
      <c r="P353" s="3">
        <v>4000112033</v>
      </c>
      <c r="Q353">
        <v>10051548</v>
      </c>
      <c r="R353" t="s">
        <v>57</v>
      </c>
      <c r="S353" t="s">
        <v>37</v>
      </c>
    </row>
    <row r="354" spans="3:19" x14ac:dyDescent="0.25">
      <c r="C354">
        <v>3112636</v>
      </c>
      <c r="D354" s="3" t="s">
        <v>17</v>
      </c>
      <c r="E354" s="3">
        <v>1</v>
      </c>
      <c r="F354" s="3" t="s">
        <v>34</v>
      </c>
      <c r="G354" s="3" t="s">
        <v>186</v>
      </c>
      <c r="H354" s="3">
        <v>240</v>
      </c>
      <c r="I354" s="3" t="s">
        <v>19</v>
      </c>
      <c r="J354" s="3">
        <f t="shared" si="5"/>
        <v>4</v>
      </c>
      <c r="K354" s="3" t="s">
        <v>20</v>
      </c>
      <c r="L354" t="s">
        <v>40</v>
      </c>
      <c r="M354" t="s">
        <v>40</v>
      </c>
      <c r="N354" s="1">
        <v>0.33333333333333331</v>
      </c>
      <c r="O354" s="1">
        <v>0.5</v>
      </c>
      <c r="P354" s="3">
        <v>4000108465</v>
      </c>
      <c r="Q354">
        <v>10051386</v>
      </c>
      <c r="R354" t="s">
        <v>36</v>
      </c>
      <c r="S354" t="s">
        <v>41</v>
      </c>
    </row>
    <row r="355" spans="3:19" x14ac:dyDescent="0.25">
      <c r="C355">
        <v>3120186</v>
      </c>
      <c r="D355" s="3" t="s">
        <v>22</v>
      </c>
      <c r="E355" s="3">
        <v>1</v>
      </c>
      <c r="F355" s="3" t="s">
        <v>34</v>
      </c>
      <c r="G355" s="3" t="s">
        <v>186</v>
      </c>
      <c r="H355" s="3">
        <v>30</v>
      </c>
      <c r="I355" s="3" t="s">
        <v>19</v>
      </c>
      <c r="J355" s="3">
        <f t="shared" si="5"/>
        <v>0.5</v>
      </c>
      <c r="K355" s="3" t="s">
        <v>20</v>
      </c>
      <c r="L355" t="s">
        <v>42</v>
      </c>
      <c r="M355" t="s">
        <v>42</v>
      </c>
      <c r="N355" s="1">
        <v>0.875</v>
      </c>
      <c r="O355" s="1">
        <v>0.89583333333333337</v>
      </c>
      <c r="P355" s="3">
        <v>4000112663</v>
      </c>
      <c r="Q355">
        <v>10049361</v>
      </c>
      <c r="R355" t="s">
        <v>36</v>
      </c>
      <c r="S355" t="s">
        <v>43</v>
      </c>
    </row>
    <row r="356" spans="3:19" x14ac:dyDescent="0.25">
      <c r="C356">
        <v>3122008</v>
      </c>
      <c r="D356" s="3" t="s">
        <v>22</v>
      </c>
      <c r="E356" s="3">
        <v>2</v>
      </c>
      <c r="F356" s="3" t="s">
        <v>34</v>
      </c>
      <c r="G356" s="3" t="s">
        <v>186</v>
      </c>
      <c r="H356" s="3">
        <v>30</v>
      </c>
      <c r="I356" s="3" t="s">
        <v>19</v>
      </c>
      <c r="J356" s="3">
        <f t="shared" si="5"/>
        <v>0.5</v>
      </c>
      <c r="K356" s="3" t="s">
        <v>20</v>
      </c>
      <c r="L356" t="s">
        <v>42</v>
      </c>
      <c r="M356" t="s">
        <v>42</v>
      </c>
      <c r="N356" s="1">
        <v>0.95833333333333337</v>
      </c>
      <c r="O356" s="1">
        <v>0.97916666666666663</v>
      </c>
      <c r="P356" s="3">
        <v>4000112705</v>
      </c>
      <c r="Q356">
        <v>10051443</v>
      </c>
      <c r="R356" t="s">
        <v>36</v>
      </c>
      <c r="S356" t="s">
        <v>44</v>
      </c>
    </row>
    <row r="357" spans="3:19" x14ac:dyDescent="0.25">
      <c r="C357">
        <v>3122025</v>
      </c>
      <c r="D357" s="3" t="s">
        <v>22</v>
      </c>
      <c r="E357" s="3">
        <v>2</v>
      </c>
      <c r="F357" s="3" t="s">
        <v>34</v>
      </c>
      <c r="G357" s="3" t="s">
        <v>186</v>
      </c>
      <c r="H357" s="3">
        <v>30</v>
      </c>
      <c r="I357" s="3" t="s">
        <v>19</v>
      </c>
      <c r="J357" s="3">
        <f t="shared" si="5"/>
        <v>0.5</v>
      </c>
      <c r="K357" s="3" t="s">
        <v>20</v>
      </c>
      <c r="L357" t="s">
        <v>42</v>
      </c>
      <c r="M357" t="s">
        <v>42</v>
      </c>
      <c r="N357" s="1">
        <v>0.89583333333333337</v>
      </c>
      <c r="O357" s="1">
        <v>0.91666666666666663</v>
      </c>
      <c r="P357" s="3">
        <v>4000112721</v>
      </c>
      <c r="Q357">
        <v>10051386</v>
      </c>
      <c r="R357" t="s">
        <v>36</v>
      </c>
      <c r="S357" t="s">
        <v>43</v>
      </c>
    </row>
    <row r="358" spans="3:19" x14ac:dyDescent="0.25">
      <c r="C358">
        <v>3134113</v>
      </c>
      <c r="D358" s="3" t="s">
        <v>28</v>
      </c>
      <c r="E358" s="3">
        <v>1</v>
      </c>
      <c r="F358" s="3" t="s">
        <v>34</v>
      </c>
      <c r="G358" s="3" t="s">
        <v>186</v>
      </c>
      <c r="H358" s="3">
        <v>30</v>
      </c>
      <c r="I358" s="3" t="s">
        <v>19</v>
      </c>
      <c r="J358" s="3">
        <f t="shared" si="5"/>
        <v>0.5</v>
      </c>
      <c r="K358" s="3" t="s">
        <v>20</v>
      </c>
      <c r="L358" t="s">
        <v>30</v>
      </c>
      <c r="M358" t="s">
        <v>30</v>
      </c>
      <c r="N358" s="1">
        <v>0.35416666666666669</v>
      </c>
      <c r="O358" s="1">
        <v>0.375</v>
      </c>
      <c r="P358" s="3">
        <v>4000114872</v>
      </c>
      <c r="Q358">
        <v>10051218</v>
      </c>
      <c r="R358" t="s">
        <v>31</v>
      </c>
      <c r="S358" t="s">
        <v>45</v>
      </c>
    </row>
    <row r="359" spans="3:19" x14ac:dyDescent="0.25">
      <c r="C359">
        <v>3134116</v>
      </c>
      <c r="D359" s="3" t="s">
        <v>22</v>
      </c>
      <c r="E359" s="3">
        <v>2</v>
      </c>
      <c r="F359" s="3" t="s">
        <v>34</v>
      </c>
      <c r="G359" s="3" t="s">
        <v>186</v>
      </c>
      <c r="H359" s="3">
        <v>30</v>
      </c>
      <c r="I359" s="3" t="s">
        <v>19</v>
      </c>
      <c r="J359" s="3">
        <f t="shared" si="5"/>
        <v>0.5</v>
      </c>
      <c r="K359" s="3" t="s">
        <v>20</v>
      </c>
      <c r="L359" t="s">
        <v>30</v>
      </c>
      <c r="M359" t="s">
        <v>30</v>
      </c>
      <c r="N359" s="1">
        <v>0.54166666666666663</v>
      </c>
      <c r="O359" s="1">
        <v>0.5625</v>
      </c>
      <c r="P359" s="3">
        <v>4000114875</v>
      </c>
      <c r="Q359">
        <v>10049640</v>
      </c>
      <c r="R359" t="s">
        <v>38</v>
      </c>
      <c r="S359" t="s">
        <v>46</v>
      </c>
    </row>
    <row r="360" spans="3:19" x14ac:dyDescent="0.25">
      <c r="C360">
        <v>3134117</v>
      </c>
      <c r="D360" s="3" t="s">
        <v>22</v>
      </c>
      <c r="E360" s="3">
        <v>2</v>
      </c>
      <c r="F360" s="3" t="s">
        <v>34</v>
      </c>
      <c r="G360" s="3" t="s">
        <v>186</v>
      </c>
      <c r="H360" s="3">
        <v>20</v>
      </c>
      <c r="I360" s="3" t="s">
        <v>19</v>
      </c>
      <c r="J360" s="3">
        <f t="shared" si="5"/>
        <v>0.33333333333333331</v>
      </c>
      <c r="K360" s="3" t="s">
        <v>20</v>
      </c>
      <c r="L360" t="s">
        <v>30</v>
      </c>
      <c r="M360" t="s">
        <v>30</v>
      </c>
      <c r="N360" s="1">
        <v>0.65972222222222221</v>
      </c>
      <c r="O360" s="1">
        <v>0.65972222222222221</v>
      </c>
      <c r="P360" s="3">
        <v>4000114876</v>
      </c>
      <c r="Q360">
        <v>10049652</v>
      </c>
      <c r="R360" t="s">
        <v>38</v>
      </c>
      <c r="S360" t="s">
        <v>47</v>
      </c>
    </row>
    <row r="361" spans="3:19" x14ac:dyDescent="0.25">
      <c r="C361">
        <v>3134141</v>
      </c>
      <c r="D361" s="3" t="s">
        <v>22</v>
      </c>
      <c r="E361" s="3">
        <v>2</v>
      </c>
      <c r="F361" s="3" t="s">
        <v>34</v>
      </c>
      <c r="G361" s="3" t="s">
        <v>186</v>
      </c>
      <c r="H361" s="3">
        <v>20</v>
      </c>
      <c r="I361" s="3" t="s">
        <v>19</v>
      </c>
      <c r="J361" s="3">
        <f t="shared" si="5"/>
        <v>0.33333333333333331</v>
      </c>
      <c r="K361" s="3" t="s">
        <v>20</v>
      </c>
      <c r="L361" t="s">
        <v>30</v>
      </c>
      <c r="M361" t="s">
        <v>30</v>
      </c>
      <c r="N361" s="1">
        <v>0.65972222222222221</v>
      </c>
      <c r="O361" s="1">
        <v>0.68055555555555547</v>
      </c>
      <c r="P361" s="3">
        <v>4000114894</v>
      </c>
      <c r="Q361">
        <v>10049657</v>
      </c>
      <c r="R361" t="s">
        <v>38</v>
      </c>
      <c r="S361" t="s">
        <v>48</v>
      </c>
    </row>
    <row r="362" spans="3:19" x14ac:dyDescent="0.25">
      <c r="C362">
        <v>3134182</v>
      </c>
      <c r="D362" s="3" t="s">
        <v>22</v>
      </c>
      <c r="E362" s="3">
        <v>2</v>
      </c>
      <c r="F362" s="3" t="s">
        <v>34</v>
      </c>
      <c r="G362" s="3" t="s">
        <v>186</v>
      </c>
      <c r="H362" s="3">
        <v>30</v>
      </c>
      <c r="I362" s="3" t="s">
        <v>19</v>
      </c>
      <c r="J362" s="3">
        <f t="shared" si="5"/>
        <v>0.5</v>
      </c>
      <c r="K362" s="3" t="s">
        <v>20</v>
      </c>
      <c r="L362" t="s">
        <v>30</v>
      </c>
      <c r="M362" t="s">
        <v>30</v>
      </c>
      <c r="N362" s="1">
        <v>0.54166666666666663</v>
      </c>
      <c r="O362" s="1">
        <v>0.5625</v>
      </c>
      <c r="P362" s="3">
        <v>4000114931</v>
      </c>
      <c r="Q362">
        <v>10051218</v>
      </c>
      <c r="R362" t="s">
        <v>31</v>
      </c>
      <c r="S362" t="s">
        <v>48</v>
      </c>
    </row>
    <row r="363" spans="3:19" x14ac:dyDescent="0.25">
      <c r="C363">
        <v>3134193</v>
      </c>
      <c r="D363" s="3" t="s">
        <v>22</v>
      </c>
      <c r="E363" s="3">
        <v>2</v>
      </c>
      <c r="F363" s="3" t="s">
        <v>34</v>
      </c>
      <c r="G363" s="3" t="s">
        <v>186</v>
      </c>
      <c r="H363" s="3">
        <v>30</v>
      </c>
      <c r="I363" s="3" t="s">
        <v>19</v>
      </c>
      <c r="J363" s="3">
        <f t="shared" si="5"/>
        <v>0.5</v>
      </c>
      <c r="K363" s="3" t="s">
        <v>20</v>
      </c>
      <c r="L363" t="s">
        <v>30</v>
      </c>
      <c r="M363" t="s">
        <v>30</v>
      </c>
      <c r="N363" s="1">
        <v>0.54166666666666663</v>
      </c>
      <c r="O363" s="1">
        <v>0.56944444444444442</v>
      </c>
      <c r="P363" s="3">
        <v>4000114942</v>
      </c>
      <c r="Q363">
        <v>10049657</v>
      </c>
      <c r="R363" t="s">
        <v>38</v>
      </c>
      <c r="S363" t="s">
        <v>48</v>
      </c>
    </row>
    <row r="364" spans="3:19" x14ac:dyDescent="0.25">
      <c r="C364">
        <v>3134199</v>
      </c>
      <c r="D364" s="3" t="s">
        <v>22</v>
      </c>
      <c r="E364" s="3">
        <v>2</v>
      </c>
      <c r="F364" s="3" t="s">
        <v>34</v>
      </c>
      <c r="G364" s="3" t="s">
        <v>186</v>
      </c>
      <c r="H364" s="3">
        <v>20</v>
      </c>
      <c r="I364" s="3" t="s">
        <v>19</v>
      </c>
      <c r="J364" s="3">
        <f t="shared" si="5"/>
        <v>0.33333333333333331</v>
      </c>
      <c r="K364" s="3" t="s">
        <v>20</v>
      </c>
      <c r="L364" t="s">
        <v>30</v>
      </c>
      <c r="M364" t="s">
        <v>30</v>
      </c>
      <c r="N364" s="1">
        <v>0.45833333333333331</v>
      </c>
      <c r="O364" s="1">
        <v>0.47222222222222227</v>
      </c>
      <c r="P364" s="3">
        <v>4000114948</v>
      </c>
      <c r="Q364">
        <v>10049604</v>
      </c>
      <c r="R364" t="s">
        <v>31</v>
      </c>
      <c r="S364" t="s">
        <v>48</v>
      </c>
    </row>
    <row r="365" spans="3:19" x14ac:dyDescent="0.25">
      <c r="C365">
        <v>3134200</v>
      </c>
      <c r="D365" s="3" t="s">
        <v>22</v>
      </c>
      <c r="E365" s="3">
        <v>2</v>
      </c>
      <c r="F365" s="3" t="s">
        <v>34</v>
      </c>
      <c r="G365" s="3" t="s">
        <v>186</v>
      </c>
      <c r="H365" s="3">
        <v>20</v>
      </c>
      <c r="I365" s="3" t="s">
        <v>19</v>
      </c>
      <c r="J365" s="3">
        <f t="shared" si="5"/>
        <v>0.33333333333333331</v>
      </c>
      <c r="K365" s="3" t="s">
        <v>20</v>
      </c>
      <c r="L365" t="s">
        <v>30</v>
      </c>
      <c r="M365" t="s">
        <v>30</v>
      </c>
      <c r="N365" s="1">
        <v>0.47222222222222227</v>
      </c>
      <c r="O365" s="1">
        <v>0.4861111111111111</v>
      </c>
      <c r="P365" s="3">
        <v>4000114949</v>
      </c>
      <c r="Q365">
        <v>10051218</v>
      </c>
      <c r="R365" t="s">
        <v>31</v>
      </c>
      <c r="S365" t="s">
        <v>27</v>
      </c>
    </row>
    <row r="366" spans="3:19" x14ac:dyDescent="0.25">
      <c r="C366">
        <v>3134201</v>
      </c>
      <c r="D366" s="3" t="s">
        <v>22</v>
      </c>
      <c r="E366" s="3">
        <v>2</v>
      </c>
      <c r="F366" s="3" t="s">
        <v>34</v>
      </c>
      <c r="G366" s="3" t="s">
        <v>186</v>
      </c>
      <c r="H366" s="3">
        <v>20</v>
      </c>
      <c r="I366" s="3" t="s">
        <v>19</v>
      </c>
      <c r="J366" s="3">
        <f t="shared" si="5"/>
        <v>0.33333333333333331</v>
      </c>
      <c r="K366" s="3" t="s">
        <v>20</v>
      </c>
      <c r="L366" t="s">
        <v>30</v>
      </c>
      <c r="M366" t="s">
        <v>30</v>
      </c>
      <c r="N366" s="1">
        <v>0.4861111111111111</v>
      </c>
      <c r="O366" s="1">
        <v>0.50694444444444442</v>
      </c>
      <c r="P366" s="3">
        <v>4000114950</v>
      </c>
      <c r="Q366">
        <v>10051224</v>
      </c>
      <c r="R366" t="s">
        <v>31</v>
      </c>
      <c r="S366" t="s">
        <v>48</v>
      </c>
    </row>
    <row r="367" spans="3:19" x14ac:dyDescent="0.25">
      <c r="C367">
        <v>3134206</v>
      </c>
      <c r="D367" s="3" t="s">
        <v>22</v>
      </c>
      <c r="E367" s="3">
        <v>2</v>
      </c>
      <c r="F367" s="3" t="s">
        <v>34</v>
      </c>
      <c r="G367" s="3" t="s">
        <v>186</v>
      </c>
      <c r="H367" s="3">
        <v>20</v>
      </c>
      <c r="I367" s="3" t="s">
        <v>19</v>
      </c>
      <c r="J367" s="3">
        <f t="shared" si="5"/>
        <v>0.33333333333333331</v>
      </c>
      <c r="K367" s="3" t="s">
        <v>20</v>
      </c>
      <c r="L367" t="s">
        <v>30</v>
      </c>
      <c r="M367" t="s">
        <v>30</v>
      </c>
      <c r="N367" s="1">
        <v>0.4375</v>
      </c>
      <c r="O367" s="1">
        <v>0.4513888888888889</v>
      </c>
      <c r="P367" s="3">
        <v>4000114955</v>
      </c>
      <c r="Q367">
        <v>10049652</v>
      </c>
      <c r="R367" t="s">
        <v>38</v>
      </c>
      <c r="S367" t="s">
        <v>49</v>
      </c>
    </row>
    <row r="368" spans="3:19" x14ac:dyDescent="0.25">
      <c r="C368">
        <v>3134210</v>
      </c>
      <c r="D368" s="3" t="s">
        <v>22</v>
      </c>
      <c r="E368" s="3">
        <v>2</v>
      </c>
      <c r="F368" s="3" t="s">
        <v>34</v>
      </c>
      <c r="G368" s="3" t="s">
        <v>186</v>
      </c>
      <c r="H368" s="3">
        <v>10</v>
      </c>
      <c r="I368" s="3" t="s">
        <v>19</v>
      </c>
      <c r="J368" s="3">
        <f t="shared" si="5"/>
        <v>0.16666666666666666</v>
      </c>
      <c r="K368" s="3" t="s">
        <v>20</v>
      </c>
      <c r="L368" t="s">
        <v>30</v>
      </c>
      <c r="M368" t="s">
        <v>30</v>
      </c>
      <c r="N368" s="1">
        <v>0.4513888888888889</v>
      </c>
      <c r="O368" s="1">
        <v>0.46527777777777773</v>
      </c>
      <c r="P368" s="3">
        <v>4000114959</v>
      </c>
      <c r="Q368">
        <v>10049663</v>
      </c>
      <c r="R368" t="s">
        <v>38</v>
      </c>
      <c r="S368" t="s">
        <v>49</v>
      </c>
    </row>
    <row r="369" spans="3:19" x14ac:dyDescent="0.25">
      <c r="C369">
        <v>3134220</v>
      </c>
      <c r="D369" s="3" t="s">
        <v>22</v>
      </c>
      <c r="E369" s="3">
        <v>1</v>
      </c>
      <c r="F369" s="3" t="s">
        <v>34</v>
      </c>
      <c r="G369" s="3" t="s">
        <v>186</v>
      </c>
      <c r="H369" s="3">
        <v>20</v>
      </c>
      <c r="I369" s="3" t="s">
        <v>19</v>
      </c>
      <c r="J369" s="3">
        <f t="shared" si="5"/>
        <v>0.33333333333333331</v>
      </c>
      <c r="K369" s="3" t="s">
        <v>20</v>
      </c>
      <c r="L369" t="s">
        <v>30</v>
      </c>
      <c r="M369" t="s">
        <v>30</v>
      </c>
      <c r="N369" s="1">
        <v>0.3888888888888889</v>
      </c>
      <c r="O369" s="1">
        <v>0.40277777777777773</v>
      </c>
      <c r="P369" s="3">
        <v>4000114968</v>
      </c>
      <c r="Q369">
        <v>10049589</v>
      </c>
      <c r="R369" t="s">
        <v>31</v>
      </c>
      <c r="S369" t="s">
        <v>50</v>
      </c>
    </row>
    <row r="370" spans="3:19" x14ac:dyDescent="0.25">
      <c r="C370">
        <v>3134232</v>
      </c>
      <c r="D370" s="3" t="s">
        <v>22</v>
      </c>
      <c r="E370" s="3">
        <v>2</v>
      </c>
      <c r="F370" s="3" t="s">
        <v>34</v>
      </c>
      <c r="G370" s="3" t="s">
        <v>186</v>
      </c>
      <c r="H370" s="3">
        <v>30</v>
      </c>
      <c r="I370" s="3" t="s">
        <v>19</v>
      </c>
      <c r="J370" s="3">
        <f t="shared" si="5"/>
        <v>0.5</v>
      </c>
      <c r="K370" s="3" t="s">
        <v>20</v>
      </c>
      <c r="L370" t="s">
        <v>30</v>
      </c>
      <c r="M370" t="s">
        <v>30</v>
      </c>
      <c r="N370" s="1">
        <v>0.375</v>
      </c>
      <c r="O370" s="1">
        <v>0.39583333333333331</v>
      </c>
      <c r="P370" s="3">
        <v>4000114980</v>
      </c>
      <c r="Q370">
        <v>10051224</v>
      </c>
      <c r="R370" t="s">
        <v>31</v>
      </c>
      <c r="S370" t="s">
        <v>27</v>
      </c>
    </row>
    <row r="371" spans="3:19" x14ac:dyDescent="0.25">
      <c r="C371">
        <v>3134252</v>
      </c>
      <c r="D371" s="3" t="s">
        <v>22</v>
      </c>
      <c r="E371" s="3">
        <v>2</v>
      </c>
      <c r="F371" s="3" t="s">
        <v>34</v>
      </c>
      <c r="G371" s="3" t="s">
        <v>186</v>
      </c>
      <c r="H371" s="3">
        <v>30</v>
      </c>
      <c r="I371" s="3" t="s">
        <v>19</v>
      </c>
      <c r="J371" s="3">
        <f t="shared" si="5"/>
        <v>0.5</v>
      </c>
      <c r="K371" s="3" t="s">
        <v>20</v>
      </c>
      <c r="L371" t="s">
        <v>30</v>
      </c>
      <c r="M371" t="s">
        <v>30</v>
      </c>
      <c r="N371" s="1">
        <v>0.41666666666666669</v>
      </c>
      <c r="O371" s="1">
        <v>0.4375</v>
      </c>
      <c r="P371" s="3">
        <v>4000114998</v>
      </c>
      <c r="Q371">
        <v>10049657</v>
      </c>
      <c r="R371" t="s">
        <v>38</v>
      </c>
      <c r="S371" t="s">
        <v>27</v>
      </c>
    </row>
    <row r="372" spans="3:19" x14ac:dyDescent="0.25">
      <c r="C372">
        <v>3110476</v>
      </c>
      <c r="D372" s="3" t="s">
        <v>22</v>
      </c>
      <c r="E372" s="3">
        <v>1</v>
      </c>
      <c r="F372" s="3" t="s">
        <v>34</v>
      </c>
      <c r="G372" s="3" t="s">
        <v>186</v>
      </c>
      <c r="H372" s="3">
        <v>120</v>
      </c>
      <c r="I372" s="3" t="s">
        <v>19</v>
      </c>
      <c r="J372" s="3">
        <f t="shared" si="5"/>
        <v>2</v>
      </c>
      <c r="K372" s="3" t="s">
        <v>20</v>
      </c>
      <c r="L372" t="s">
        <v>51</v>
      </c>
      <c r="M372" t="s">
        <v>51</v>
      </c>
      <c r="N372" s="1">
        <v>0.8125</v>
      </c>
      <c r="O372" s="1">
        <v>0.9375</v>
      </c>
      <c r="P372" s="3">
        <v>4000107632</v>
      </c>
      <c r="Q372">
        <v>10049361</v>
      </c>
      <c r="R372" t="s">
        <v>36</v>
      </c>
      <c r="S372" t="s">
        <v>52</v>
      </c>
    </row>
    <row r="373" spans="3:19" x14ac:dyDescent="0.25">
      <c r="C373">
        <v>3120194</v>
      </c>
      <c r="D373" s="3" t="s">
        <v>22</v>
      </c>
      <c r="E373" s="3">
        <v>2</v>
      </c>
      <c r="F373" s="3" t="s">
        <v>34</v>
      </c>
      <c r="G373" s="3" t="s">
        <v>186</v>
      </c>
      <c r="H373" s="3">
        <v>30</v>
      </c>
      <c r="I373" s="3" t="s">
        <v>19</v>
      </c>
      <c r="J373" s="3">
        <f t="shared" si="5"/>
        <v>0.5</v>
      </c>
      <c r="K373" s="3" t="s">
        <v>20</v>
      </c>
      <c r="L373" t="s">
        <v>51</v>
      </c>
      <c r="M373" t="s">
        <v>51</v>
      </c>
      <c r="N373" s="1">
        <v>0.79166666666666663</v>
      </c>
      <c r="O373" s="1">
        <v>0.8125</v>
      </c>
      <c r="P373" s="3">
        <v>4000112671</v>
      </c>
      <c r="Q373">
        <v>10049436</v>
      </c>
      <c r="R373" t="s">
        <v>53</v>
      </c>
      <c r="S373" t="s">
        <v>32</v>
      </c>
    </row>
    <row r="374" spans="3:19" x14ac:dyDescent="0.25">
      <c r="C374">
        <v>3122735</v>
      </c>
      <c r="D374" s="3" t="s">
        <v>22</v>
      </c>
      <c r="E374" s="3">
        <v>2</v>
      </c>
      <c r="F374" s="3" t="s">
        <v>34</v>
      </c>
      <c r="G374" s="3" t="s">
        <v>186</v>
      </c>
      <c r="H374" s="3">
        <v>30</v>
      </c>
      <c r="I374" s="3" t="s">
        <v>19</v>
      </c>
      <c r="J374" s="3">
        <f t="shared" si="5"/>
        <v>0.5</v>
      </c>
      <c r="K374" s="3" t="s">
        <v>20</v>
      </c>
      <c r="L374" t="s">
        <v>51</v>
      </c>
      <c r="M374" t="s">
        <v>51</v>
      </c>
      <c r="N374" s="1">
        <v>0.9375</v>
      </c>
      <c r="O374" s="1">
        <v>0.95833333333333337</v>
      </c>
      <c r="P374" s="3">
        <v>4000113260</v>
      </c>
      <c r="Q374">
        <v>10049372</v>
      </c>
      <c r="R374" t="s">
        <v>36</v>
      </c>
      <c r="S374" t="s">
        <v>32</v>
      </c>
    </row>
    <row r="375" spans="3:19" x14ac:dyDescent="0.25">
      <c r="C375">
        <v>3122794</v>
      </c>
      <c r="D375" s="3" t="s">
        <v>22</v>
      </c>
      <c r="E375" s="3">
        <v>2</v>
      </c>
      <c r="F375" s="3" t="s">
        <v>34</v>
      </c>
      <c r="G375" s="3" t="s">
        <v>186</v>
      </c>
      <c r="H375" s="3">
        <v>60</v>
      </c>
      <c r="I375" s="3" t="s">
        <v>19</v>
      </c>
      <c r="J375" s="3">
        <f t="shared" si="5"/>
        <v>1</v>
      </c>
      <c r="K375" s="3" t="s">
        <v>20</v>
      </c>
      <c r="L375" t="s">
        <v>51</v>
      </c>
      <c r="M375" t="s">
        <v>51</v>
      </c>
      <c r="N375" s="1">
        <v>0.91666666666666663</v>
      </c>
      <c r="O375" s="1">
        <v>0.95833333333333337</v>
      </c>
      <c r="P375" s="3">
        <v>4000113396</v>
      </c>
      <c r="Q375">
        <v>10049688</v>
      </c>
      <c r="R375" t="s">
        <v>54</v>
      </c>
      <c r="S375" t="s">
        <v>32</v>
      </c>
    </row>
    <row r="376" spans="3:19" x14ac:dyDescent="0.25">
      <c r="C376">
        <v>3114077</v>
      </c>
      <c r="D376" s="3" t="s">
        <v>55</v>
      </c>
      <c r="E376" s="3">
        <v>1</v>
      </c>
      <c r="F376" s="3" t="s">
        <v>34</v>
      </c>
      <c r="G376" s="3" t="s">
        <v>186</v>
      </c>
      <c r="H376" s="3">
        <v>30</v>
      </c>
      <c r="I376" s="3" t="s">
        <v>19</v>
      </c>
      <c r="J376" s="3">
        <f t="shared" si="5"/>
        <v>0.5</v>
      </c>
      <c r="K376" s="3" t="s">
        <v>20</v>
      </c>
      <c r="L376" t="s">
        <v>56</v>
      </c>
      <c r="M376" t="s">
        <v>56</v>
      </c>
      <c r="N376" s="1">
        <v>0.375</v>
      </c>
      <c r="O376" s="1">
        <v>0.39583333333333331</v>
      </c>
      <c r="P376" s="3">
        <v>4000109505</v>
      </c>
      <c r="Q376">
        <v>10049451</v>
      </c>
      <c r="R376" t="s">
        <v>57</v>
      </c>
      <c r="S376" t="s">
        <v>32</v>
      </c>
    </row>
    <row r="377" spans="3:19" x14ac:dyDescent="0.25">
      <c r="C377">
        <v>3114084</v>
      </c>
      <c r="D377" s="3" t="s">
        <v>17</v>
      </c>
      <c r="E377" s="3">
        <v>1</v>
      </c>
      <c r="F377" s="3" t="s">
        <v>34</v>
      </c>
      <c r="G377" s="3" t="s">
        <v>186</v>
      </c>
      <c r="H377" s="3">
        <v>30</v>
      </c>
      <c r="I377" s="3" t="s">
        <v>19</v>
      </c>
      <c r="J377" s="3">
        <f t="shared" si="5"/>
        <v>0.5</v>
      </c>
      <c r="K377" s="3" t="s">
        <v>20</v>
      </c>
      <c r="L377" t="s">
        <v>56</v>
      </c>
      <c r="M377" t="s">
        <v>56</v>
      </c>
      <c r="N377" s="1">
        <v>0.91666666666666663</v>
      </c>
      <c r="O377" s="1">
        <v>0.9375</v>
      </c>
      <c r="P377" s="3">
        <v>4000109512</v>
      </c>
      <c r="Q377">
        <v>10051747</v>
      </c>
      <c r="R377" t="s">
        <v>58</v>
      </c>
      <c r="S377" t="s">
        <v>59</v>
      </c>
    </row>
    <row r="378" spans="3:19" x14ac:dyDescent="0.25">
      <c r="C378">
        <v>3122799</v>
      </c>
      <c r="D378" s="3" t="s">
        <v>22</v>
      </c>
      <c r="E378" s="3">
        <v>2</v>
      </c>
      <c r="F378" s="3" t="s">
        <v>34</v>
      </c>
      <c r="G378" s="3" t="s">
        <v>186</v>
      </c>
      <c r="H378" s="3">
        <v>20</v>
      </c>
      <c r="I378" s="3" t="s">
        <v>19</v>
      </c>
      <c r="J378" s="3">
        <f t="shared" si="5"/>
        <v>0.33333333333333331</v>
      </c>
      <c r="K378" s="3" t="s">
        <v>20</v>
      </c>
      <c r="L378" t="s">
        <v>56</v>
      </c>
      <c r="M378" t="s">
        <v>56</v>
      </c>
      <c r="N378" s="1">
        <v>4.1666666666666664E-2</v>
      </c>
      <c r="O378" s="1">
        <v>5.5555555555555552E-2</v>
      </c>
      <c r="P378" s="3">
        <v>4000113401</v>
      </c>
      <c r="Q378">
        <v>10051778</v>
      </c>
      <c r="R378" t="s">
        <v>36</v>
      </c>
      <c r="S378" t="s">
        <v>32</v>
      </c>
    </row>
    <row r="379" spans="3:19" x14ac:dyDescent="0.25">
      <c r="C379">
        <v>3123127</v>
      </c>
      <c r="D379" s="3" t="s">
        <v>22</v>
      </c>
      <c r="E379" s="3">
        <v>1</v>
      </c>
      <c r="F379" s="3" t="s">
        <v>34</v>
      </c>
      <c r="G379" s="3" t="s">
        <v>186</v>
      </c>
      <c r="H379" s="3">
        <v>30</v>
      </c>
      <c r="I379" s="3" t="s">
        <v>19</v>
      </c>
      <c r="J379" s="3">
        <f t="shared" si="5"/>
        <v>0.5</v>
      </c>
      <c r="K379" s="3" t="s">
        <v>20</v>
      </c>
      <c r="L379" t="s">
        <v>56</v>
      </c>
      <c r="M379" t="s">
        <v>56</v>
      </c>
      <c r="N379" s="1">
        <v>2.0833333333333332E-2</v>
      </c>
      <c r="O379" s="1">
        <v>4.1666666666666664E-2</v>
      </c>
      <c r="P379" s="3">
        <v>4000113427</v>
      </c>
      <c r="Q379">
        <v>10051778</v>
      </c>
      <c r="R379" t="s">
        <v>36</v>
      </c>
      <c r="S379" t="s">
        <v>32</v>
      </c>
    </row>
    <row r="380" spans="3:19" x14ac:dyDescent="0.25">
      <c r="C380">
        <v>3112655</v>
      </c>
      <c r="D380" s="3" t="s">
        <v>17</v>
      </c>
      <c r="E380" s="3">
        <v>1</v>
      </c>
      <c r="F380" s="3" t="s">
        <v>34</v>
      </c>
      <c r="G380" s="3" t="s">
        <v>186</v>
      </c>
      <c r="H380" s="3">
        <v>60</v>
      </c>
      <c r="I380" s="3" t="s">
        <v>19</v>
      </c>
      <c r="J380" s="3">
        <f t="shared" si="5"/>
        <v>1</v>
      </c>
      <c r="K380" s="3" t="s">
        <v>20</v>
      </c>
      <c r="L380" t="s">
        <v>24</v>
      </c>
      <c r="M380" t="s">
        <v>24</v>
      </c>
      <c r="N380" s="1">
        <v>0.54166666666666663</v>
      </c>
      <c r="O380" s="1">
        <v>0.58333333333333337</v>
      </c>
      <c r="P380" s="3">
        <v>4000108484</v>
      </c>
      <c r="Q380">
        <v>10051769</v>
      </c>
      <c r="R380" t="s">
        <v>36</v>
      </c>
      <c r="S380" t="s">
        <v>60</v>
      </c>
    </row>
    <row r="381" spans="3:19" x14ac:dyDescent="0.25">
      <c r="C381">
        <v>3118354</v>
      </c>
      <c r="D381" s="3" t="s">
        <v>17</v>
      </c>
      <c r="E381" s="3">
        <v>1</v>
      </c>
      <c r="F381" s="3" t="s">
        <v>34</v>
      </c>
      <c r="G381" s="3" t="s">
        <v>186</v>
      </c>
      <c r="H381" s="3">
        <v>60</v>
      </c>
      <c r="I381" s="3" t="s">
        <v>19</v>
      </c>
      <c r="J381" s="3">
        <f t="shared" si="5"/>
        <v>1</v>
      </c>
      <c r="K381" s="3" t="s">
        <v>20</v>
      </c>
      <c r="L381" t="s">
        <v>24</v>
      </c>
      <c r="M381" t="s">
        <v>24</v>
      </c>
      <c r="N381" s="1">
        <v>0.58333333333333337</v>
      </c>
      <c r="O381" s="1">
        <v>0.625</v>
      </c>
      <c r="P381" s="3">
        <v>4000111378</v>
      </c>
      <c r="Q381">
        <v>10049372</v>
      </c>
      <c r="R381" t="s">
        <v>36</v>
      </c>
      <c r="S381" t="s">
        <v>61</v>
      </c>
    </row>
    <row r="382" spans="3:19" x14ac:dyDescent="0.25">
      <c r="C382">
        <v>3119958</v>
      </c>
      <c r="D382" s="3" t="s">
        <v>17</v>
      </c>
      <c r="E382" s="3">
        <v>1</v>
      </c>
      <c r="F382" s="3" t="s">
        <v>34</v>
      </c>
      <c r="G382" s="3" t="s">
        <v>186</v>
      </c>
      <c r="H382" s="3">
        <v>60</v>
      </c>
      <c r="I382" s="3" t="s">
        <v>19</v>
      </c>
      <c r="J382" s="3">
        <f t="shared" si="5"/>
        <v>1</v>
      </c>
      <c r="K382" s="3" t="s">
        <v>20</v>
      </c>
      <c r="L382" t="s">
        <v>24</v>
      </c>
      <c r="M382" t="s">
        <v>24</v>
      </c>
      <c r="N382" s="1">
        <v>0.45833333333333331</v>
      </c>
      <c r="O382" s="1">
        <v>0.5</v>
      </c>
      <c r="P382" s="3">
        <v>4000112032</v>
      </c>
      <c r="Q382">
        <v>10051481</v>
      </c>
      <c r="R382" t="s">
        <v>53</v>
      </c>
      <c r="S382" t="s">
        <v>62</v>
      </c>
    </row>
    <row r="383" spans="3:19" x14ac:dyDescent="0.25">
      <c r="C383">
        <v>3120191</v>
      </c>
      <c r="D383" s="3" t="s">
        <v>17</v>
      </c>
      <c r="E383" s="3">
        <v>1</v>
      </c>
      <c r="F383" s="3" t="s">
        <v>34</v>
      </c>
      <c r="G383" s="3" t="s">
        <v>186</v>
      </c>
      <c r="H383" s="3">
        <v>30</v>
      </c>
      <c r="I383" s="3" t="s">
        <v>19</v>
      </c>
      <c r="J383" s="3">
        <f t="shared" si="5"/>
        <v>0.5</v>
      </c>
      <c r="K383" s="3" t="s">
        <v>20</v>
      </c>
      <c r="L383" t="s">
        <v>24</v>
      </c>
      <c r="M383" t="s">
        <v>24</v>
      </c>
      <c r="N383" s="1">
        <v>0.66666666666666663</v>
      </c>
      <c r="O383" s="1">
        <v>0.70833333333333337</v>
      </c>
      <c r="P383" s="3">
        <v>4000112668</v>
      </c>
      <c r="Q383">
        <v>10051396</v>
      </c>
      <c r="R383" t="s">
        <v>36</v>
      </c>
      <c r="S383" t="s">
        <v>62</v>
      </c>
    </row>
    <row r="384" spans="3:19" x14ac:dyDescent="0.25">
      <c r="C384">
        <v>3120195</v>
      </c>
      <c r="D384" s="3" t="s">
        <v>17</v>
      </c>
      <c r="E384" s="3">
        <v>1</v>
      </c>
      <c r="F384" s="3" t="s">
        <v>34</v>
      </c>
      <c r="G384" s="3" t="s">
        <v>186</v>
      </c>
      <c r="H384" s="3">
        <v>120</v>
      </c>
      <c r="I384" s="3" t="s">
        <v>19</v>
      </c>
      <c r="J384" s="3">
        <f t="shared" si="5"/>
        <v>2</v>
      </c>
      <c r="K384" s="3" t="s">
        <v>20</v>
      </c>
      <c r="L384" t="s">
        <v>24</v>
      </c>
      <c r="M384" t="s">
        <v>24</v>
      </c>
      <c r="N384" s="1">
        <v>0.33333333333333331</v>
      </c>
      <c r="O384" s="1">
        <v>0.41666666666666669</v>
      </c>
      <c r="P384" s="3">
        <v>4000112672</v>
      </c>
      <c r="Q384">
        <v>10049436</v>
      </c>
      <c r="R384" t="s">
        <v>53</v>
      </c>
      <c r="S384" t="s">
        <v>62</v>
      </c>
    </row>
    <row r="385" spans="3:19" x14ac:dyDescent="0.25">
      <c r="C385">
        <v>3120200</v>
      </c>
      <c r="D385" s="3" t="s">
        <v>17</v>
      </c>
      <c r="E385" s="3">
        <v>2</v>
      </c>
      <c r="F385" s="3" t="s">
        <v>34</v>
      </c>
      <c r="G385" s="3" t="s">
        <v>186</v>
      </c>
      <c r="H385" s="3">
        <v>60</v>
      </c>
      <c r="I385" s="3" t="s">
        <v>19</v>
      </c>
      <c r="J385" s="3">
        <f t="shared" si="5"/>
        <v>1</v>
      </c>
      <c r="K385" s="3" t="s">
        <v>20</v>
      </c>
      <c r="L385" t="s">
        <v>24</v>
      </c>
      <c r="M385" t="s">
        <v>24</v>
      </c>
      <c r="N385" s="1">
        <v>0.41666666666666669</v>
      </c>
      <c r="O385" s="1">
        <v>0.45833333333333331</v>
      </c>
      <c r="P385" s="3">
        <v>4000112677</v>
      </c>
      <c r="Q385">
        <v>10049399</v>
      </c>
      <c r="R385" t="s">
        <v>53</v>
      </c>
      <c r="S385" t="s">
        <v>62</v>
      </c>
    </row>
    <row r="386" spans="3:19" x14ac:dyDescent="0.25">
      <c r="C386">
        <v>3122016</v>
      </c>
      <c r="D386" s="3" t="s">
        <v>17</v>
      </c>
      <c r="E386" s="3">
        <v>2</v>
      </c>
      <c r="F386" s="3" t="s">
        <v>34</v>
      </c>
      <c r="G386" s="3" t="s">
        <v>186</v>
      </c>
      <c r="H386" s="3">
        <v>60</v>
      </c>
      <c r="I386" s="3" t="s">
        <v>19</v>
      </c>
      <c r="J386" s="3">
        <f t="shared" si="5"/>
        <v>1</v>
      </c>
      <c r="K386" s="3" t="s">
        <v>20</v>
      </c>
      <c r="L386" t="s">
        <v>24</v>
      </c>
      <c r="M386" t="s">
        <v>24</v>
      </c>
      <c r="N386" s="1">
        <v>0.625</v>
      </c>
      <c r="O386" s="1">
        <v>0.66666666666666663</v>
      </c>
      <c r="P386" s="3">
        <v>4000112713</v>
      </c>
      <c r="Q386">
        <v>10051386</v>
      </c>
      <c r="R386" t="s">
        <v>36</v>
      </c>
      <c r="S386" t="s">
        <v>62</v>
      </c>
    </row>
    <row r="387" spans="3:19" x14ac:dyDescent="0.25">
      <c r="C387">
        <v>3122018</v>
      </c>
      <c r="D387" s="3" t="s">
        <v>17</v>
      </c>
      <c r="E387" s="3">
        <v>1</v>
      </c>
      <c r="F387" s="3" t="s">
        <v>34</v>
      </c>
      <c r="G387" s="3" t="s">
        <v>186</v>
      </c>
      <c r="H387" s="3">
        <v>60</v>
      </c>
      <c r="I387" s="3" t="s">
        <v>19</v>
      </c>
      <c r="J387" s="3">
        <f t="shared" si="5"/>
        <v>1</v>
      </c>
      <c r="K387" s="3" t="s">
        <v>20</v>
      </c>
      <c r="L387" t="s">
        <v>24</v>
      </c>
      <c r="M387" t="s">
        <v>24</v>
      </c>
      <c r="N387" s="1">
        <v>0.58333333333333337</v>
      </c>
      <c r="O387" s="1">
        <v>0.625</v>
      </c>
      <c r="P387" s="3">
        <v>4000112715</v>
      </c>
      <c r="Q387">
        <v>10051443</v>
      </c>
      <c r="R387" t="s">
        <v>36</v>
      </c>
      <c r="S387" t="s">
        <v>62</v>
      </c>
    </row>
    <row r="388" spans="3:19" x14ac:dyDescent="0.25">
      <c r="C388">
        <v>3122752</v>
      </c>
      <c r="D388" s="3" t="s">
        <v>17</v>
      </c>
      <c r="E388" s="3">
        <v>1</v>
      </c>
      <c r="F388" s="3" t="s">
        <v>34</v>
      </c>
      <c r="G388" s="3" t="s">
        <v>186</v>
      </c>
      <c r="H388" s="3">
        <v>30</v>
      </c>
      <c r="I388" s="3" t="s">
        <v>19</v>
      </c>
      <c r="J388" s="3">
        <f t="shared" si="5"/>
        <v>0.5</v>
      </c>
      <c r="K388" s="3" t="s">
        <v>20</v>
      </c>
      <c r="L388" t="s">
        <v>24</v>
      </c>
      <c r="M388" t="s">
        <v>24</v>
      </c>
      <c r="N388" s="1">
        <v>0.5</v>
      </c>
      <c r="O388" s="1">
        <v>0.52083333333333337</v>
      </c>
      <c r="P388" s="3">
        <v>4000113354</v>
      </c>
      <c r="Q388">
        <v>10051443</v>
      </c>
      <c r="R388" t="s">
        <v>36</v>
      </c>
      <c r="S388" t="s">
        <v>62</v>
      </c>
    </row>
    <row r="389" spans="3:19" x14ac:dyDescent="0.25">
      <c r="C389">
        <v>3122756</v>
      </c>
      <c r="D389" s="3" t="s">
        <v>17</v>
      </c>
      <c r="E389" s="3">
        <v>1</v>
      </c>
      <c r="F389" s="3" t="s">
        <v>34</v>
      </c>
      <c r="G389" s="3" t="s">
        <v>186</v>
      </c>
      <c r="H389" s="3">
        <v>30</v>
      </c>
      <c r="I389" s="3" t="s">
        <v>19</v>
      </c>
      <c r="J389" s="3">
        <f t="shared" si="5"/>
        <v>0.5</v>
      </c>
      <c r="K389" s="3" t="s">
        <v>20</v>
      </c>
      <c r="L389" t="s">
        <v>24</v>
      </c>
      <c r="M389" t="s">
        <v>24</v>
      </c>
      <c r="N389" s="1">
        <v>0.39583333333333331</v>
      </c>
      <c r="O389" s="1">
        <v>0.41666666666666669</v>
      </c>
      <c r="P389" s="3">
        <v>4000113358</v>
      </c>
      <c r="Q389">
        <v>10049427</v>
      </c>
      <c r="R389" t="s">
        <v>53</v>
      </c>
      <c r="S389" t="s">
        <v>63</v>
      </c>
    </row>
    <row r="390" spans="3:19" x14ac:dyDescent="0.25">
      <c r="C390">
        <v>3122767</v>
      </c>
      <c r="D390" s="3" t="s">
        <v>55</v>
      </c>
      <c r="E390" s="3">
        <v>1</v>
      </c>
      <c r="F390" s="3" t="s">
        <v>34</v>
      </c>
      <c r="G390" s="3" t="s">
        <v>186</v>
      </c>
      <c r="H390" s="3">
        <v>60</v>
      </c>
      <c r="I390" s="3" t="s">
        <v>19</v>
      </c>
      <c r="J390" s="3">
        <f t="shared" ref="J390:J453" si="6">H390/60</f>
        <v>1</v>
      </c>
      <c r="K390" s="3" t="s">
        <v>20</v>
      </c>
      <c r="L390" t="s">
        <v>24</v>
      </c>
      <c r="M390" t="s">
        <v>24</v>
      </c>
      <c r="N390" s="1">
        <v>0.33333333333333331</v>
      </c>
      <c r="O390" s="1">
        <v>0.375</v>
      </c>
      <c r="P390" s="3">
        <v>4000113369</v>
      </c>
      <c r="Q390">
        <v>10049451</v>
      </c>
      <c r="R390" t="s">
        <v>57</v>
      </c>
      <c r="S390" t="s">
        <v>32</v>
      </c>
    </row>
    <row r="391" spans="3:19" x14ac:dyDescent="0.25">
      <c r="C391">
        <v>3122785</v>
      </c>
      <c r="D391" s="3" t="s">
        <v>17</v>
      </c>
      <c r="E391" s="3">
        <v>1</v>
      </c>
      <c r="F391" s="3" t="s">
        <v>34</v>
      </c>
      <c r="G391" s="3" t="s">
        <v>186</v>
      </c>
      <c r="H391" s="3">
        <v>30</v>
      </c>
      <c r="I391" s="3" t="s">
        <v>19</v>
      </c>
      <c r="J391" s="3">
        <f t="shared" si="6"/>
        <v>0.5</v>
      </c>
      <c r="K391" s="3" t="s">
        <v>20</v>
      </c>
      <c r="L391" t="s">
        <v>24</v>
      </c>
      <c r="M391" t="s">
        <v>24</v>
      </c>
      <c r="N391" s="1">
        <v>0.58333333333333337</v>
      </c>
      <c r="O391" s="1">
        <v>0.60416666666666663</v>
      </c>
      <c r="P391" s="3">
        <v>4000113387</v>
      </c>
      <c r="Q391">
        <v>10051769</v>
      </c>
      <c r="R391" t="s">
        <v>36</v>
      </c>
      <c r="S391" t="s">
        <v>62</v>
      </c>
    </row>
    <row r="392" spans="3:19" x14ac:dyDescent="0.25">
      <c r="C392">
        <v>3122789</v>
      </c>
      <c r="D392" s="3" t="s">
        <v>17</v>
      </c>
      <c r="E392" s="3">
        <v>1</v>
      </c>
      <c r="F392" s="3" t="s">
        <v>34</v>
      </c>
      <c r="G392" s="3" t="s">
        <v>186</v>
      </c>
      <c r="H392" s="3">
        <v>20</v>
      </c>
      <c r="I392" s="3" t="s">
        <v>19</v>
      </c>
      <c r="J392" s="3">
        <f t="shared" si="6"/>
        <v>0.33333333333333331</v>
      </c>
      <c r="K392" s="3" t="s">
        <v>20</v>
      </c>
      <c r="L392" t="s">
        <v>24</v>
      </c>
      <c r="M392" t="s">
        <v>24</v>
      </c>
      <c r="N392" s="1">
        <v>0.58333333333333337</v>
      </c>
      <c r="O392" s="1">
        <v>0.59722222222222221</v>
      </c>
      <c r="P392" s="3">
        <v>4000113391</v>
      </c>
      <c r="Q392">
        <v>10049361</v>
      </c>
      <c r="R392" t="s">
        <v>36</v>
      </c>
      <c r="S392" t="s">
        <v>62</v>
      </c>
    </row>
    <row r="393" spans="3:19" x14ac:dyDescent="0.25">
      <c r="C393">
        <v>3134142</v>
      </c>
      <c r="D393" s="3" t="s">
        <v>22</v>
      </c>
      <c r="E393" s="3">
        <v>1</v>
      </c>
      <c r="F393" s="3" t="s">
        <v>34</v>
      </c>
      <c r="G393" s="3" t="s">
        <v>186</v>
      </c>
      <c r="H393" s="3">
        <v>60</v>
      </c>
      <c r="I393" s="3" t="s">
        <v>19</v>
      </c>
      <c r="J393" s="3">
        <f t="shared" si="6"/>
        <v>1</v>
      </c>
      <c r="K393" s="3" t="s">
        <v>20</v>
      </c>
      <c r="L393" t="s">
        <v>24</v>
      </c>
      <c r="M393" t="s">
        <v>24</v>
      </c>
      <c r="N393" s="1">
        <v>0.41666666666666669</v>
      </c>
      <c r="O393" s="1">
        <v>0.45833333333333331</v>
      </c>
      <c r="P393" s="3">
        <v>4000114895</v>
      </c>
      <c r="Q393">
        <v>10051218</v>
      </c>
      <c r="R393" t="s">
        <v>31</v>
      </c>
      <c r="S393" t="s">
        <v>27</v>
      </c>
    </row>
    <row r="394" spans="3:19" x14ac:dyDescent="0.25">
      <c r="C394">
        <v>3137175</v>
      </c>
      <c r="D394" s="3" t="s">
        <v>22</v>
      </c>
      <c r="E394" s="3">
        <v>2</v>
      </c>
      <c r="F394" s="3" t="s">
        <v>34</v>
      </c>
      <c r="G394" s="3" t="s">
        <v>186</v>
      </c>
      <c r="H394" s="3">
        <v>20</v>
      </c>
      <c r="I394" s="3" t="s">
        <v>19</v>
      </c>
      <c r="J394" s="3">
        <f t="shared" si="6"/>
        <v>0.33333333333333331</v>
      </c>
      <c r="K394" s="3" t="s">
        <v>20</v>
      </c>
      <c r="L394" t="s">
        <v>24</v>
      </c>
      <c r="M394" t="s">
        <v>24</v>
      </c>
      <c r="N394" s="1">
        <v>0.41666666666666669</v>
      </c>
      <c r="O394" s="1">
        <v>0.43055555555555558</v>
      </c>
      <c r="P394" s="3">
        <v>4000115996</v>
      </c>
      <c r="Q394">
        <v>10049663</v>
      </c>
      <c r="R394" t="s">
        <v>38</v>
      </c>
      <c r="S394" t="s">
        <v>50</v>
      </c>
    </row>
    <row r="395" spans="3:19" x14ac:dyDescent="0.25">
      <c r="C395">
        <v>3118381</v>
      </c>
      <c r="D395" s="3" t="s">
        <v>28</v>
      </c>
      <c r="E395" s="3">
        <v>2</v>
      </c>
      <c r="F395" s="3" t="s">
        <v>34</v>
      </c>
      <c r="G395" s="3" t="s">
        <v>186</v>
      </c>
      <c r="H395" s="3">
        <v>60</v>
      </c>
      <c r="I395" s="3" t="s">
        <v>19</v>
      </c>
      <c r="J395" s="3">
        <f t="shared" si="6"/>
        <v>1</v>
      </c>
      <c r="K395" s="3" t="s">
        <v>20</v>
      </c>
      <c r="L395" t="s">
        <v>17</v>
      </c>
      <c r="M395" t="s">
        <v>17</v>
      </c>
      <c r="N395" s="1">
        <v>0.41666666666666669</v>
      </c>
      <c r="O395" s="1">
        <v>0.45833333333333331</v>
      </c>
      <c r="P395" s="3">
        <v>4000111405</v>
      </c>
      <c r="Q395">
        <v>10051759</v>
      </c>
      <c r="R395" t="s">
        <v>58</v>
      </c>
      <c r="S395" t="s">
        <v>32</v>
      </c>
    </row>
    <row r="396" spans="3:19" x14ac:dyDescent="0.25">
      <c r="C396">
        <v>3122775</v>
      </c>
      <c r="D396" s="3" t="s">
        <v>28</v>
      </c>
      <c r="E396" s="3">
        <v>1</v>
      </c>
      <c r="F396" s="3" t="s">
        <v>34</v>
      </c>
      <c r="G396" s="3" t="s">
        <v>186</v>
      </c>
      <c r="H396" s="3">
        <v>30</v>
      </c>
      <c r="I396" s="3" t="s">
        <v>19</v>
      </c>
      <c r="J396" s="3">
        <f t="shared" si="6"/>
        <v>0.5</v>
      </c>
      <c r="K396" s="3" t="s">
        <v>20</v>
      </c>
      <c r="L396" t="s">
        <v>17</v>
      </c>
      <c r="M396" t="s">
        <v>17</v>
      </c>
      <c r="N396" s="1">
        <v>0.33333333333333331</v>
      </c>
      <c r="O396" s="1">
        <v>0.35416666666666669</v>
      </c>
      <c r="P396" s="3">
        <v>4000113377</v>
      </c>
      <c r="Q396">
        <v>10051548</v>
      </c>
      <c r="R396" t="s">
        <v>57</v>
      </c>
      <c r="S396" t="s">
        <v>45</v>
      </c>
    </row>
    <row r="397" spans="3:19" x14ac:dyDescent="0.25">
      <c r="C397">
        <v>3112704</v>
      </c>
      <c r="D397" s="3" t="s">
        <v>22</v>
      </c>
      <c r="E397" s="3">
        <v>1</v>
      </c>
      <c r="F397" s="3" t="s">
        <v>34</v>
      </c>
      <c r="G397" s="3" t="s">
        <v>186</v>
      </c>
      <c r="H397" s="3">
        <v>60</v>
      </c>
      <c r="I397" s="3" t="s">
        <v>19</v>
      </c>
      <c r="J397" s="3">
        <f t="shared" si="6"/>
        <v>1</v>
      </c>
      <c r="K397" s="3" t="s">
        <v>20</v>
      </c>
      <c r="L397" t="s">
        <v>55</v>
      </c>
      <c r="M397" t="s">
        <v>55</v>
      </c>
      <c r="N397" s="1">
        <v>0.6875</v>
      </c>
      <c r="O397" s="1">
        <v>0.72916666666666663</v>
      </c>
      <c r="P397" s="3">
        <v>4000108532</v>
      </c>
      <c r="Q397">
        <v>10049372</v>
      </c>
      <c r="R397" t="s">
        <v>36</v>
      </c>
      <c r="S397" t="s">
        <v>64</v>
      </c>
    </row>
    <row r="398" spans="3:19" x14ac:dyDescent="0.25">
      <c r="C398">
        <v>3122783</v>
      </c>
      <c r="D398" s="3" t="s">
        <v>22</v>
      </c>
      <c r="E398" s="3">
        <v>1</v>
      </c>
      <c r="F398" s="3" t="s">
        <v>34</v>
      </c>
      <c r="G398" s="3" t="s">
        <v>186</v>
      </c>
      <c r="H398" s="3">
        <v>30</v>
      </c>
      <c r="I398" s="3" t="s">
        <v>19</v>
      </c>
      <c r="J398" s="3">
        <f t="shared" si="6"/>
        <v>0.5</v>
      </c>
      <c r="K398" s="3" t="s">
        <v>20</v>
      </c>
      <c r="L398" t="s">
        <v>55</v>
      </c>
      <c r="M398" t="s">
        <v>55</v>
      </c>
      <c r="N398" s="1">
        <v>0.66666666666666663</v>
      </c>
      <c r="O398" s="1">
        <v>0.6875</v>
      </c>
      <c r="P398" s="3">
        <v>4000113385</v>
      </c>
      <c r="Q398">
        <v>10049372</v>
      </c>
      <c r="R398" t="s">
        <v>36</v>
      </c>
      <c r="S398" t="s">
        <v>65</v>
      </c>
    </row>
    <row r="399" spans="3:19" x14ac:dyDescent="0.25">
      <c r="C399">
        <v>3123122</v>
      </c>
      <c r="D399" s="3" t="s">
        <v>22</v>
      </c>
      <c r="E399" s="3">
        <v>1</v>
      </c>
      <c r="F399" s="3" t="s">
        <v>34</v>
      </c>
      <c r="G399" s="3" t="s">
        <v>186</v>
      </c>
      <c r="H399" s="3">
        <v>30</v>
      </c>
      <c r="I399" s="3" t="s">
        <v>19</v>
      </c>
      <c r="J399" s="3">
        <f t="shared" si="6"/>
        <v>0.5</v>
      </c>
      <c r="K399" s="3" t="s">
        <v>20</v>
      </c>
      <c r="L399" t="s">
        <v>55</v>
      </c>
      <c r="M399" t="s">
        <v>55</v>
      </c>
      <c r="N399" s="1">
        <v>0.625</v>
      </c>
      <c r="O399" s="1">
        <v>0.64583333333333337</v>
      </c>
      <c r="P399" s="3">
        <v>4000113422</v>
      </c>
      <c r="Q399">
        <v>10051704</v>
      </c>
      <c r="R399" t="s">
        <v>58</v>
      </c>
      <c r="S399" t="s">
        <v>66</v>
      </c>
    </row>
    <row r="400" spans="3:19" x14ac:dyDescent="0.25">
      <c r="C400">
        <v>3123148</v>
      </c>
      <c r="D400" s="3" t="s">
        <v>22</v>
      </c>
      <c r="E400" s="3">
        <v>2</v>
      </c>
      <c r="F400" s="3" t="s">
        <v>34</v>
      </c>
      <c r="G400" s="3" t="s">
        <v>186</v>
      </c>
      <c r="H400" s="3">
        <v>20</v>
      </c>
      <c r="I400" s="3" t="s">
        <v>19</v>
      </c>
      <c r="J400" s="3">
        <f t="shared" si="6"/>
        <v>0.33333333333333331</v>
      </c>
      <c r="K400" s="3" t="s">
        <v>20</v>
      </c>
      <c r="L400" t="s">
        <v>55</v>
      </c>
      <c r="M400" t="s">
        <v>55</v>
      </c>
      <c r="N400" s="1">
        <v>0.64583333333333337</v>
      </c>
      <c r="O400" s="1">
        <v>0.65972222222222221</v>
      </c>
      <c r="P400" s="3">
        <v>4000113444</v>
      </c>
      <c r="Q400">
        <v>10051778</v>
      </c>
      <c r="R400" t="s">
        <v>36</v>
      </c>
      <c r="S400" t="s">
        <v>43</v>
      </c>
    </row>
    <row r="401" spans="3:19" x14ac:dyDescent="0.25">
      <c r="C401">
        <v>3134108</v>
      </c>
      <c r="D401" s="3" t="s">
        <v>22</v>
      </c>
      <c r="E401" s="3">
        <v>1</v>
      </c>
      <c r="F401" s="3" t="s">
        <v>34</v>
      </c>
      <c r="G401" s="3" t="s">
        <v>186</v>
      </c>
      <c r="H401" s="3">
        <v>30</v>
      </c>
      <c r="I401" s="3" t="s">
        <v>19</v>
      </c>
      <c r="J401" s="3">
        <f t="shared" si="6"/>
        <v>0.5</v>
      </c>
      <c r="K401" s="3" t="s">
        <v>20</v>
      </c>
      <c r="L401" t="s">
        <v>55</v>
      </c>
      <c r="M401" t="s">
        <v>55</v>
      </c>
      <c r="N401" s="1">
        <v>0.5625</v>
      </c>
      <c r="O401" s="1">
        <v>0.58333333333333337</v>
      </c>
      <c r="P401" s="3">
        <v>4000114867</v>
      </c>
      <c r="Q401">
        <v>10051230</v>
      </c>
      <c r="R401" t="s">
        <v>31</v>
      </c>
      <c r="S401" t="s">
        <v>46</v>
      </c>
    </row>
    <row r="402" spans="3:19" x14ac:dyDescent="0.25">
      <c r="C402">
        <v>3134111</v>
      </c>
      <c r="D402" s="3" t="s">
        <v>22</v>
      </c>
      <c r="E402" s="3">
        <v>2</v>
      </c>
      <c r="F402" s="3" t="s">
        <v>34</v>
      </c>
      <c r="G402" s="3" t="s">
        <v>186</v>
      </c>
      <c r="H402" s="3">
        <v>30</v>
      </c>
      <c r="I402" s="3" t="s">
        <v>19</v>
      </c>
      <c r="J402" s="3">
        <f t="shared" si="6"/>
        <v>0.5</v>
      </c>
      <c r="K402" s="3" t="s">
        <v>20</v>
      </c>
      <c r="L402" t="s">
        <v>55</v>
      </c>
      <c r="M402" t="s">
        <v>55</v>
      </c>
      <c r="N402" s="1">
        <v>0.58333333333333337</v>
      </c>
      <c r="O402" s="1">
        <v>0.60416666666666663</v>
      </c>
      <c r="P402" s="3">
        <v>4000114870</v>
      </c>
      <c r="Q402">
        <v>10049589</v>
      </c>
      <c r="R402" t="s">
        <v>31</v>
      </c>
      <c r="S402" t="s">
        <v>32</v>
      </c>
    </row>
    <row r="403" spans="3:19" x14ac:dyDescent="0.25">
      <c r="C403">
        <v>3134112</v>
      </c>
      <c r="D403" s="3" t="s">
        <v>22</v>
      </c>
      <c r="E403" s="3">
        <v>2</v>
      </c>
      <c r="F403" s="3" t="s">
        <v>34</v>
      </c>
      <c r="G403" s="3" t="s">
        <v>186</v>
      </c>
      <c r="H403" s="3">
        <v>20</v>
      </c>
      <c r="I403" s="3" t="s">
        <v>19</v>
      </c>
      <c r="J403" s="3">
        <f t="shared" si="6"/>
        <v>0.33333333333333331</v>
      </c>
      <c r="K403" s="3" t="s">
        <v>20</v>
      </c>
      <c r="L403" t="s">
        <v>55</v>
      </c>
      <c r="M403" t="s">
        <v>55</v>
      </c>
      <c r="N403" s="1">
        <v>0.60416666666666663</v>
      </c>
      <c r="O403" s="1">
        <v>0.61805555555555558</v>
      </c>
      <c r="P403" s="3">
        <v>4000114871</v>
      </c>
      <c r="Q403">
        <v>10049598</v>
      </c>
      <c r="R403" t="s">
        <v>31</v>
      </c>
      <c r="S403" t="s">
        <v>65</v>
      </c>
    </row>
    <row r="404" spans="3:19" x14ac:dyDescent="0.25">
      <c r="C404">
        <v>3132485</v>
      </c>
      <c r="D404" s="3" t="s">
        <v>28</v>
      </c>
      <c r="E404" s="3">
        <v>1</v>
      </c>
      <c r="F404" s="3" t="s">
        <v>34</v>
      </c>
      <c r="G404" s="3" t="s">
        <v>186</v>
      </c>
      <c r="H404" s="3">
        <v>20</v>
      </c>
      <c r="I404" s="3" t="s">
        <v>19</v>
      </c>
      <c r="J404" s="3">
        <f t="shared" si="6"/>
        <v>0.33333333333333331</v>
      </c>
      <c r="K404" s="3" t="s">
        <v>20</v>
      </c>
      <c r="L404" t="s">
        <v>22</v>
      </c>
      <c r="M404" t="s">
        <v>22</v>
      </c>
      <c r="N404" s="1">
        <v>0.33333333333333331</v>
      </c>
      <c r="O404" s="1">
        <v>0.34722222222222227</v>
      </c>
      <c r="P404" s="3">
        <v>4000114043</v>
      </c>
      <c r="Q404">
        <v>10051396</v>
      </c>
      <c r="R404" t="s">
        <v>36</v>
      </c>
      <c r="S404" t="s">
        <v>32</v>
      </c>
    </row>
    <row r="405" spans="3:19" x14ac:dyDescent="0.25">
      <c r="C405">
        <v>3112706</v>
      </c>
      <c r="D405" s="3" t="s">
        <v>28</v>
      </c>
      <c r="E405" s="3">
        <v>1</v>
      </c>
      <c r="F405" s="3" t="s">
        <v>34</v>
      </c>
      <c r="G405" s="3" t="s">
        <v>186</v>
      </c>
      <c r="H405" s="3">
        <v>120</v>
      </c>
      <c r="I405" s="3" t="s">
        <v>19</v>
      </c>
      <c r="J405" s="3">
        <f t="shared" si="6"/>
        <v>2</v>
      </c>
      <c r="K405" s="3" t="s">
        <v>20</v>
      </c>
      <c r="L405" t="s">
        <v>67</v>
      </c>
      <c r="M405" t="s">
        <v>67</v>
      </c>
      <c r="N405" s="1">
        <v>0.33333333333333331</v>
      </c>
      <c r="O405" s="1">
        <v>0.41666666666666669</v>
      </c>
      <c r="P405" s="3">
        <v>4000108534</v>
      </c>
      <c r="Q405">
        <v>10049361</v>
      </c>
      <c r="R405" t="s">
        <v>36</v>
      </c>
      <c r="S405" t="s">
        <v>68</v>
      </c>
    </row>
    <row r="406" spans="3:19" x14ac:dyDescent="0.25">
      <c r="C406">
        <v>3114091</v>
      </c>
      <c r="D406" s="3" t="s">
        <v>28</v>
      </c>
      <c r="E406" s="3">
        <v>1</v>
      </c>
      <c r="F406" s="3" t="s">
        <v>34</v>
      </c>
      <c r="G406" s="3" t="s">
        <v>186</v>
      </c>
      <c r="H406" s="3">
        <v>120</v>
      </c>
      <c r="I406" s="3" t="s">
        <v>19</v>
      </c>
      <c r="J406" s="3">
        <f t="shared" si="6"/>
        <v>2</v>
      </c>
      <c r="K406" s="3" t="s">
        <v>20</v>
      </c>
      <c r="L406" t="s">
        <v>67</v>
      </c>
      <c r="M406" t="s">
        <v>67</v>
      </c>
      <c r="N406" s="1">
        <v>0.54166666666666663</v>
      </c>
      <c r="O406" s="1">
        <v>0.625</v>
      </c>
      <c r="P406" s="3">
        <v>4000109519</v>
      </c>
      <c r="Q406">
        <v>10051443</v>
      </c>
      <c r="R406" t="s">
        <v>36</v>
      </c>
      <c r="S406" t="s">
        <v>69</v>
      </c>
    </row>
    <row r="407" spans="3:19" x14ac:dyDescent="0.25">
      <c r="C407">
        <v>3118388</v>
      </c>
      <c r="D407" s="3" t="s">
        <v>28</v>
      </c>
      <c r="E407" s="3">
        <v>1</v>
      </c>
      <c r="F407" s="3" t="s">
        <v>34</v>
      </c>
      <c r="G407" s="3" t="s">
        <v>186</v>
      </c>
      <c r="H407" s="3">
        <v>120</v>
      </c>
      <c r="I407" s="3" t="s">
        <v>19</v>
      </c>
      <c r="J407" s="3">
        <f t="shared" si="6"/>
        <v>2</v>
      </c>
      <c r="K407" s="3" t="s">
        <v>20</v>
      </c>
      <c r="L407" t="s">
        <v>67</v>
      </c>
      <c r="M407" t="s">
        <v>67</v>
      </c>
      <c r="N407" s="1">
        <v>0.41666666666666669</v>
      </c>
      <c r="O407" s="1">
        <v>0.5</v>
      </c>
      <c r="P407" s="3">
        <v>4000111412</v>
      </c>
      <c r="Q407">
        <v>10051778</v>
      </c>
      <c r="R407" t="s">
        <v>36</v>
      </c>
      <c r="S407" t="s">
        <v>70</v>
      </c>
    </row>
    <row r="408" spans="3:19" x14ac:dyDescent="0.25">
      <c r="C408">
        <v>3134132</v>
      </c>
      <c r="D408" s="3" t="s">
        <v>28</v>
      </c>
      <c r="E408" s="3">
        <v>1</v>
      </c>
      <c r="F408" s="3" t="s">
        <v>34</v>
      </c>
      <c r="G408" s="3" t="s">
        <v>186</v>
      </c>
      <c r="H408" s="3">
        <v>60</v>
      </c>
      <c r="I408" s="3" t="s">
        <v>19</v>
      </c>
      <c r="J408" s="3">
        <f t="shared" si="6"/>
        <v>1</v>
      </c>
      <c r="K408" s="3" t="s">
        <v>20</v>
      </c>
      <c r="L408" t="s">
        <v>67</v>
      </c>
      <c r="M408" t="s">
        <v>67</v>
      </c>
      <c r="N408" s="1">
        <v>0.33333333333333331</v>
      </c>
      <c r="O408" s="1">
        <v>0.375</v>
      </c>
      <c r="P408" s="3">
        <v>4000114888</v>
      </c>
      <c r="Q408">
        <v>10051548</v>
      </c>
      <c r="R408" t="s">
        <v>57</v>
      </c>
      <c r="S408" t="s">
        <v>32</v>
      </c>
    </row>
    <row r="409" spans="3:19" x14ac:dyDescent="0.25">
      <c r="C409">
        <v>3134133</v>
      </c>
      <c r="D409" s="3" t="s">
        <v>28</v>
      </c>
      <c r="E409" s="3">
        <v>1</v>
      </c>
      <c r="F409" s="3" t="s">
        <v>34</v>
      </c>
      <c r="G409" s="3" t="s">
        <v>186</v>
      </c>
      <c r="H409" s="3">
        <v>30</v>
      </c>
      <c r="I409" s="3" t="s">
        <v>19</v>
      </c>
      <c r="J409" s="3">
        <f t="shared" si="6"/>
        <v>0.5</v>
      </c>
      <c r="K409" s="3" t="s">
        <v>20</v>
      </c>
      <c r="L409" t="s">
        <v>67</v>
      </c>
      <c r="M409" t="s">
        <v>67</v>
      </c>
      <c r="N409" s="1">
        <v>0.39583333333333331</v>
      </c>
      <c r="O409" s="1">
        <v>0.41666666666666669</v>
      </c>
      <c r="P409" s="3">
        <v>4000114889</v>
      </c>
      <c r="Q409">
        <v>10051548</v>
      </c>
      <c r="R409" t="s">
        <v>57</v>
      </c>
      <c r="S409" t="s">
        <v>32</v>
      </c>
    </row>
    <row r="410" spans="3:19" x14ac:dyDescent="0.25">
      <c r="C410">
        <v>3134138</v>
      </c>
      <c r="D410" s="3" t="s">
        <v>28</v>
      </c>
      <c r="E410" s="3">
        <v>2</v>
      </c>
      <c r="F410" s="3" t="s">
        <v>34</v>
      </c>
      <c r="G410" s="3" t="s">
        <v>186</v>
      </c>
      <c r="H410" s="3">
        <v>30</v>
      </c>
      <c r="I410" s="3" t="s">
        <v>19</v>
      </c>
      <c r="J410" s="3">
        <f t="shared" si="6"/>
        <v>0.5</v>
      </c>
      <c r="K410" s="3" t="s">
        <v>20</v>
      </c>
      <c r="L410" t="s">
        <v>67</v>
      </c>
      <c r="M410" t="s">
        <v>67</v>
      </c>
      <c r="N410" s="1">
        <v>0.39583333333333331</v>
      </c>
      <c r="O410" s="1">
        <v>0.41666666666666669</v>
      </c>
      <c r="P410" s="3">
        <v>4000114891</v>
      </c>
      <c r="Q410">
        <v>10049465</v>
      </c>
      <c r="R410" t="s">
        <v>57</v>
      </c>
      <c r="S410" t="s">
        <v>32</v>
      </c>
    </row>
    <row r="411" spans="3:19" x14ac:dyDescent="0.25">
      <c r="C411">
        <v>3134255</v>
      </c>
      <c r="D411" s="3" t="s">
        <v>28</v>
      </c>
      <c r="E411" s="3">
        <v>1</v>
      </c>
      <c r="F411" s="3" t="s">
        <v>34</v>
      </c>
      <c r="G411" s="3" t="s">
        <v>186</v>
      </c>
      <c r="H411" s="3">
        <v>60</v>
      </c>
      <c r="I411" s="3" t="s">
        <v>19</v>
      </c>
      <c r="J411" s="3">
        <f t="shared" si="6"/>
        <v>1</v>
      </c>
      <c r="K411" s="3" t="s">
        <v>20</v>
      </c>
      <c r="L411" t="s">
        <v>67</v>
      </c>
      <c r="M411" t="s">
        <v>67</v>
      </c>
      <c r="N411" s="1">
        <v>0.41666666666666669</v>
      </c>
      <c r="O411" s="1">
        <v>0.45833333333333331</v>
      </c>
      <c r="P411" s="3">
        <v>4000115001</v>
      </c>
      <c r="Q411">
        <v>10049372</v>
      </c>
      <c r="R411" t="s">
        <v>36</v>
      </c>
      <c r="S411" t="s">
        <v>71</v>
      </c>
    </row>
    <row r="412" spans="3:19" x14ac:dyDescent="0.25">
      <c r="C412">
        <v>3134263</v>
      </c>
      <c r="D412" s="3" t="s">
        <v>28</v>
      </c>
      <c r="E412" s="3">
        <v>1</v>
      </c>
      <c r="F412" s="3" t="s">
        <v>34</v>
      </c>
      <c r="G412" s="3" t="s">
        <v>186</v>
      </c>
      <c r="H412" s="3">
        <v>30</v>
      </c>
      <c r="I412" s="3" t="s">
        <v>19</v>
      </c>
      <c r="J412" s="3">
        <f t="shared" si="6"/>
        <v>0.5</v>
      </c>
      <c r="K412" s="3" t="s">
        <v>20</v>
      </c>
      <c r="L412" t="s">
        <v>67</v>
      </c>
      <c r="M412" t="s">
        <v>67</v>
      </c>
      <c r="N412" s="1">
        <v>0.375</v>
      </c>
      <c r="O412" s="1">
        <v>0.39583333333333331</v>
      </c>
      <c r="P412" s="3">
        <v>4000115009</v>
      </c>
      <c r="Q412">
        <v>10049578</v>
      </c>
      <c r="R412" t="s">
        <v>58</v>
      </c>
      <c r="S412" t="s">
        <v>72</v>
      </c>
    </row>
    <row r="413" spans="3:19" x14ac:dyDescent="0.25">
      <c r="C413">
        <v>3112747</v>
      </c>
      <c r="D413" s="3" t="s">
        <v>33</v>
      </c>
      <c r="E413" s="3">
        <v>2</v>
      </c>
      <c r="F413" s="3" t="s">
        <v>18</v>
      </c>
      <c r="G413" s="3" t="s">
        <v>188</v>
      </c>
      <c r="H413" s="3">
        <v>40</v>
      </c>
      <c r="I413" s="3" t="s">
        <v>19</v>
      </c>
      <c r="J413" s="3">
        <f t="shared" si="6"/>
        <v>0.66666666666666663</v>
      </c>
      <c r="K413" s="3" t="s">
        <v>20</v>
      </c>
      <c r="L413" t="s">
        <v>51</v>
      </c>
      <c r="M413" t="s">
        <v>51</v>
      </c>
      <c r="N413" s="1">
        <v>0.70833333333333337</v>
      </c>
      <c r="O413" s="1">
        <v>0.73611111111111116</v>
      </c>
      <c r="P413" s="3">
        <v>4000108575</v>
      </c>
      <c r="Q413">
        <v>10051311</v>
      </c>
      <c r="R413" t="s">
        <v>138</v>
      </c>
      <c r="S413" t="s">
        <v>139</v>
      </c>
    </row>
    <row r="414" spans="3:19" x14ac:dyDescent="0.25">
      <c r="C414">
        <v>3112756</v>
      </c>
      <c r="D414" s="3" t="s">
        <v>33</v>
      </c>
      <c r="E414" s="3">
        <v>1</v>
      </c>
      <c r="F414" s="3" t="s">
        <v>18</v>
      </c>
      <c r="G414" s="3" t="s">
        <v>188</v>
      </c>
      <c r="H414" s="3">
        <v>1.5</v>
      </c>
      <c r="I414" s="3" t="s">
        <v>129</v>
      </c>
      <c r="J414" s="3">
        <f>H414*60</f>
        <v>90</v>
      </c>
      <c r="K414" s="3" t="s">
        <v>20</v>
      </c>
      <c r="L414" t="s">
        <v>51</v>
      </c>
      <c r="M414" t="s">
        <v>51</v>
      </c>
      <c r="N414" s="1">
        <v>0.70833333333333337</v>
      </c>
      <c r="O414" s="1">
        <v>0.72916666666666663</v>
      </c>
      <c r="P414" s="3">
        <v>4000108584</v>
      </c>
      <c r="Q414">
        <v>10051309</v>
      </c>
      <c r="R414" t="s">
        <v>138</v>
      </c>
      <c r="S414" t="s">
        <v>139</v>
      </c>
    </row>
    <row r="415" spans="3:19" x14ac:dyDescent="0.25">
      <c r="C415">
        <v>3137265</v>
      </c>
      <c r="D415" s="3" t="s">
        <v>22</v>
      </c>
      <c r="E415" s="3">
        <v>2</v>
      </c>
      <c r="F415" s="3" t="s">
        <v>137</v>
      </c>
      <c r="G415" s="3" t="s">
        <v>188</v>
      </c>
      <c r="H415" s="3">
        <v>20</v>
      </c>
      <c r="I415" s="3" t="s">
        <v>19</v>
      </c>
      <c r="J415" s="3">
        <f t="shared" si="6"/>
        <v>0.33333333333333331</v>
      </c>
      <c r="K415" s="3" t="s">
        <v>20</v>
      </c>
      <c r="L415" t="s">
        <v>33</v>
      </c>
      <c r="M415" t="s">
        <v>33</v>
      </c>
      <c r="N415" s="1">
        <v>0.1875</v>
      </c>
      <c r="O415" s="1">
        <v>0.20138888888888887</v>
      </c>
      <c r="P415" s="3">
        <v>4000116342</v>
      </c>
      <c r="Q415">
        <v>10055734</v>
      </c>
      <c r="R415" t="s">
        <v>140</v>
      </c>
      <c r="S415" t="s">
        <v>141</v>
      </c>
    </row>
    <row r="416" spans="3:19" x14ac:dyDescent="0.25">
      <c r="C416">
        <v>3122793</v>
      </c>
      <c r="D416" s="3" t="s">
        <v>33</v>
      </c>
      <c r="E416" s="3">
        <v>1</v>
      </c>
      <c r="F416" s="3" t="s">
        <v>106</v>
      </c>
      <c r="G416" s="3" t="s">
        <v>188</v>
      </c>
      <c r="H416" s="3">
        <v>1.9</v>
      </c>
      <c r="I416" s="3" t="s">
        <v>129</v>
      </c>
      <c r="J416" s="3">
        <f>H416*60</f>
        <v>114</v>
      </c>
      <c r="K416" s="3" t="s">
        <v>20</v>
      </c>
      <c r="L416" t="s">
        <v>109</v>
      </c>
      <c r="M416" t="s">
        <v>109</v>
      </c>
      <c r="N416" s="1">
        <v>0.35416666666666669</v>
      </c>
      <c r="O416" s="1">
        <v>0.3888888888888889</v>
      </c>
      <c r="P416" s="3">
        <v>4000113395</v>
      </c>
      <c r="Q416">
        <v>10051503</v>
      </c>
      <c r="R416" t="s">
        <v>53</v>
      </c>
      <c r="S416" t="s">
        <v>142</v>
      </c>
    </row>
    <row r="417" spans="3:19" x14ac:dyDescent="0.25">
      <c r="C417">
        <v>3122793</v>
      </c>
      <c r="D417" s="3" t="s">
        <v>17</v>
      </c>
      <c r="E417" s="3">
        <v>3</v>
      </c>
      <c r="F417" s="3" t="s">
        <v>106</v>
      </c>
      <c r="G417" s="3" t="s">
        <v>188</v>
      </c>
      <c r="H417" s="3">
        <v>40</v>
      </c>
      <c r="I417" s="3" t="s">
        <v>19</v>
      </c>
      <c r="J417" s="3">
        <f t="shared" si="6"/>
        <v>0.66666666666666663</v>
      </c>
      <c r="K417" s="3" t="s">
        <v>20</v>
      </c>
      <c r="L417" t="s">
        <v>33</v>
      </c>
      <c r="M417" t="s">
        <v>33</v>
      </c>
      <c r="N417" s="1">
        <v>0.88194444444444453</v>
      </c>
      <c r="O417" s="1">
        <v>0.90277777777777779</v>
      </c>
      <c r="P417" s="3">
        <v>4000113395</v>
      </c>
      <c r="Q417">
        <v>10051503</v>
      </c>
      <c r="R417" t="s">
        <v>53</v>
      </c>
      <c r="S417" t="s">
        <v>123</v>
      </c>
    </row>
    <row r="418" spans="3:19" x14ac:dyDescent="0.25">
      <c r="C418">
        <v>3134254</v>
      </c>
      <c r="D418" s="3" t="s">
        <v>28</v>
      </c>
      <c r="E418" s="3">
        <v>1</v>
      </c>
      <c r="F418" s="3" t="s">
        <v>106</v>
      </c>
      <c r="G418" s="3" t="s">
        <v>188</v>
      </c>
      <c r="H418" s="3">
        <v>20</v>
      </c>
      <c r="I418" s="3" t="s">
        <v>19</v>
      </c>
      <c r="J418" s="3">
        <f t="shared" si="6"/>
        <v>0.33333333333333331</v>
      </c>
      <c r="K418" s="3" t="s">
        <v>20</v>
      </c>
      <c r="L418" t="s">
        <v>67</v>
      </c>
      <c r="M418" t="s">
        <v>67</v>
      </c>
      <c r="N418" s="1">
        <v>0.47222222222222227</v>
      </c>
      <c r="O418" s="1">
        <v>0.4861111111111111</v>
      </c>
      <c r="P418" s="3">
        <v>4000115000</v>
      </c>
      <c r="Q418">
        <v>10051503</v>
      </c>
      <c r="R418" t="s">
        <v>53</v>
      </c>
      <c r="S418" t="s">
        <v>143</v>
      </c>
    </row>
    <row r="419" spans="3:19" x14ac:dyDescent="0.25">
      <c r="C419">
        <v>3118331</v>
      </c>
      <c r="D419" s="3" t="s">
        <v>33</v>
      </c>
      <c r="E419" s="3">
        <v>1</v>
      </c>
      <c r="F419" s="3" t="s">
        <v>29</v>
      </c>
      <c r="G419" s="3" t="s">
        <v>188</v>
      </c>
      <c r="H419" s="3">
        <v>20</v>
      </c>
      <c r="I419" s="3" t="s">
        <v>19</v>
      </c>
      <c r="J419" s="3">
        <f t="shared" si="6"/>
        <v>0.33333333333333331</v>
      </c>
      <c r="K419" s="3" t="s">
        <v>20</v>
      </c>
      <c r="L419" t="s">
        <v>73</v>
      </c>
      <c r="M419" t="s">
        <v>73</v>
      </c>
      <c r="N419" s="1">
        <v>0.375</v>
      </c>
      <c r="O419" s="1">
        <v>0.3888888888888889</v>
      </c>
      <c r="P419" s="3">
        <v>4000111355</v>
      </c>
      <c r="Q419">
        <v>10049399</v>
      </c>
      <c r="R419" t="s">
        <v>53</v>
      </c>
      <c r="S419" t="s">
        <v>101</v>
      </c>
    </row>
    <row r="420" spans="3:19" x14ac:dyDescent="0.25">
      <c r="C420">
        <v>3118358</v>
      </c>
      <c r="D420" s="3" t="s">
        <v>33</v>
      </c>
      <c r="E420" s="3">
        <v>1</v>
      </c>
      <c r="F420" s="3" t="s">
        <v>29</v>
      </c>
      <c r="G420" s="3" t="s">
        <v>188</v>
      </c>
      <c r="H420" s="3">
        <v>40</v>
      </c>
      <c r="I420" s="3" t="s">
        <v>19</v>
      </c>
      <c r="J420" s="3">
        <f t="shared" si="6"/>
        <v>0.66666666666666663</v>
      </c>
      <c r="K420" s="3" t="s">
        <v>20</v>
      </c>
      <c r="L420" t="s">
        <v>73</v>
      </c>
      <c r="M420" t="s">
        <v>73</v>
      </c>
      <c r="N420" s="1">
        <v>0.39583333333333331</v>
      </c>
      <c r="O420" s="1">
        <v>0.40972222222222227</v>
      </c>
      <c r="P420" s="3">
        <v>4000111382</v>
      </c>
      <c r="Q420">
        <v>10051481</v>
      </c>
      <c r="R420" t="s">
        <v>53</v>
      </c>
      <c r="S420" t="s">
        <v>144</v>
      </c>
    </row>
    <row r="421" spans="3:19" x14ac:dyDescent="0.25">
      <c r="C421">
        <v>3120243</v>
      </c>
      <c r="D421" s="3" t="s">
        <v>33</v>
      </c>
      <c r="E421" s="3">
        <v>1</v>
      </c>
      <c r="F421" s="3" t="s">
        <v>29</v>
      </c>
      <c r="G421" s="3" t="s">
        <v>188</v>
      </c>
      <c r="H421" s="3">
        <v>30</v>
      </c>
      <c r="I421" s="3" t="s">
        <v>19</v>
      </c>
      <c r="J421" s="3">
        <f t="shared" si="6"/>
        <v>0.5</v>
      </c>
      <c r="K421" s="3" t="s">
        <v>20</v>
      </c>
      <c r="L421" t="s">
        <v>73</v>
      </c>
      <c r="M421" t="s">
        <v>73</v>
      </c>
      <c r="N421" s="1">
        <v>0.34722222222222227</v>
      </c>
      <c r="O421" s="1">
        <v>0.35416666666666669</v>
      </c>
      <c r="P421" s="3">
        <v>4000112110</v>
      </c>
      <c r="Q421">
        <v>10049416</v>
      </c>
      <c r="R421" t="s">
        <v>53</v>
      </c>
      <c r="S421" t="s">
        <v>37</v>
      </c>
    </row>
    <row r="422" spans="3:19" x14ac:dyDescent="0.25">
      <c r="C422">
        <v>3120189</v>
      </c>
      <c r="D422" s="3" t="s">
        <v>33</v>
      </c>
      <c r="E422" s="3">
        <v>1</v>
      </c>
      <c r="F422" s="3" t="s">
        <v>29</v>
      </c>
      <c r="G422" s="3" t="s">
        <v>188</v>
      </c>
      <c r="H422" s="3">
        <v>20</v>
      </c>
      <c r="I422" s="3" t="s">
        <v>19</v>
      </c>
      <c r="J422" s="3">
        <f t="shared" si="6"/>
        <v>0.33333333333333331</v>
      </c>
      <c r="K422" s="3" t="s">
        <v>20</v>
      </c>
      <c r="L422" t="s">
        <v>73</v>
      </c>
      <c r="M422" t="s">
        <v>73</v>
      </c>
      <c r="N422" s="1">
        <v>0.33333333333333331</v>
      </c>
      <c r="O422" s="1">
        <v>0.34722222222222227</v>
      </c>
      <c r="P422" s="3">
        <v>4000112666</v>
      </c>
      <c r="Q422">
        <v>10049436</v>
      </c>
      <c r="R422" t="s">
        <v>53</v>
      </c>
      <c r="S422" t="s">
        <v>145</v>
      </c>
    </row>
    <row r="423" spans="3:19" x14ac:dyDescent="0.25">
      <c r="C423">
        <v>3119983</v>
      </c>
      <c r="D423" s="3" t="s">
        <v>33</v>
      </c>
      <c r="E423" s="3">
        <v>1</v>
      </c>
      <c r="F423" s="3" t="s">
        <v>29</v>
      </c>
      <c r="G423" s="3" t="s">
        <v>188</v>
      </c>
      <c r="H423" s="3">
        <v>10</v>
      </c>
      <c r="I423" s="3" t="s">
        <v>19</v>
      </c>
      <c r="J423" s="3">
        <f t="shared" si="6"/>
        <v>0.16666666666666666</v>
      </c>
      <c r="K423" s="3" t="s">
        <v>20</v>
      </c>
      <c r="L423" t="s">
        <v>109</v>
      </c>
      <c r="M423" t="s">
        <v>109</v>
      </c>
      <c r="N423" s="1">
        <v>0.41666666666666669</v>
      </c>
      <c r="O423" s="1">
        <v>0.4236111111111111</v>
      </c>
      <c r="P423" s="3">
        <v>4000112054</v>
      </c>
      <c r="Q423">
        <v>10049416</v>
      </c>
      <c r="R423" t="s">
        <v>53</v>
      </c>
      <c r="S423" t="s">
        <v>123</v>
      </c>
    </row>
    <row r="424" spans="3:19" x14ac:dyDescent="0.25">
      <c r="C424">
        <v>3120210</v>
      </c>
      <c r="D424" s="3" t="s">
        <v>33</v>
      </c>
      <c r="E424" s="3">
        <v>1</v>
      </c>
      <c r="F424" s="3" t="s">
        <v>29</v>
      </c>
      <c r="G424" s="3" t="s">
        <v>188</v>
      </c>
      <c r="H424" s="3">
        <v>20</v>
      </c>
      <c r="I424" s="3" t="s">
        <v>19</v>
      </c>
      <c r="J424" s="3">
        <f t="shared" si="6"/>
        <v>0.33333333333333331</v>
      </c>
      <c r="K424" s="3" t="s">
        <v>20</v>
      </c>
      <c r="L424" t="s">
        <v>109</v>
      </c>
      <c r="M424" t="s">
        <v>109</v>
      </c>
      <c r="N424" s="1">
        <v>0.4236111111111111</v>
      </c>
      <c r="O424" s="1">
        <v>0.43055555555555558</v>
      </c>
      <c r="P424" s="3">
        <v>4000112080</v>
      </c>
      <c r="Q424">
        <v>10049399</v>
      </c>
      <c r="R424" t="s">
        <v>53</v>
      </c>
      <c r="S424" t="s">
        <v>123</v>
      </c>
    </row>
    <row r="425" spans="3:19" x14ac:dyDescent="0.25">
      <c r="C425">
        <v>3122005</v>
      </c>
      <c r="D425" s="3" t="s">
        <v>22</v>
      </c>
      <c r="E425" s="3">
        <v>4</v>
      </c>
      <c r="F425" s="3" t="s">
        <v>29</v>
      </c>
      <c r="G425" s="3" t="s">
        <v>188</v>
      </c>
      <c r="H425" s="3">
        <v>20</v>
      </c>
      <c r="I425" s="3" t="s">
        <v>19</v>
      </c>
      <c r="J425" s="3">
        <f t="shared" si="6"/>
        <v>0.33333333333333331</v>
      </c>
      <c r="K425" s="3" t="s">
        <v>20</v>
      </c>
      <c r="L425" t="s">
        <v>24</v>
      </c>
      <c r="M425" t="s">
        <v>24</v>
      </c>
      <c r="N425" s="1">
        <v>0.84722222222222221</v>
      </c>
      <c r="O425" s="1">
        <v>0.86111111111111116</v>
      </c>
      <c r="P425" s="3">
        <v>4000112702</v>
      </c>
      <c r="Q425">
        <v>10049427</v>
      </c>
      <c r="R425" t="s">
        <v>53</v>
      </c>
      <c r="S425" t="s">
        <v>147</v>
      </c>
    </row>
    <row r="426" spans="3:19" x14ac:dyDescent="0.25">
      <c r="C426">
        <v>3120192</v>
      </c>
      <c r="D426" s="3" t="s">
        <v>17</v>
      </c>
      <c r="E426" s="3">
        <v>1</v>
      </c>
      <c r="F426" s="3" t="s">
        <v>29</v>
      </c>
      <c r="G426" s="3" t="s">
        <v>188</v>
      </c>
      <c r="H426" s="3">
        <v>30</v>
      </c>
      <c r="I426" s="3" t="s">
        <v>19</v>
      </c>
      <c r="J426" s="3">
        <f t="shared" si="6"/>
        <v>0.5</v>
      </c>
      <c r="K426" s="3" t="s">
        <v>20</v>
      </c>
      <c r="L426" t="s">
        <v>33</v>
      </c>
      <c r="M426" t="s">
        <v>33</v>
      </c>
      <c r="N426" s="1">
        <v>0.83333333333333337</v>
      </c>
      <c r="O426" s="1">
        <v>0.85416666666666663</v>
      </c>
      <c r="P426" s="3">
        <v>4000112669</v>
      </c>
      <c r="Q426">
        <v>10051488</v>
      </c>
      <c r="R426" t="s">
        <v>53</v>
      </c>
      <c r="S426" t="s">
        <v>133</v>
      </c>
    </row>
    <row r="427" spans="3:19" x14ac:dyDescent="0.25">
      <c r="C427">
        <v>3120198</v>
      </c>
      <c r="D427" s="3" t="s">
        <v>17</v>
      </c>
      <c r="E427" s="3">
        <v>1</v>
      </c>
      <c r="F427" s="3" t="s">
        <v>29</v>
      </c>
      <c r="G427" s="3" t="s">
        <v>188</v>
      </c>
      <c r="H427" s="3">
        <v>20</v>
      </c>
      <c r="I427" s="3" t="s">
        <v>19</v>
      </c>
      <c r="J427" s="3">
        <f t="shared" si="6"/>
        <v>0.33333333333333331</v>
      </c>
      <c r="K427" s="3" t="s">
        <v>20</v>
      </c>
      <c r="L427" t="s">
        <v>33</v>
      </c>
      <c r="M427" t="s">
        <v>33</v>
      </c>
      <c r="N427" s="1">
        <v>0.81944444444444453</v>
      </c>
      <c r="O427" s="1">
        <v>0.83333333333333337</v>
      </c>
      <c r="P427" s="3">
        <v>4000112675</v>
      </c>
      <c r="Q427">
        <v>10051481</v>
      </c>
      <c r="R427" t="s">
        <v>53</v>
      </c>
      <c r="S427" t="s">
        <v>133</v>
      </c>
    </row>
    <row r="428" spans="3:19" x14ac:dyDescent="0.25">
      <c r="C428">
        <v>3122005</v>
      </c>
      <c r="D428" s="3" t="s">
        <v>17</v>
      </c>
      <c r="E428" s="3">
        <v>1</v>
      </c>
      <c r="F428" s="3" t="s">
        <v>29</v>
      </c>
      <c r="G428" s="3" t="s">
        <v>188</v>
      </c>
      <c r="H428" s="3">
        <v>25</v>
      </c>
      <c r="I428" s="3" t="s">
        <v>19</v>
      </c>
      <c r="J428" s="3">
        <f t="shared" si="6"/>
        <v>0.41666666666666669</v>
      </c>
      <c r="K428" s="3" t="s">
        <v>20</v>
      </c>
      <c r="L428" t="s">
        <v>33</v>
      </c>
      <c r="M428" t="s">
        <v>33</v>
      </c>
      <c r="N428" s="1">
        <v>0.85416666666666663</v>
      </c>
      <c r="O428" s="1">
        <v>0.86458333333333337</v>
      </c>
      <c r="P428" s="3">
        <v>4000112702</v>
      </c>
      <c r="Q428">
        <v>10049427</v>
      </c>
      <c r="R428" t="s">
        <v>53</v>
      </c>
      <c r="S428" t="s">
        <v>123</v>
      </c>
    </row>
    <row r="429" spans="3:19" x14ac:dyDescent="0.25">
      <c r="C429">
        <v>3122787</v>
      </c>
      <c r="D429" s="3" t="s">
        <v>17</v>
      </c>
      <c r="E429" s="3">
        <v>1</v>
      </c>
      <c r="F429" s="3" t="s">
        <v>29</v>
      </c>
      <c r="G429" s="3" t="s">
        <v>188</v>
      </c>
      <c r="H429" s="3">
        <v>10</v>
      </c>
      <c r="I429" s="3" t="s">
        <v>19</v>
      </c>
      <c r="J429" s="3">
        <f t="shared" si="6"/>
        <v>0.16666666666666666</v>
      </c>
      <c r="K429" s="3" t="s">
        <v>20</v>
      </c>
      <c r="L429" t="s">
        <v>33</v>
      </c>
      <c r="M429" t="s">
        <v>33</v>
      </c>
      <c r="N429" s="1">
        <v>0.875</v>
      </c>
      <c r="O429" s="1">
        <v>0.90972222222222221</v>
      </c>
      <c r="P429" s="3">
        <v>4000113389</v>
      </c>
      <c r="Q429">
        <v>10051493</v>
      </c>
      <c r="R429" t="s">
        <v>53</v>
      </c>
      <c r="S429" t="s">
        <v>123</v>
      </c>
    </row>
    <row r="430" spans="3:19" x14ac:dyDescent="0.25">
      <c r="C430">
        <v>3132479</v>
      </c>
      <c r="D430" s="3" t="s">
        <v>22</v>
      </c>
      <c r="E430" s="3">
        <v>1</v>
      </c>
      <c r="F430" s="3" t="s">
        <v>29</v>
      </c>
      <c r="G430" s="3" t="s">
        <v>188</v>
      </c>
      <c r="H430" s="3">
        <v>10</v>
      </c>
      <c r="I430" s="3" t="s">
        <v>19</v>
      </c>
      <c r="J430" s="3">
        <f t="shared" si="6"/>
        <v>0.16666666666666666</v>
      </c>
      <c r="K430" s="3" t="s">
        <v>20</v>
      </c>
      <c r="L430" t="s">
        <v>55</v>
      </c>
      <c r="M430" t="s">
        <v>55</v>
      </c>
      <c r="N430" s="1">
        <v>0.83333333333333337</v>
      </c>
      <c r="O430" s="1">
        <v>0.84027777777777779</v>
      </c>
      <c r="P430" s="3">
        <v>4000114017</v>
      </c>
      <c r="Q430">
        <v>10049436</v>
      </c>
      <c r="R430" t="s">
        <v>53</v>
      </c>
      <c r="S430" t="s">
        <v>148</v>
      </c>
    </row>
    <row r="431" spans="3:19" x14ac:dyDescent="0.25">
      <c r="C431">
        <v>3132479</v>
      </c>
      <c r="D431" s="3" t="s">
        <v>22</v>
      </c>
      <c r="E431" s="3">
        <v>2</v>
      </c>
      <c r="F431" s="3" t="s">
        <v>29</v>
      </c>
      <c r="G431" s="3" t="s">
        <v>188</v>
      </c>
      <c r="H431" s="3">
        <v>5</v>
      </c>
      <c r="I431" s="3" t="s">
        <v>19</v>
      </c>
      <c r="J431" s="3">
        <f t="shared" si="6"/>
        <v>8.3333333333333329E-2</v>
      </c>
      <c r="K431" s="3" t="s">
        <v>20</v>
      </c>
      <c r="L431" t="s">
        <v>55</v>
      </c>
      <c r="M431" t="s">
        <v>22</v>
      </c>
      <c r="N431" s="1">
        <v>0.84027777777777779</v>
      </c>
      <c r="O431" s="1">
        <v>0.36069444444444443</v>
      </c>
      <c r="P431" s="3">
        <v>4000114017</v>
      </c>
      <c r="Q431">
        <v>10049436</v>
      </c>
      <c r="R431" t="s">
        <v>53</v>
      </c>
    </row>
    <row r="432" spans="3:19" x14ac:dyDescent="0.25">
      <c r="C432">
        <v>3132480</v>
      </c>
      <c r="D432" s="3" t="s">
        <v>22</v>
      </c>
      <c r="E432" s="3">
        <v>1</v>
      </c>
      <c r="F432" s="3" t="s">
        <v>29</v>
      </c>
      <c r="G432" s="3" t="s">
        <v>188</v>
      </c>
      <c r="H432" s="3">
        <v>10</v>
      </c>
      <c r="I432" s="3" t="s">
        <v>19</v>
      </c>
      <c r="J432" s="3">
        <f t="shared" si="6"/>
        <v>0.16666666666666666</v>
      </c>
      <c r="K432" s="3" t="s">
        <v>20</v>
      </c>
      <c r="L432" t="s">
        <v>55</v>
      </c>
      <c r="M432" t="s">
        <v>55</v>
      </c>
      <c r="N432" s="1">
        <v>0.82638888888888884</v>
      </c>
      <c r="O432" s="1">
        <v>0.83333333333333337</v>
      </c>
      <c r="P432" s="3">
        <v>4000114018</v>
      </c>
      <c r="Q432">
        <v>10049436</v>
      </c>
      <c r="R432" t="s">
        <v>53</v>
      </c>
      <c r="S432" t="s">
        <v>86</v>
      </c>
    </row>
    <row r="433" spans="3:19" x14ac:dyDescent="0.25">
      <c r="C433">
        <v>3132486</v>
      </c>
      <c r="D433" s="3" t="s">
        <v>22</v>
      </c>
      <c r="E433" s="3">
        <v>1</v>
      </c>
      <c r="F433" s="3" t="s">
        <v>29</v>
      </c>
      <c r="G433" s="3" t="s">
        <v>188</v>
      </c>
      <c r="H433" s="3">
        <v>10</v>
      </c>
      <c r="I433" s="3" t="s">
        <v>19</v>
      </c>
      <c r="J433" s="3">
        <f t="shared" si="6"/>
        <v>0.16666666666666666</v>
      </c>
      <c r="K433" s="3" t="s">
        <v>20</v>
      </c>
      <c r="L433" t="s">
        <v>55</v>
      </c>
      <c r="M433" t="s">
        <v>55</v>
      </c>
      <c r="N433" s="1">
        <v>0.84027777777777779</v>
      </c>
      <c r="O433" s="1">
        <v>0.84722222222222221</v>
      </c>
      <c r="P433" s="3">
        <v>4000114044</v>
      </c>
      <c r="Q433">
        <v>10049436</v>
      </c>
      <c r="R433" t="s">
        <v>53</v>
      </c>
      <c r="S433" t="s">
        <v>149</v>
      </c>
    </row>
    <row r="434" spans="3:19" x14ac:dyDescent="0.25">
      <c r="C434">
        <v>3137178</v>
      </c>
      <c r="D434" s="3" t="s">
        <v>22</v>
      </c>
      <c r="E434" s="3">
        <v>1</v>
      </c>
      <c r="F434" s="3" t="s">
        <v>29</v>
      </c>
      <c r="G434" s="3" t="s">
        <v>188</v>
      </c>
      <c r="H434" s="3">
        <v>20</v>
      </c>
      <c r="I434" s="3" t="s">
        <v>19</v>
      </c>
      <c r="J434" s="3">
        <f t="shared" si="6"/>
        <v>0.33333333333333331</v>
      </c>
      <c r="K434" s="3" t="s">
        <v>20</v>
      </c>
      <c r="L434" t="s">
        <v>25</v>
      </c>
      <c r="M434" t="s">
        <v>25</v>
      </c>
      <c r="N434" s="1">
        <v>0.83333333333333337</v>
      </c>
      <c r="O434" s="1">
        <v>0.84722222222222221</v>
      </c>
      <c r="P434" s="3">
        <v>4000115999</v>
      </c>
      <c r="Q434">
        <v>10049436</v>
      </c>
      <c r="R434" t="s">
        <v>53</v>
      </c>
      <c r="S434" t="s">
        <v>150</v>
      </c>
    </row>
    <row r="435" spans="3:19" x14ac:dyDescent="0.25">
      <c r="C435">
        <v>3134184</v>
      </c>
      <c r="D435" s="3" t="s">
        <v>22</v>
      </c>
      <c r="E435" s="3">
        <v>1</v>
      </c>
      <c r="F435" s="3" t="s">
        <v>29</v>
      </c>
      <c r="G435" s="3" t="s">
        <v>188</v>
      </c>
      <c r="H435" s="3">
        <v>10</v>
      </c>
      <c r="I435" s="3" t="s">
        <v>19</v>
      </c>
      <c r="J435" s="3">
        <f t="shared" si="6"/>
        <v>0.16666666666666666</v>
      </c>
      <c r="K435" s="3" t="s">
        <v>20</v>
      </c>
      <c r="L435" t="s">
        <v>22</v>
      </c>
      <c r="M435" t="s">
        <v>22</v>
      </c>
      <c r="N435" s="1">
        <v>0.1875</v>
      </c>
      <c r="O435" s="1">
        <v>0.19444444444444445</v>
      </c>
      <c r="P435" s="3">
        <v>4000114933</v>
      </c>
      <c r="Q435">
        <v>10049436</v>
      </c>
      <c r="R435" t="s">
        <v>53</v>
      </c>
      <c r="S435" t="s">
        <v>151</v>
      </c>
    </row>
    <row r="436" spans="3:19" x14ac:dyDescent="0.25">
      <c r="C436">
        <v>3134185</v>
      </c>
      <c r="D436" s="3" t="s">
        <v>22</v>
      </c>
      <c r="E436" s="3">
        <v>1</v>
      </c>
      <c r="F436" s="3" t="s">
        <v>29</v>
      </c>
      <c r="G436" s="3" t="s">
        <v>188</v>
      </c>
      <c r="H436" s="3">
        <v>30</v>
      </c>
      <c r="I436" s="3" t="s">
        <v>19</v>
      </c>
      <c r="J436" s="3">
        <f t="shared" si="6"/>
        <v>0.5</v>
      </c>
      <c r="K436" s="3" t="s">
        <v>20</v>
      </c>
      <c r="L436" t="s">
        <v>22</v>
      </c>
      <c r="M436" t="s">
        <v>22</v>
      </c>
      <c r="N436" s="1">
        <v>0.16666666666666666</v>
      </c>
      <c r="O436" s="1">
        <v>0.1875</v>
      </c>
      <c r="P436" s="3">
        <v>4000114934</v>
      </c>
      <c r="Q436">
        <v>10049416</v>
      </c>
      <c r="R436" t="s">
        <v>53</v>
      </c>
      <c r="S436" t="s">
        <v>27</v>
      </c>
    </row>
    <row r="437" spans="3:19" x14ac:dyDescent="0.25">
      <c r="C437">
        <v>3132472</v>
      </c>
      <c r="D437" s="3" t="s">
        <v>28</v>
      </c>
      <c r="E437" s="3">
        <v>1</v>
      </c>
      <c r="F437" s="3" t="s">
        <v>29</v>
      </c>
      <c r="G437" s="3" t="s">
        <v>188</v>
      </c>
      <c r="H437" s="3">
        <v>20</v>
      </c>
      <c r="I437" s="3" t="s">
        <v>19</v>
      </c>
      <c r="J437" s="3">
        <f t="shared" si="6"/>
        <v>0.33333333333333331</v>
      </c>
      <c r="K437" s="3" t="s">
        <v>20</v>
      </c>
      <c r="L437" t="s">
        <v>67</v>
      </c>
      <c r="M437" t="s">
        <v>67</v>
      </c>
      <c r="N437" s="1">
        <v>0.4513888888888889</v>
      </c>
      <c r="O437" s="1">
        <v>0.46527777777777773</v>
      </c>
      <c r="P437" s="3">
        <v>4000114010</v>
      </c>
      <c r="Q437">
        <v>10051503</v>
      </c>
      <c r="R437" t="s">
        <v>53</v>
      </c>
      <c r="S437" t="s">
        <v>152</v>
      </c>
    </row>
    <row r="438" spans="3:19" x14ac:dyDescent="0.25">
      <c r="C438">
        <v>3132484</v>
      </c>
      <c r="D438" s="3" t="s">
        <v>28</v>
      </c>
      <c r="E438" s="3">
        <v>1</v>
      </c>
      <c r="F438" s="3" t="s">
        <v>29</v>
      </c>
      <c r="G438" s="3" t="s">
        <v>188</v>
      </c>
      <c r="H438" s="3">
        <v>20</v>
      </c>
      <c r="I438" s="3" t="s">
        <v>19</v>
      </c>
      <c r="J438" s="3">
        <f t="shared" si="6"/>
        <v>0.33333333333333331</v>
      </c>
      <c r="K438" s="3" t="s">
        <v>20</v>
      </c>
      <c r="L438" t="s">
        <v>67</v>
      </c>
      <c r="M438" t="s">
        <v>67</v>
      </c>
      <c r="N438" s="1">
        <v>0.46527777777777773</v>
      </c>
      <c r="O438" s="1">
        <v>0.47916666666666669</v>
      </c>
      <c r="P438" s="3">
        <v>4000114042</v>
      </c>
      <c r="Q438">
        <v>10051503</v>
      </c>
      <c r="R438" t="s">
        <v>53</v>
      </c>
      <c r="S438" t="s">
        <v>96</v>
      </c>
    </row>
    <row r="439" spans="3:19" x14ac:dyDescent="0.25">
      <c r="C439">
        <v>3134174</v>
      </c>
      <c r="D439" s="3" t="s">
        <v>28</v>
      </c>
      <c r="E439" s="3">
        <v>1</v>
      </c>
      <c r="F439" s="3" t="s">
        <v>29</v>
      </c>
      <c r="G439" s="3" t="s">
        <v>188</v>
      </c>
      <c r="H439" s="3">
        <v>1.5</v>
      </c>
      <c r="I439" s="3" t="s">
        <v>129</v>
      </c>
      <c r="J439" s="3">
        <f>H439*60</f>
        <v>90</v>
      </c>
      <c r="K439" s="3" t="s">
        <v>20</v>
      </c>
      <c r="L439" t="s">
        <v>67</v>
      </c>
      <c r="M439" t="s">
        <v>67</v>
      </c>
      <c r="N439" s="1">
        <v>0.59722222222222221</v>
      </c>
      <c r="O439" s="1">
        <v>0.65625</v>
      </c>
      <c r="P439" s="3">
        <v>4000114923</v>
      </c>
      <c r="Q439">
        <v>10049416</v>
      </c>
      <c r="R439" t="s">
        <v>53</v>
      </c>
      <c r="S439" t="s">
        <v>153</v>
      </c>
    </row>
    <row r="440" spans="3:19" x14ac:dyDescent="0.25">
      <c r="C440">
        <v>3134256</v>
      </c>
      <c r="D440" s="3" t="s">
        <v>28</v>
      </c>
      <c r="E440" s="3">
        <v>1</v>
      </c>
      <c r="F440" s="3" t="s">
        <v>29</v>
      </c>
      <c r="G440" s="3" t="s">
        <v>188</v>
      </c>
      <c r="H440" s="3">
        <v>20</v>
      </c>
      <c r="I440" s="3" t="s">
        <v>19</v>
      </c>
      <c r="J440" s="3">
        <f t="shared" si="6"/>
        <v>0.33333333333333331</v>
      </c>
      <c r="K440" s="3" t="s">
        <v>20</v>
      </c>
      <c r="L440" t="s">
        <v>67</v>
      </c>
      <c r="M440" t="s">
        <v>67</v>
      </c>
      <c r="N440" s="1">
        <v>0.34375</v>
      </c>
      <c r="O440" s="1">
        <v>0.35416666666666669</v>
      </c>
      <c r="P440" s="3">
        <v>4000115002</v>
      </c>
      <c r="Q440">
        <v>10051481</v>
      </c>
      <c r="R440" t="s">
        <v>53</v>
      </c>
      <c r="S440" t="s">
        <v>154</v>
      </c>
    </row>
    <row r="441" spans="3:19" x14ac:dyDescent="0.25">
      <c r="C441">
        <v>3137177</v>
      </c>
      <c r="D441" s="3" t="s">
        <v>28</v>
      </c>
      <c r="E441" s="3">
        <v>1</v>
      </c>
      <c r="F441" s="3" t="s">
        <v>29</v>
      </c>
      <c r="G441" s="3" t="s">
        <v>188</v>
      </c>
      <c r="H441" s="3">
        <v>20</v>
      </c>
      <c r="I441" s="3" t="s">
        <v>19</v>
      </c>
      <c r="J441" s="3">
        <f t="shared" si="6"/>
        <v>0.33333333333333331</v>
      </c>
      <c r="K441" s="3" t="s">
        <v>20</v>
      </c>
      <c r="L441" t="s">
        <v>67</v>
      </c>
      <c r="M441" t="s">
        <v>67</v>
      </c>
      <c r="N441" s="1">
        <v>0.4236111111111111</v>
      </c>
      <c r="O441" s="1">
        <v>0.4375</v>
      </c>
      <c r="P441" s="3">
        <v>4000115998</v>
      </c>
      <c r="Q441">
        <v>10051503</v>
      </c>
      <c r="R441" t="s">
        <v>53</v>
      </c>
      <c r="S441" t="s">
        <v>155</v>
      </c>
    </row>
    <row r="442" spans="3:19" x14ac:dyDescent="0.25">
      <c r="C442">
        <v>3028687</v>
      </c>
      <c r="D442" s="3" t="s">
        <v>22</v>
      </c>
      <c r="E442" s="3">
        <v>4</v>
      </c>
      <c r="F442" s="3" t="s">
        <v>18</v>
      </c>
      <c r="G442" s="3" t="s">
        <v>189</v>
      </c>
      <c r="H442" s="3">
        <v>20</v>
      </c>
      <c r="I442" s="3" t="s">
        <v>19</v>
      </c>
      <c r="J442" s="3">
        <f t="shared" si="6"/>
        <v>0.33333333333333331</v>
      </c>
      <c r="K442" s="3" t="s">
        <v>20</v>
      </c>
      <c r="L442" t="s">
        <v>55</v>
      </c>
      <c r="M442" t="s">
        <v>55</v>
      </c>
      <c r="N442" s="1">
        <v>0.85416666666666663</v>
      </c>
      <c r="O442" s="1">
        <v>0.86805555555555547</v>
      </c>
      <c r="P442" s="3">
        <v>4000076868</v>
      </c>
      <c r="Q442">
        <v>10051091</v>
      </c>
      <c r="R442" t="s">
        <v>21</v>
      </c>
      <c r="S442" t="s">
        <v>82</v>
      </c>
    </row>
    <row r="443" spans="3:19" x14ac:dyDescent="0.25">
      <c r="C443">
        <v>3028657</v>
      </c>
      <c r="D443" s="3" t="s">
        <v>22</v>
      </c>
      <c r="E443" s="3">
        <v>2</v>
      </c>
      <c r="F443" s="3" t="s">
        <v>18</v>
      </c>
      <c r="G443" s="3" t="s">
        <v>189</v>
      </c>
      <c r="H443" s="3">
        <v>10</v>
      </c>
      <c r="I443" s="3" t="s">
        <v>19</v>
      </c>
      <c r="J443" s="3">
        <f t="shared" si="6"/>
        <v>0.16666666666666666</v>
      </c>
      <c r="K443" s="3" t="s">
        <v>20</v>
      </c>
      <c r="L443" t="s">
        <v>25</v>
      </c>
      <c r="M443" t="s">
        <v>25</v>
      </c>
      <c r="N443" s="1">
        <v>0.90277777777777779</v>
      </c>
      <c r="O443" s="1">
        <v>0.90972222222222221</v>
      </c>
      <c r="P443" s="3">
        <v>4000076855</v>
      </c>
      <c r="Q443">
        <v>10051715</v>
      </c>
      <c r="R443" t="s">
        <v>21</v>
      </c>
      <c r="S443" t="s">
        <v>85</v>
      </c>
    </row>
    <row r="444" spans="3:19" x14ac:dyDescent="0.25">
      <c r="C444">
        <v>3122031</v>
      </c>
      <c r="D444" s="3" t="s">
        <v>33</v>
      </c>
      <c r="E444" s="3">
        <v>2</v>
      </c>
      <c r="F444" s="3" t="s">
        <v>106</v>
      </c>
      <c r="G444" s="3" t="s">
        <v>189</v>
      </c>
      <c r="H444" s="3">
        <v>30</v>
      </c>
      <c r="I444" s="3" t="s">
        <v>19</v>
      </c>
      <c r="J444" s="3">
        <f t="shared" si="6"/>
        <v>0.5</v>
      </c>
      <c r="K444" s="3" t="s">
        <v>20</v>
      </c>
      <c r="L444" t="s">
        <v>73</v>
      </c>
      <c r="M444" t="s">
        <v>73</v>
      </c>
      <c r="N444" s="1">
        <v>0.14583333333333334</v>
      </c>
      <c r="O444" s="1">
        <v>0.16666666666666666</v>
      </c>
      <c r="P444" s="3">
        <v>4000112727</v>
      </c>
      <c r="Q444">
        <v>10051738</v>
      </c>
      <c r="R444" t="s">
        <v>58</v>
      </c>
      <c r="S444" t="s">
        <v>107</v>
      </c>
    </row>
    <row r="445" spans="3:19" x14ac:dyDescent="0.25">
      <c r="C445">
        <v>3132497</v>
      </c>
      <c r="D445" s="3" t="s">
        <v>28</v>
      </c>
      <c r="E445" s="3">
        <v>1</v>
      </c>
      <c r="F445" s="3" t="s">
        <v>106</v>
      </c>
      <c r="G445" s="3" t="s">
        <v>189</v>
      </c>
      <c r="H445" s="3">
        <v>30</v>
      </c>
      <c r="I445" s="3" t="s">
        <v>19</v>
      </c>
      <c r="J445" s="3">
        <f t="shared" si="6"/>
        <v>0.5</v>
      </c>
      <c r="K445" s="3" t="s">
        <v>20</v>
      </c>
      <c r="L445" t="s">
        <v>118</v>
      </c>
      <c r="M445" t="s">
        <v>118</v>
      </c>
      <c r="N445" s="1">
        <v>0.66666666666666663</v>
      </c>
      <c r="O445" s="1">
        <v>0.6875</v>
      </c>
      <c r="P445" s="3">
        <v>4000114054</v>
      </c>
      <c r="Q445">
        <v>10049589</v>
      </c>
      <c r="R445" t="s">
        <v>31</v>
      </c>
      <c r="S445" t="s">
        <v>190</v>
      </c>
    </row>
    <row r="446" spans="3:19" x14ac:dyDescent="0.25">
      <c r="C446">
        <v>3137637</v>
      </c>
      <c r="D446" s="3" t="s">
        <v>28</v>
      </c>
      <c r="E446" s="3">
        <v>1</v>
      </c>
      <c r="F446" s="3" t="s">
        <v>106</v>
      </c>
      <c r="G446" s="3" t="s">
        <v>189</v>
      </c>
      <c r="H446" s="3">
        <v>30</v>
      </c>
      <c r="I446" s="3" t="s">
        <v>19</v>
      </c>
      <c r="J446" s="3">
        <f t="shared" si="6"/>
        <v>0.5</v>
      </c>
      <c r="K446" s="3" t="s">
        <v>20</v>
      </c>
      <c r="L446" t="s">
        <v>118</v>
      </c>
      <c r="M446" t="s">
        <v>118</v>
      </c>
      <c r="N446" s="1">
        <v>0.70833333333333337</v>
      </c>
      <c r="O446" s="1">
        <v>0.72916666666666663</v>
      </c>
      <c r="P446" s="3">
        <v>4000116070</v>
      </c>
      <c r="Q446">
        <v>10051738</v>
      </c>
      <c r="R446" t="s">
        <v>58</v>
      </c>
      <c r="S446" t="s">
        <v>96</v>
      </c>
    </row>
    <row r="447" spans="3:19" x14ac:dyDescent="0.25">
      <c r="C447">
        <v>3118382</v>
      </c>
      <c r="D447" s="3" t="s">
        <v>33</v>
      </c>
      <c r="E447" s="3">
        <v>2</v>
      </c>
      <c r="F447" s="3" t="s">
        <v>29</v>
      </c>
      <c r="G447" s="3" t="s">
        <v>189</v>
      </c>
      <c r="H447" s="3">
        <v>30</v>
      </c>
      <c r="I447" s="3" t="s">
        <v>19</v>
      </c>
      <c r="J447" s="3">
        <f t="shared" si="6"/>
        <v>0.5</v>
      </c>
      <c r="K447" s="3" t="s">
        <v>20</v>
      </c>
      <c r="L447" t="s">
        <v>73</v>
      </c>
      <c r="M447" t="s">
        <v>73</v>
      </c>
      <c r="N447" s="1">
        <v>0.125</v>
      </c>
      <c r="O447" s="1">
        <v>0.14583333333333334</v>
      </c>
      <c r="P447" s="3">
        <v>4000111406</v>
      </c>
      <c r="Q447">
        <v>10049540</v>
      </c>
      <c r="R447" t="s">
        <v>58</v>
      </c>
      <c r="S447" t="s">
        <v>108</v>
      </c>
    </row>
    <row r="448" spans="3:19" x14ac:dyDescent="0.25">
      <c r="C448">
        <v>3118394</v>
      </c>
      <c r="D448" s="3" t="s">
        <v>33</v>
      </c>
      <c r="E448" s="3">
        <v>1</v>
      </c>
      <c r="F448" s="3" t="s">
        <v>29</v>
      </c>
      <c r="G448" s="3" t="s">
        <v>189</v>
      </c>
      <c r="H448" s="3">
        <v>30</v>
      </c>
      <c r="I448" s="3" t="s">
        <v>19</v>
      </c>
      <c r="J448" s="3">
        <f t="shared" si="6"/>
        <v>0.5</v>
      </c>
      <c r="K448" s="3" t="s">
        <v>20</v>
      </c>
      <c r="L448" t="s">
        <v>73</v>
      </c>
      <c r="M448" t="s">
        <v>73</v>
      </c>
      <c r="N448" s="1">
        <v>0.10416666666666667</v>
      </c>
      <c r="O448" s="1">
        <v>0.125</v>
      </c>
      <c r="P448" s="3">
        <v>4000111418</v>
      </c>
      <c r="Q448">
        <v>10051704</v>
      </c>
      <c r="R448" t="s">
        <v>58</v>
      </c>
      <c r="S448" t="s">
        <v>107</v>
      </c>
    </row>
    <row r="449" spans="3:19" x14ac:dyDescent="0.25">
      <c r="C449">
        <v>3120245</v>
      </c>
      <c r="D449" s="3" t="s">
        <v>33</v>
      </c>
      <c r="E449" s="3">
        <v>1</v>
      </c>
      <c r="F449" s="3" t="s">
        <v>29</v>
      </c>
      <c r="G449" s="3" t="s">
        <v>189</v>
      </c>
      <c r="H449" s="3">
        <v>30</v>
      </c>
      <c r="I449" s="3" t="s">
        <v>19</v>
      </c>
      <c r="J449" s="3">
        <f t="shared" si="6"/>
        <v>0.5</v>
      </c>
      <c r="K449" s="3" t="s">
        <v>20</v>
      </c>
      <c r="L449" t="s">
        <v>73</v>
      </c>
      <c r="M449" t="s">
        <v>73</v>
      </c>
      <c r="N449" s="1">
        <v>0.16666666666666666</v>
      </c>
      <c r="O449" s="1">
        <v>0.1875</v>
      </c>
      <c r="P449" s="3">
        <v>4000112112</v>
      </c>
      <c r="Q449">
        <v>10051738</v>
      </c>
      <c r="R449" t="s">
        <v>58</v>
      </c>
      <c r="S449" t="s">
        <v>108</v>
      </c>
    </row>
    <row r="450" spans="3:19" x14ac:dyDescent="0.25">
      <c r="C450">
        <v>3120246</v>
      </c>
      <c r="D450" s="3" t="s">
        <v>33</v>
      </c>
      <c r="E450" s="3">
        <v>1</v>
      </c>
      <c r="F450" s="3" t="s">
        <v>29</v>
      </c>
      <c r="G450" s="3" t="s">
        <v>189</v>
      </c>
      <c r="H450" s="3">
        <v>30</v>
      </c>
      <c r="I450" s="3" t="s">
        <v>19</v>
      </c>
      <c r="J450" s="3">
        <f t="shared" si="6"/>
        <v>0.5</v>
      </c>
      <c r="K450" s="3" t="s">
        <v>20</v>
      </c>
      <c r="L450" t="s">
        <v>73</v>
      </c>
      <c r="M450" t="s">
        <v>73</v>
      </c>
      <c r="N450" s="1">
        <v>0.22916666666666666</v>
      </c>
      <c r="O450" s="1">
        <v>0.25</v>
      </c>
      <c r="P450" s="3">
        <v>4000112113</v>
      </c>
      <c r="Q450">
        <v>10051759</v>
      </c>
      <c r="R450" t="s">
        <v>58</v>
      </c>
      <c r="S450" t="s">
        <v>107</v>
      </c>
    </row>
    <row r="451" spans="3:19" x14ac:dyDescent="0.25">
      <c r="C451">
        <v>3120251</v>
      </c>
      <c r="D451" s="3" t="s">
        <v>33</v>
      </c>
      <c r="E451" s="3">
        <v>1</v>
      </c>
      <c r="F451" s="3" t="s">
        <v>29</v>
      </c>
      <c r="G451" s="3" t="s">
        <v>189</v>
      </c>
      <c r="H451" s="3">
        <v>30</v>
      </c>
      <c r="I451" s="3" t="s">
        <v>19</v>
      </c>
      <c r="J451" s="3">
        <f t="shared" si="6"/>
        <v>0.5</v>
      </c>
      <c r="K451" s="3" t="s">
        <v>20</v>
      </c>
      <c r="L451" t="s">
        <v>73</v>
      </c>
      <c r="M451" t="s">
        <v>73</v>
      </c>
      <c r="N451" s="1">
        <v>0.16666666666666666</v>
      </c>
      <c r="O451" s="1">
        <v>0.22916666666666666</v>
      </c>
      <c r="P451" s="3">
        <v>4000112118</v>
      </c>
      <c r="Q451">
        <v>10051747</v>
      </c>
      <c r="R451" t="s">
        <v>58</v>
      </c>
      <c r="S451" t="s">
        <v>107</v>
      </c>
    </row>
    <row r="452" spans="3:19" x14ac:dyDescent="0.25">
      <c r="C452">
        <v>3120258</v>
      </c>
      <c r="D452" s="3" t="s">
        <v>33</v>
      </c>
      <c r="E452" s="3">
        <v>1</v>
      </c>
      <c r="F452" s="3" t="s">
        <v>29</v>
      </c>
      <c r="G452" s="3" t="s">
        <v>189</v>
      </c>
      <c r="H452" s="3">
        <v>30</v>
      </c>
      <c r="I452" s="3" t="s">
        <v>19</v>
      </c>
      <c r="J452" s="3">
        <f t="shared" si="6"/>
        <v>0.5</v>
      </c>
      <c r="K452" s="3" t="s">
        <v>20</v>
      </c>
      <c r="L452" t="s">
        <v>73</v>
      </c>
      <c r="M452" t="s">
        <v>73</v>
      </c>
      <c r="N452" s="1">
        <v>0.25</v>
      </c>
      <c r="O452" s="1">
        <v>0.27083333333333331</v>
      </c>
      <c r="P452" s="3">
        <v>4000112125</v>
      </c>
      <c r="Q452">
        <v>10051738</v>
      </c>
      <c r="R452" t="s">
        <v>58</v>
      </c>
      <c r="S452" t="s">
        <v>107</v>
      </c>
    </row>
    <row r="453" spans="3:19" x14ac:dyDescent="0.25">
      <c r="C453">
        <v>3120260</v>
      </c>
      <c r="D453" s="3" t="s">
        <v>33</v>
      </c>
      <c r="E453" s="3">
        <v>1</v>
      </c>
      <c r="F453" s="3" t="s">
        <v>29</v>
      </c>
      <c r="G453" s="3" t="s">
        <v>189</v>
      </c>
      <c r="H453" s="3">
        <v>30</v>
      </c>
      <c r="I453" s="3" t="s">
        <v>19</v>
      </c>
      <c r="J453" s="3">
        <f t="shared" si="6"/>
        <v>0.5</v>
      </c>
      <c r="K453" s="3" t="s">
        <v>20</v>
      </c>
      <c r="L453" t="s">
        <v>73</v>
      </c>
      <c r="M453" t="s">
        <v>73</v>
      </c>
      <c r="N453" s="1">
        <v>0.20833333333333334</v>
      </c>
      <c r="O453" s="1">
        <v>0.22916666666666666</v>
      </c>
      <c r="P453" s="3">
        <v>4000112127</v>
      </c>
      <c r="Q453">
        <v>10051759</v>
      </c>
      <c r="R453" t="s">
        <v>58</v>
      </c>
      <c r="S453" t="s">
        <v>108</v>
      </c>
    </row>
    <row r="454" spans="3:19" x14ac:dyDescent="0.25">
      <c r="C454">
        <v>3122123</v>
      </c>
      <c r="D454" s="3" t="s">
        <v>33</v>
      </c>
      <c r="E454" s="3">
        <v>1</v>
      </c>
      <c r="F454" s="3" t="s">
        <v>29</v>
      </c>
      <c r="G454" s="3" t="s">
        <v>189</v>
      </c>
      <c r="H454" s="3">
        <v>15</v>
      </c>
      <c r="I454" s="3" t="s">
        <v>19</v>
      </c>
      <c r="J454" s="3">
        <f t="shared" ref="J454:J517" si="7">H454/60</f>
        <v>0.25</v>
      </c>
      <c r="K454" s="3" t="s">
        <v>20</v>
      </c>
      <c r="L454" t="s">
        <v>73</v>
      </c>
      <c r="M454" t="s">
        <v>73</v>
      </c>
      <c r="N454" s="1">
        <v>0.85416666666666663</v>
      </c>
      <c r="O454" s="1">
        <v>0.86458333333333337</v>
      </c>
      <c r="P454" s="3">
        <v>4000112819</v>
      </c>
      <c r="Q454">
        <v>10049534</v>
      </c>
      <c r="R454" t="s">
        <v>58</v>
      </c>
      <c r="S454" t="s">
        <v>191</v>
      </c>
    </row>
    <row r="455" spans="3:19" x14ac:dyDescent="0.25">
      <c r="C455">
        <v>3120217</v>
      </c>
      <c r="D455" s="3" t="s">
        <v>33</v>
      </c>
      <c r="E455" s="3">
        <v>1</v>
      </c>
      <c r="F455" s="3" t="s">
        <v>29</v>
      </c>
      <c r="G455" s="3" t="s">
        <v>189</v>
      </c>
      <c r="H455" s="3">
        <v>30</v>
      </c>
      <c r="I455" s="3" t="s">
        <v>19</v>
      </c>
      <c r="J455" s="3">
        <f t="shared" si="7"/>
        <v>0.5</v>
      </c>
      <c r="K455" s="3" t="s">
        <v>20</v>
      </c>
      <c r="L455" t="s">
        <v>109</v>
      </c>
      <c r="M455" t="s">
        <v>109</v>
      </c>
      <c r="N455" s="1">
        <v>0.85416666666666663</v>
      </c>
      <c r="O455" s="1">
        <v>0.875</v>
      </c>
      <c r="P455" s="3">
        <v>4000112085</v>
      </c>
      <c r="Q455">
        <v>10049461</v>
      </c>
      <c r="R455" t="s">
        <v>57</v>
      </c>
      <c r="S455" t="s">
        <v>37</v>
      </c>
    </row>
    <row r="456" spans="3:19" x14ac:dyDescent="0.25">
      <c r="C456">
        <v>3120252</v>
      </c>
      <c r="D456" s="3" t="s">
        <v>33</v>
      </c>
      <c r="E456" s="3">
        <v>1</v>
      </c>
      <c r="F456" s="3" t="s">
        <v>29</v>
      </c>
      <c r="G456" s="3" t="s">
        <v>189</v>
      </c>
      <c r="H456" s="3">
        <v>30</v>
      </c>
      <c r="I456" s="3" t="s">
        <v>19</v>
      </c>
      <c r="J456" s="3">
        <f t="shared" si="7"/>
        <v>0.5</v>
      </c>
      <c r="K456" s="3" t="s">
        <v>20</v>
      </c>
      <c r="L456" t="s">
        <v>109</v>
      </c>
      <c r="M456" t="s">
        <v>40</v>
      </c>
      <c r="N456" s="1">
        <v>0.95833333333333337</v>
      </c>
      <c r="O456" s="1">
        <v>0.97916666666666663</v>
      </c>
      <c r="P456" s="3">
        <v>4000112119</v>
      </c>
      <c r="Q456">
        <v>10049578</v>
      </c>
      <c r="R456" t="s">
        <v>58</v>
      </c>
      <c r="S456" t="s">
        <v>107</v>
      </c>
    </row>
    <row r="457" spans="3:19" x14ac:dyDescent="0.25">
      <c r="C457">
        <v>3120259</v>
      </c>
      <c r="D457" s="3" t="s">
        <v>33</v>
      </c>
      <c r="E457" s="3">
        <v>1</v>
      </c>
      <c r="F457" s="3" t="s">
        <v>29</v>
      </c>
      <c r="G457" s="3" t="s">
        <v>189</v>
      </c>
      <c r="H457" s="3">
        <v>30</v>
      </c>
      <c r="I457" s="3" t="s">
        <v>19</v>
      </c>
      <c r="J457" s="3">
        <f t="shared" si="7"/>
        <v>0.5</v>
      </c>
      <c r="K457" s="3" t="s">
        <v>20</v>
      </c>
      <c r="L457" t="s">
        <v>109</v>
      </c>
      <c r="M457" t="s">
        <v>40</v>
      </c>
      <c r="N457" s="1">
        <v>0.97916666666666663</v>
      </c>
      <c r="O457" s="1">
        <v>0</v>
      </c>
      <c r="P457" s="3">
        <v>4000112126</v>
      </c>
      <c r="Q457">
        <v>10049565</v>
      </c>
      <c r="R457" t="s">
        <v>58</v>
      </c>
      <c r="S457" t="s">
        <v>107</v>
      </c>
    </row>
    <row r="458" spans="3:19" x14ac:dyDescent="0.25">
      <c r="C458">
        <v>3120261</v>
      </c>
      <c r="D458" s="3" t="s">
        <v>33</v>
      </c>
      <c r="E458" s="3">
        <v>1</v>
      </c>
      <c r="F458" s="3" t="s">
        <v>29</v>
      </c>
      <c r="G458" s="3" t="s">
        <v>189</v>
      </c>
      <c r="H458" s="3">
        <v>30</v>
      </c>
      <c r="I458" s="3" t="s">
        <v>19</v>
      </c>
      <c r="J458" s="3">
        <f t="shared" si="7"/>
        <v>0.5</v>
      </c>
      <c r="K458" s="3" t="s">
        <v>20</v>
      </c>
      <c r="L458" t="s">
        <v>109</v>
      </c>
      <c r="M458" t="s">
        <v>40</v>
      </c>
      <c r="N458" s="1">
        <v>0</v>
      </c>
      <c r="O458" s="1">
        <v>2.0833333333333332E-2</v>
      </c>
      <c r="P458" s="3">
        <v>4000112128</v>
      </c>
      <c r="Q458">
        <v>10051174</v>
      </c>
      <c r="R458" t="s">
        <v>58</v>
      </c>
      <c r="S458" t="s">
        <v>107</v>
      </c>
    </row>
    <row r="459" spans="3:19" x14ac:dyDescent="0.25">
      <c r="C459">
        <v>3122020</v>
      </c>
      <c r="D459" s="3" t="s">
        <v>33</v>
      </c>
      <c r="E459" s="3">
        <v>1</v>
      </c>
      <c r="F459" s="3" t="s">
        <v>29</v>
      </c>
      <c r="G459" s="3" t="s">
        <v>189</v>
      </c>
      <c r="H459" s="3">
        <v>30</v>
      </c>
      <c r="I459" s="3" t="s">
        <v>19</v>
      </c>
      <c r="J459" s="3">
        <f t="shared" si="7"/>
        <v>0.5</v>
      </c>
      <c r="K459" s="3" t="s">
        <v>20</v>
      </c>
      <c r="L459" t="s">
        <v>109</v>
      </c>
      <c r="M459" t="s">
        <v>109</v>
      </c>
      <c r="N459" s="1">
        <v>0.83333333333333337</v>
      </c>
      <c r="O459" s="1">
        <v>0.85416666666666663</v>
      </c>
      <c r="P459" s="3">
        <v>4000112717</v>
      </c>
      <c r="Q459">
        <v>10051555</v>
      </c>
      <c r="R459" t="s">
        <v>57</v>
      </c>
      <c r="S459" t="s">
        <v>192</v>
      </c>
    </row>
    <row r="460" spans="3:19" x14ac:dyDescent="0.25">
      <c r="C460">
        <v>3122122</v>
      </c>
      <c r="D460" s="3" t="s">
        <v>33</v>
      </c>
      <c r="E460" s="3">
        <v>1</v>
      </c>
      <c r="F460" s="3" t="s">
        <v>29</v>
      </c>
      <c r="G460" s="3" t="s">
        <v>189</v>
      </c>
      <c r="H460" s="3">
        <v>30</v>
      </c>
      <c r="I460" s="3" t="s">
        <v>19</v>
      </c>
      <c r="J460" s="3">
        <f t="shared" si="7"/>
        <v>0.5</v>
      </c>
      <c r="K460" s="3" t="s">
        <v>20</v>
      </c>
      <c r="L460" t="s">
        <v>109</v>
      </c>
      <c r="M460" t="s">
        <v>109</v>
      </c>
      <c r="N460" s="1">
        <v>0.83333333333333337</v>
      </c>
      <c r="O460" s="1">
        <v>0.85416666666666663</v>
      </c>
      <c r="P460" s="3">
        <v>4000112818</v>
      </c>
      <c r="Q460">
        <v>10049534</v>
      </c>
      <c r="R460" t="s">
        <v>58</v>
      </c>
      <c r="S460" t="s">
        <v>193</v>
      </c>
    </row>
    <row r="461" spans="3:19" x14ac:dyDescent="0.25">
      <c r="C461">
        <v>3122723</v>
      </c>
      <c r="D461" s="3" t="s">
        <v>33</v>
      </c>
      <c r="E461" s="3">
        <v>1</v>
      </c>
      <c r="F461" s="3" t="s">
        <v>29</v>
      </c>
      <c r="G461" s="3" t="s">
        <v>189</v>
      </c>
      <c r="H461" s="3">
        <v>30</v>
      </c>
      <c r="I461" s="3" t="s">
        <v>19</v>
      </c>
      <c r="J461" s="3">
        <f t="shared" si="7"/>
        <v>0.5</v>
      </c>
      <c r="K461" s="3" t="s">
        <v>20</v>
      </c>
      <c r="L461" t="s">
        <v>109</v>
      </c>
      <c r="M461" t="s">
        <v>109</v>
      </c>
      <c r="N461" s="1">
        <v>0.14583333333333334</v>
      </c>
      <c r="O461" s="1">
        <v>0.16666666666666666</v>
      </c>
      <c r="P461" s="3">
        <v>4000113250</v>
      </c>
      <c r="Q461">
        <v>10049589</v>
      </c>
      <c r="R461" t="s">
        <v>31</v>
      </c>
      <c r="S461" t="s">
        <v>194</v>
      </c>
    </row>
    <row r="462" spans="3:19" x14ac:dyDescent="0.25">
      <c r="C462">
        <v>3122724</v>
      </c>
      <c r="D462" s="3" t="s">
        <v>33</v>
      </c>
      <c r="E462" s="3">
        <v>1</v>
      </c>
      <c r="F462" s="3" t="s">
        <v>29</v>
      </c>
      <c r="G462" s="3" t="s">
        <v>189</v>
      </c>
      <c r="H462" s="3">
        <v>30</v>
      </c>
      <c r="I462" s="3" t="s">
        <v>19</v>
      </c>
      <c r="J462" s="3">
        <f t="shared" si="7"/>
        <v>0.5</v>
      </c>
      <c r="K462" s="3" t="s">
        <v>20</v>
      </c>
      <c r="L462" t="s">
        <v>109</v>
      </c>
      <c r="M462" t="s">
        <v>109</v>
      </c>
      <c r="N462" s="1">
        <v>0.25</v>
      </c>
      <c r="O462" s="1">
        <v>0.27083333333333331</v>
      </c>
      <c r="P462" s="3">
        <v>4000113251</v>
      </c>
      <c r="Q462">
        <v>10051224</v>
      </c>
      <c r="R462" t="s">
        <v>31</v>
      </c>
      <c r="S462" t="s">
        <v>194</v>
      </c>
    </row>
    <row r="463" spans="3:19" x14ac:dyDescent="0.25">
      <c r="C463">
        <v>3122728</v>
      </c>
      <c r="D463" s="3" t="s">
        <v>33</v>
      </c>
      <c r="E463" s="3">
        <v>1</v>
      </c>
      <c r="F463" s="3" t="s">
        <v>29</v>
      </c>
      <c r="G463" s="3" t="s">
        <v>189</v>
      </c>
      <c r="H463" s="3">
        <v>30</v>
      </c>
      <c r="I463" s="3" t="s">
        <v>19</v>
      </c>
      <c r="J463" s="3">
        <f t="shared" si="7"/>
        <v>0.5</v>
      </c>
      <c r="K463" s="3" t="s">
        <v>20</v>
      </c>
      <c r="L463" t="s">
        <v>109</v>
      </c>
      <c r="M463" t="s">
        <v>109</v>
      </c>
      <c r="N463" s="1">
        <v>0.22916666666666666</v>
      </c>
      <c r="O463" s="1">
        <v>0.25</v>
      </c>
      <c r="P463" s="3">
        <v>4000113255</v>
      </c>
      <c r="Q463">
        <v>10051224</v>
      </c>
      <c r="R463" t="s">
        <v>31</v>
      </c>
      <c r="S463" t="s">
        <v>107</v>
      </c>
    </row>
    <row r="464" spans="3:19" x14ac:dyDescent="0.25">
      <c r="C464">
        <v>3122755</v>
      </c>
      <c r="D464" s="3" t="s">
        <v>33</v>
      </c>
      <c r="E464" s="3">
        <v>1</v>
      </c>
      <c r="F464" s="3" t="s">
        <v>29</v>
      </c>
      <c r="G464" s="3" t="s">
        <v>189</v>
      </c>
      <c r="H464" s="3">
        <v>30</v>
      </c>
      <c r="I464" s="3" t="s">
        <v>19</v>
      </c>
      <c r="J464" s="3">
        <f t="shared" si="7"/>
        <v>0.5</v>
      </c>
      <c r="K464" s="3" t="s">
        <v>20</v>
      </c>
      <c r="L464" t="s">
        <v>109</v>
      </c>
      <c r="M464" t="s">
        <v>109</v>
      </c>
      <c r="N464" s="1">
        <v>0.16666666666666666</v>
      </c>
      <c r="O464" s="1">
        <v>0.1875</v>
      </c>
      <c r="P464" s="3">
        <v>4000113357</v>
      </c>
      <c r="Q464">
        <v>10049589</v>
      </c>
      <c r="R464" t="s">
        <v>31</v>
      </c>
      <c r="S464" t="s">
        <v>194</v>
      </c>
    </row>
    <row r="465" spans="3:19" x14ac:dyDescent="0.25">
      <c r="C465">
        <v>3122758</v>
      </c>
      <c r="D465" s="3" t="s">
        <v>33</v>
      </c>
      <c r="E465" s="3">
        <v>1</v>
      </c>
      <c r="F465" s="3" t="s">
        <v>29</v>
      </c>
      <c r="G465" s="3" t="s">
        <v>189</v>
      </c>
      <c r="H465" s="3">
        <v>30</v>
      </c>
      <c r="I465" s="3" t="s">
        <v>19</v>
      </c>
      <c r="J465" s="3">
        <f t="shared" si="7"/>
        <v>0.5</v>
      </c>
      <c r="K465" s="3" t="s">
        <v>20</v>
      </c>
      <c r="L465" t="s">
        <v>109</v>
      </c>
      <c r="M465" t="s">
        <v>109</v>
      </c>
      <c r="N465" s="1">
        <v>6.25E-2</v>
      </c>
      <c r="O465" s="1">
        <v>8.3333333333333329E-2</v>
      </c>
      <c r="P465" s="3">
        <v>4000113360</v>
      </c>
      <c r="Q465">
        <v>10049589</v>
      </c>
      <c r="R465" t="s">
        <v>31</v>
      </c>
      <c r="S465" t="s">
        <v>37</v>
      </c>
    </row>
    <row r="466" spans="3:19" x14ac:dyDescent="0.25">
      <c r="C466">
        <v>3122769</v>
      </c>
      <c r="D466" s="3" t="s">
        <v>33</v>
      </c>
      <c r="E466" s="3">
        <v>1</v>
      </c>
      <c r="F466" s="3" t="s">
        <v>29</v>
      </c>
      <c r="G466" s="3" t="s">
        <v>189</v>
      </c>
      <c r="H466" s="3">
        <v>30</v>
      </c>
      <c r="I466" s="3" t="s">
        <v>19</v>
      </c>
      <c r="J466" s="3">
        <f t="shared" si="7"/>
        <v>0.5</v>
      </c>
      <c r="K466" s="3" t="s">
        <v>20</v>
      </c>
      <c r="L466" t="s">
        <v>109</v>
      </c>
      <c r="M466" t="s">
        <v>109</v>
      </c>
      <c r="N466" s="1">
        <v>8.3333333333333329E-2</v>
      </c>
      <c r="O466" s="1">
        <v>0.10416666666666667</v>
      </c>
      <c r="P466" s="3">
        <v>4000113371</v>
      </c>
      <c r="Q466">
        <v>10049589</v>
      </c>
      <c r="R466" t="s">
        <v>31</v>
      </c>
      <c r="S466" t="s">
        <v>195</v>
      </c>
    </row>
    <row r="467" spans="3:19" x14ac:dyDescent="0.25">
      <c r="C467">
        <v>3122770</v>
      </c>
      <c r="D467" s="3" t="s">
        <v>33</v>
      </c>
      <c r="E467" s="3">
        <v>1</v>
      </c>
      <c r="F467" s="3" t="s">
        <v>29</v>
      </c>
      <c r="G467" s="3" t="s">
        <v>189</v>
      </c>
      <c r="H467" s="3">
        <v>30</v>
      </c>
      <c r="I467" s="3" t="s">
        <v>19</v>
      </c>
      <c r="J467" s="3">
        <f t="shared" si="7"/>
        <v>0.5</v>
      </c>
      <c r="K467" s="3" t="s">
        <v>20</v>
      </c>
      <c r="L467" t="s">
        <v>109</v>
      </c>
      <c r="M467" t="s">
        <v>109</v>
      </c>
      <c r="N467" s="1">
        <v>4.1666666666666664E-2</v>
      </c>
      <c r="O467" s="1">
        <v>6.25E-2</v>
      </c>
      <c r="P467" s="3">
        <v>4000113372</v>
      </c>
      <c r="Q467">
        <v>10049589</v>
      </c>
      <c r="R467" t="s">
        <v>31</v>
      </c>
      <c r="S467" t="s">
        <v>193</v>
      </c>
    </row>
    <row r="468" spans="3:19" x14ac:dyDescent="0.25">
      <c r="C468">
        <v>3122771</v>
      </c>
      <c r="D468" s="3" t="s">
        <v>33</v>
      </c>
      <c r="E468" s="3">
        <v>1</v>
      </c>
      <c r="F468" s="3" t="s">
        <v>29</v>
      </c>
      <c r="G468" s="3" t="s">
        <v>189</v>
      </c>
      <c r="H468" s="3">
        <v>30</v>
      </c>
      <c r="I468" s="3" t="s">
        <v>19</v>
      </c>
      <c r="J468" s="3">
        <f t="shared" si="7"/>
        <v>0.5</v>
      </c>
      <c r="K468" s="3" t="s">
        <v>20</v>
      </c>
      <c r="L468" t="s">
        <v>109</v>
      </c>
      <c r="M468" t="s">
        <v>109</v>
      </c>
      <c r="N468" s="1">
        <v>0.20833333333333334</v>
      </c>
      <c r="O468" s="1">
        <v>0.22916666666666666</v>
      </c>
      <c r="P468" s="3">
        <v>4000113373</v>
      </c>
      <c r="Q468">
        <v>10049604</v>
      </c>
      <c r="R468" t="s">
        <v>31</v>
      </c>
      <c r="S468" t="s">
        <v>107</v>
      </c>
    </row>
    <row r="469" spans="3:19" x14ac:dyDescent="0.25">
      <c r="C469">
        <v>3122777</v>
      </c>
      <c r="D469" s="3" t="s">
        <v>33</v>
      </c>
      <c r="E469" s="3">
        <v>1</v>
      </c>
      <c r="F469" s="3" t="s">
        <v>29</v>
      </c>
      <c r="G469" s="3" t="s">
        <v>189</v>
      </c>
      <c r="H469" s="3">
        <v>30</v>
      </c>
      <c r="I469" s="3" t="s">
        <v>19</v>
      </c>
      <c r="J469" s="3">
        <f t="shared" si="7"/>
        <v>0.5</v>
      </c>
      <c r="K469" s="3" t="s">
        <v>20</v>
      </c>
      <c r="L469" t="s">
        <v>109</v>
      </c>
      <c r="M469" t="s">
        <v>109</v>
      </c>
      <c r="N469" s="1">
        <v>0.1875</v>
      </c>
      <c r="O469" s="1">
        <v>0.20833333333333334</v>
      </c>
      <c r="P469" s="3">
        <v>4000113379</v>
      </c>
      <c r="Q469">
        <v>10049589</v>
      </c>
      <c r="R469" t="s">
        <v>31</v>
      </c>
      <c r="S469" t="s">
        <v>107</v>
      </c>
    </row>
    <row r="470" spans="3:19" x14ac:dyDescent="0.25">
      <c r="C470">
        <v>3122778</v>
      </c>
      <c r="D470" s="3" t="s">
        <v>33</v>
      </c>
      <c r="E470" s="3">
        <v>1</v>
      </c>
      <c r="F470" s="3" t="s">
        <v>29</v>
      </c>
      <c r="G470" s="3" t="s">
        <v>189</v>
      </c>
      <c r="H470" s="3">
        <v>30</v>
      </c>
      <c r="I470" s="3" t="s">
        <v>19</v>
      </c>
      <c r="J470" s="3">
        <f t="shared" si="7"/>
        <v>0.5</v>
      </c>
      <c r="K470" s="3" t="s">
        <v>20</v>
      </c>
      <c r="L470" t="s">
        <v>109</v>
      </c>
      <c r="M470" t="s">
        <v>109</v>
      </c>
      <c r="N470" s="1">
        <v>0.27083333333333331</v>
      </c>
      <c r="O470" s="1">
        <v>0.29166666666666669</v>
      </c>
      <c r="P470" s="3">
        <v>4000113380</v>
      </c>
      <c r="Q470">
        <v>10051230</v>
      </c>
      <c r="R470" t="s">
        <v>31</v>
      </c>
      <c r="S470" t="s">
        <v>107</v>
      </c>
    </row>
    <row r="471" spans="3:19" x14ac:dyDescent="0.25">
      <c r="C471">
        <v>3122779</v>
      </c>
      <c r="D471" s="3" t="s">
        <v>33</v>
      </c>
      <c r="E471" s="3">
        <v>1</v>
      </c>
      <c r="F471" s="3" t="s">
        <v>29</v>
      </c>
      <c r="G471" s="3" t="s">
        <v>189</v>
      </c>
      <c r="H471" s="3">
        <v>15</v>
      </c>
      <c r="I471" s="3" t="s">
        <v>19</v>
      </c>
      <c r="J471" s="3">
        <f t="shared" si="7"/>
        <v>0.25</v>
      </c>
      <c r="K471" s="3" t="s">
        <v>20</v>
      </c>
      <c r="L471" t="s">
        <v>109</v>
      </c>
      <c r="M471" t="s">
        <v>109</v>
      </c>
      <c r="N471" s="1">
        <v>0.11458333333333333</v>
      </c>
      <c r="O471" s="1">
        <v>0.125</v>
      </c>
      <c r="P471" s="3">
        <v>4000113381</v>
      </c>
      <c r="Q471">
        <v>10049598</v>
      </c>
      <c r="R471" t="s">
        <v>31</v>
      </c>
      <c r="S471" t="s">
        <v>37</v>
      </c>
    </row>
    <row r="472" spans="3:19" x14ac:dyDescent="0.25">
      <c r="C472">
        <v>3122780</v>
      </c>
      <c r="D472" s="3" t="s">
        <v>33</v>
      </c>
      <c r="E472" s="3">
        <v>1</v>
      </c>
      <c r="F472" s="3" t="s">
        <v>29</v>
      </c>
      <c r="G472" s="3" t="s">
        <v>189</v>
      </c>
      <c r="H472" s="3">
        <v>30</v>
      </c>
      <c r="I472" s="3" t="s">
        <v>19</v>
      </c>
      <c r="J472" s="3">
        <f t="shared" si="7"/>
        <v>0.5</v>
      </c>
      <c r="K472" s="3" t="s">
        <v>20</v>
      </c>
      <c r="L472" t="s">
        <v>109</v>
      </c>
      <c r="M472" t="s">
        <v>109</v>
      </c>
      <c r="N472" s="1">
        <v>0.125</v>
      </c>
      <c r="O472" s="1">
        <v>0.14583333333333334</v>
      </c>
      <c r="P472" s="3">
        <v>4000113382</v>
      </c>
      <c r="Q472">
        <v>10049604</v>
      </c>
      <c r="R472" t="s">
        <v>31</v>
      </c>
      <c r="S472" t="s">
        <v>194</v>
      </c>
    </row>
    <row r="473" spans="3:19" x14ac:dyDescent="0.25">
      <c r="C473">
        <v>3122786</v>
      </c>
      <c r="D473" s="3" t="s">
        <v>33</v>
      </c>
      <c r="E473" s="3">
        <v>1</v>
      </c>
      <c r="F473" s="3" t="s">
        <v>29</v>
      </c>
      <c r="G473" s="3" t="s">
        <v>189</v>
      </c>
      <c r="H473" s="3">
        <v>15</v>
      </c>
      <c r="I473" s="3" t="s">
        <v>19</v>
      </c>
      <c r="J473" s="3">
        <f t="shared" si="7"/>
        <v>0.25</v>
      </c>
      <c r="K473" s="3" t="s">
        <v>20</v>
      </c>
      <c r="L473" t="s">
        <v>109</v>
      </c>
      <c r="M473" t="s">
        <v>109</v>
      </c>
      <c r="N473" s="1">
        <v>0.10416666666666667</v>
      </c>
      <c r="O473" s="1">
        <v>0.11458333333333333</v>
      </c>
      <c r="P473" s="3">
        <v>4000113388</v>
      </c>
      <c r="Q473">
        <v>10049589</v>
      </c>
      <c r="R473" t="s">
        <v>31</v>
      </c>
      <c r="S473" t="s">
        <v>107</v>
      </c>
    </row>
    <row r="474" spans="3:19" x14ac:dyDescent="0.25">
      <c r="C474">
        <v>3120227</v>
      </c>
      <c r="D474" s="3" t="s">
        <v>33</v>
      </c>
      <c r="E474" s="3">
        <v>1</v>
      </c>
      <c r="F474" s="3" t="s">
        <v>29</v>
      </c>
      <c r="G474" s="3" t="s">
        <v>189</v>
      </c>
      <c r="H474" s="3">
        <v>30</v>
      </c>
      <c r="I474" s="3" t="s">
        <v>19</v>
      </c>
      <c r="J474" s="3">
        <f t="shared" si="7"/>
        <v>0.5</v>
      </c>
      <c r="K474" s="3" t="s">
        <v>20</v>
      </c>
      <c r="L474" t="s">
        <v>40</v>
      </c>
      <c r="M474" t="s">
        <v>42</v>
      </c>
      <c r="N474" s="1">
        <v>2.0833333333333332E-2</v>
      </c>
      <c r="O474" s="1">
        <v>4.1666666666666664E-2</v>
      </c>
      <c r="P474" s="3">
        <v>4000112094</v>
      </c>
      <c r="Q474">
        <v>10049451</v>
      </c>
      <c r="R474" t="s">
        <v>57</v>
      </c>
      <c r="S474" t="s">
        <v>107</v>
      </c>
    </row>
    <row r="475" spans="3:19" x14ac:dyDescent="0.25">
      <c r="C475">
        <v>3120234</v>
      </c>
      <c r="D475" s="3" t="s">
        <v>33</v>
      </c>
      <c r="E475" s="3">
        <v>2</v>
      </c>
      <c r="F475" s="3" t="s">
        <v>29</v>
      </c>
      <c r="G475" s="3" t="s">
        <v>189</v>
      </c>
      <c r="H475" s="3">
        <v>30</v>
      </c>
      <c r="I475" s="3" t="s">
        <v>19</v>
      </c>
      <c r="J475" s="3">
        <f t="shared" si="7"/>
        <v>0.5</v>
      </c>
      <c r="K475" s="3" t="s">
        <v>20</v>
      </c>
      <c r="L475" t="s">
        <v>40</v>
      </c>
      <c r="M475" t="s">
        <v>42</v>
      </c>
      <c r="N475" s="1">
        <v>0</v>
      </c>
      <c r="O475" s="1">
        <v>2.0833333333333332E-2</v>
      </c>
      <c r="P475" s="3">
        <v>4000112101</v>
      </c>
      <c r="Q475">
        <v>10051541</v>
      </c>
      <c r="R475" t="s">
        <v>57</v>
      </c>
      <c r="S475" t="s">
        <v>108</v>
      </c>
    </row>
    <row r="476" spans="3:19" x14ac:dyDescent="0.25">
      <c r="C476">
        <v>3119982</v>
      </c>
      <c r="D476" s="3" t="s">
        <v>33</v>
      </c>
      <c r="E476" s="3">
        <v>1</v>
      </c>
      <c r="F476" s="3" t="s">
        <v>29</v>
      </c>
      <c r="G476" s="3" t="s">
        <v>189</v>
      </c>
      <c r="H476" s="3">
        <v>30</v>
      </c>
      <c r="I476" s="3" t="s">
        <v>19</v>
      </c>
      <c r="J476" s="3">
        <f t="shared" si="7"/>
        <v>0.5</v>
      </c>
      <c r="K476" s="3" t="s">
        <v>20</v>
      </c>
      <c r="L476" t="s">
        <v>42</v>
      </c>
      <c r="M476" t="s">
        <v>42</v>
      </c>
      <c r="N476" s="1">
        <v>0.25</v>
      </c>
      <c r="O476" s="1">
        <v>0.27083333333333331</v>
      </c>
      <c r="P476" s="3">
        <v>4000112053</v>
      </c>
      <c r="Q476">
        <v>10051555</v>
      </c>
      <c r="R476" t="s">
        <v>57</v>
      </c>
    </row>
    <row r="477" spans="3:19" x14ac:dyDescent="0.25">
      <c r="C477">
        <v>3119985</v>
      </c>
      <c r="D477" s="3" t="s">
        <v>33</v>
      </c>
      <c r="E477" s="3">
        <v>1</v>
      </c>
      <c r="F477" s="3" t="s">
        <v>29</v>
      </c>
      <c r="G477" s="3" t="s">
        <v>189</v>
      </c>
      <c r="H477" s="3">
        <v>15</v>
      </c>
      <c r="I477" s="3" t="s">
        <v>19</v>
      </c>
      <c r="J477" s="3">
        <f t="shared" si="7"/>
        <v>0.25</v>
      </c>
      <c r="K477" s="3" t="s">
        <v>20</v>
      </c>
      <c r="L477" t="s">
        <v>42</v>
      </c>
      <c r="M477" t="s">
        <v>42</v>
      </c>
      <c r="N477" s="1">
        <v>4.1666666666666664E-2</v>
      </c>
      <c r="O477" s="1">
        <v>5.2083333333333336E-2</v>
      </c>
      <c r="P477" s="3">
        <v>4000112056</v>
      </c>
      <c r="Q477">
        <v>10049451</v>
      </c>
      <c r="R477" t="s">
        <v>57</v>
      </c>
      <c r="S477" t="s">
        <v>196</v>
      </c>
    </row>
    <row r="478" spans="3:19" x14ac:dyDescent="0.25">
      <c r="C478">
        <v>3119986</v>
      </c>
      <c r="D478" s="3" t="s">
        <v>33</v>
      </c>
      <c r="E478" s="3">
        <v>1</v>
      </c>
      <c r="F478" s="3" t="s">
        <v>29</v>
      </c>
      <c r="G478" s="3" t="s">
        <v>189</v>
      </c>
      <c r="H478" s="3">
        <v>30</v>
      </c>
      <c r="I478" s="3" t="s">
        <v>19</v>
      </c>
      <c r="J478" s="3">
        <f t="shared" si="7"/>
        <v>0.5</v>
      </c>
      <c r="K478" s="3" t="s">
        <v>20</v>
      </c>
      <c r="L478" t="s">
        <v>42</v>
      </c>
      <c r="M478" t="s">
        <v>42</v>
      </c>
      <c r="N478" s="1">
        <v>8.3333333333333329E-2</v>
      </c>
      <c r="O478" s="1">
        <v>0.10416666666666667</v>
      </c>
      <c r="P478" s="3">
        <v>4000112057</v>
      </c>
      <c r="Q478">
        <v>10049461</v>
      </c>
      <c r="R478" t="s">
        <v>57</v>
      </c>
      <c r="S478" t="s">
        <v>194</v>
      </c>
    </row>
    <row r="479" spans="3:19" x14ac:dyDescent="0.25">
      <c r="C479">
        <v>3119987</v>
      </c>
      <c r="D479" s="3" t="s">
        <v>33</v>
      </c>
      <c r="E479" s="3">
        <v>1</v>
      </c>
      <c r="F479" s="3" t="s">
        <v>29</v>
      </c>
      <c r="G479" s="3" t="s">
        <v>189</v>
      </c>
      <c r="H479" s="3">
        <v>30</v>
      </c>
      <c r="I479" s="3" t="s">
        <v>19</v>
      </c>
      <c r="J479" s="3">
        <f t="shared" si="7"/>
        <v>0.5</v>
      </c>
      <c r="K479" s="3" t="s">
        <v>20</v>
      </c>
      <c r="L479" t="s">
        <v>42</v>
      </c>
      <c r="M479" t="s">
        <v>42</v>
      </c>
      <c r="N479" s="1">
        <v>0.10416666666666667</v>
      </c>
      <c r="O479" s="1">
        <v>0.125</v>
      </c>
      <c r="P479" s="3">
        <v>4000112058</v>
      </c>
      <c r="Q479">
        <v>10049461</v>
      </c>
      <c r="R479" t="s">
        <v>57</v>
      </c>
      <c r="S479" t="s">
        <v>107</v>
      </c>
    </row>
    <row r="480" spans="3:19" x14ac:dyDescent="0.25">
      <c r="C480">
        <v>3120216</v>
      </c>
      <c r="D480" s="3" t="s">
        <v>33</v>
      </c>
      <c r="E480" s="3">
        <v>1</v>
      </c>
      <c r="F480" s="3" t="s">
        <v>29</v>
      </c>
      <c r="G480" s="3" t="s">
        <v>189</v>
      </c>
      <c r="H480" s="3">
        <v>30</v>
      </c>
      <c r="I480" s="3" t="s">
        <v>19</v>
      </c>
      <c r="J480" s="3">
        <f t="shared" si="7"/>
        <v>0.5</v>
      </c>
      <c r="K480" s="3" t="s">
        <v>20</v>
      </c>
      <c r="L480" t="s">
        <v>42</v>
      </c>
      <c r="M480" t="s">
        <v>42</v>
      </c>
      <c r="N480" s="1">
        <v>0.27083333333333331</v>
      </c>
      <c r="O480" s="1">
        <v>0.29166666666666669</v>
      </c>
      <c r="P480" s="3">
        <v>4000112084</v>
      </c>
      <c r="Q480">
        <v>10051555</v>
      </c>
      <c r="R480" t="s">
        <v>57</v>
      </c>
      <c r="S480" t="s">
        <v>194</v>
      </c>
    </row>
    <row r="481" spans="3:19" x14ac:dyDescent="0.25">
      <c r="C481">
        <v>3122115</v>
      </c>
      <c r="D481" s="3" t="s">
        <v>22</v>
      </c>
      <c r="E481" s="3">
        <v>1</v>
      </c>
      <c r="F481" s="3" t="s">
        <v>29</v>
      </c>
      <c r="G481" s="3" t="s">
        <v>189</v>
      </c>
      <c r="H481" s="3">
        <v>30</v>
      </c>
      <c r="I481" s="3" t="s">
        <v>19</v>
      </c>
      <c r="J481" s="3">
        <f t="shared" si="7"/>
        <v>0.5</v>
      </c>
      <c r="K481" s="3" t="s">
        <v>20</v>
      </c>
      <c r="L481" t="s">
        <v>51</v>
      </c>
      <c r="M481" t="s">
        <v>51</v>
      </c>
      <c r="N481" s="1">
        <v>0.85416666666666663</v>
      </c>
      <c r="O481" s="1">
        <v>0.91666666666666663</v>
      </c>
      <c r="P481" s="3">
        <v>4000112811</v>
      </c>
      <c r="Q481">
        <v>10051759</v>
      </c>
      <c r="R481" t="s">
        <v>58</v>
      </c>
      <c r="S481" t="s">
        <v>110</v>
      </c>
    </row>
    <row r="482" spans="3:19" x14ac:dyDescent="0.25">
      <c r="C482">
        <v>3123101</v>
      </c>
      <c r="D482" s="3" t="s">
        <v>22</v>
      </c>
      <c r="E482" s="3">
        <v>1</v>
      </c>
      <c r="F482" s="3" t="s">
        <v>29</v>
      </c>
      <c r="G482" s="3" t="s">
        <v>189</v>
      </c>
      <c r="H482" s="3">
        <v>30</v>
      </c>
      <c r="I482" s="3" t="s">
        <v>19</v>
      </c>
      <c r="J482" s="3">
        <f t="shared" si="7"/>
        <v>0.5</v>
      </c>
      <c r="K482" s="3" t="s">
        <v>20</v>
      </c>
      <c r="L482" t="s">
        <v>51</v>
      </c>
      <c r="M482" t="s">
        <v>51</v>
      </c>
      <c r="N482" s="1">
        <v>0.95833333333333337</v>
      </c>
      <c r="O482" s="1">
        <v>0.97916666666666663</v>
      </c>
      <c r="P482" s="3">
        <v>4000113403</v>
      </c>
      <c r="Q482">
        <v>10049565</v>
      </c>
      <c r="R482" t="s">
        <v>58</v>
      </c>
      <c r="S482" t="s">
        <v>65</v>
      </c>
    </row>
    <row r="483" spans="3:19" x14ac:dyDescent="0.25">
      <c r="C483">
        <v>3123138</v>
      </c>
      <c r="D483" s="3" t="s">
        <v>22</v>
      </c>
      <c r="E483" s="3">
        <v>1</v>
      </c>
      <c r="F483" s="3" t="s">
        <v>29</v>
      </c>
      <c r="G483" s="3" t="s">
        <v>189</v>
      </c>
      <c r="H483" s="3">
        <v>30</v>
      </c>
      <c r="I483" s="3" t="s">
        <v>19</v>
      </c>
      <c r="J483" s="3">
        <f t="shared" si="7"/>
        <v>0.5</v>
      </c>
      <c r="K483" s="3" t="s">
        <v>20</v>
      </c>
      <c r="L483" t="s">
        <v>51</v>
      </c>
      <c r="M483" t="s">
        <v>51</v>
      </c>
      <c r="N483" s="1">
        <v>0.95833333333333337</v>
      </c>
      <c r="O483" s="1">
        <v>0.97916666666666663</v>
      </c>
      <c r="P483" s="3">
        <v>4000113434</v>
      </c>
      <c r="Q483">
        <v>10051747</v>
      </c>
      <c r="R483" t="s">
        <v>58</v>
      </c>
      <c r="S483" t="s">
        <v>111</v>
      </c>
    </row>
    <row r="484" spans="3:19" x14ac:dyDescent="0.25">
      <c r="C484">
        <v>3132720</v>
      </c>
      <c r="D484" s="3" t="s">
        <v>22</v>
      </c>
      <c r="E484" s="3">
        <v>1</v>
      </c>
      <c r="F484" s="3" t="s">
        <v>29</v>
      </c>
      <c r="G484" s="3" t="s">
        <v>189</v>
      </c>
      <c r="H484" s="3">
        <v>30</v>
      </c>
      <c r="I484" s="3" t="s">
        <v>19</v>
      </c>
      <c r="J484" s="3">
        <f t="shared" si="7"/>
        <v>0.5</v>
      </c>
      <c r="K484" s="3" t="s">
        <v>20</v>
      </c>
      <c r="L484" t="s">
        <v>51</v>
      </c>
      <c r="M484" t="s">
        <v>51</v>
      </c>
      <c r="N484" s="1">
        <v>0.91666666666666663</v>
      </c>
      <c r="O484" s="1">
        <v>0.9375</v>
      </c>
      <c r="P484" s="3">
        <v>4000114077</v>
      </c>
      <c r="Q484">
        <v>10049534</v>
      </c>
      <c r="R484" t="s">
        <v>58</v>
      </c>
      <c r="S484" t="s">
        <v>112</v>
      </c>
    </row>
    <row r="485" spans="3:19" x14ac:dyDescent="0.25">
      <c r="C485">
        <v>3132721</v>
      </c>
      <c r="D485" s="3" t="s">
        <v>22</v>
      </c>
      <c r="E485" s="3">
        <v>1</v>
      </c>
      <c r="F485" s="3" t="s">
        <v>29</v>
      </c>
      <c r="G485" s="3" t="s">
        <v>189</v>
      </c>
      <c r="H485" s="3">
        <v>30</v>
      </c>
      <c r="I485" s="3" t="s">
        <v>19</v>
      </c>
      <c r="J485" s="3">
        <f t="shared" si="7"/>
        <v>0.5</v>
      </c>
      <c r="K485" s="3" t="s">
        <v>20</v>
      </c>
      <c r="L485" t="s">
        <v>51</v>
      </c>
      <c r="M485" t="s">
        <v>51</v>
      </c>
      <c r="N485" s="1">
        <v>0.9375</v>
      </c>
      <c r="O485" s="1">
        <v>0.95833333333333337</v>
      </c>
      <c r="P485" s="3">
        <v>4000114078</v>
      </c>
      <c r="Q485">
        <v>10049534</v>
      </c>
      <c r="R485" t="s">
        <v>58</v>
      </c>
      <c r="S485" t="s">
        <v>113</v>
      </c>
    </row>
    <row r="486" spans="3:19" x14ac:dyDescent="0.25">
      <c r="C486">
        <v>3120190</v>
      </c>
      <c r="D486" s="3" t="s">
        <v>55</v>
      </c>
      <c r="E486" s="3">
        <v>1</v>
      </c>
      <c r="F486" s="3" t="s">
        <v>29</v>
      </c>
      <c r="G486" s="3" t="s">
        <v>189</v>
      </c>
      <c r="H486" s="3">
        <v>30</v>
      </c>
      <c r="I486" s="3" t="s">
        <v>19</v>
      </c>
      <c r="J486" s="3">
        <f t="shared" si="7"/>
        <v>0.5</v>
      </c>
      <c r="K486" s="3" t="s">
        <v>20</v>
      </c>
      <c r="L486" t="s">
        <v>56</v>
      </c>
      <c r="M486" t="s">
        <v>56</v>
      </c>
      <c r="N486" s="1">
        <v>0.85416666666666663</v>
      </c>
      <c r="O486" s="1">
        <v>0.875</v>
      </c>
      <c r="P486" s="3">
        <v>4000112667</v>
      </c>
      <c r="Q486">
        <v>10051541</v>
      </c>
      <c r="R486" t="s">
        <v>57</v>
      </c>
      <c r="S486" t="s">
        <v>187</v>
      </c>
    </row>
    <row r="487" spans="3:19" x14ac:dyDescent="0.25">
      <c r="C487">
        <v>3122002</v>
      </c>
      <c r="D487" s="3" t="s">
        <v>55</v>
      </c>
      <c r="E487" s="3">
        <v>1</v>
      </c>
      <c r="F487" s="3" t="s">
        <v>29</v>
      </c>
      <c r="G487" s="3" t="s">
        <v>189</v>
      </c>
      <c r="H487" s="3">
        <v>30</v>
      </c>
      <c r="I487" s="3" t="s">
        <v>19</v>
      </c>
      <c r="J487" s="3">
        <f t="shared" si="7"/>
        <v>0.5</v>
      </c>
      <c r="K487" s="3" t="s">
        <v>20</v>
      </c>
      <c r="L487" t="s">
        <v>56</v>
      </c>
      <c r="M487" t="s">
        <v>56</v>
      </c>
      <c r="N487" s="1">
        <v>2.0833333333333332E-2</v>
      </c>
      <c r="O487" s="1">
        <v>6.25E-2</v>
      </c>
      <c r="P487" s="3">
        <v>4000112679</v>
      </c>
      <c r="Q487">
        <v>10051581</v>
      </c>
      <c r="R487" t="s">
        <v>57</v>
      </c>
      <c r="S487" t="s">
        <v>194</v>
      </c>
    </row>
    <row r="488" spans="3:19" x14ac:dyDescent="0.25">
      <c r="C488">
        <v>3122006</v>
      </c>
      <c r="D488" s="3" t="s">
        <v>55</v>
      </c>
      <c r="E488" s="3">
        <v>1</v>
      </c>
      <c r="F488" s="3" t="s">
        <v>29</v>
      </c>
      <c r="G488" s="3" t="s">
        <v>189</v>
      </c>
      <c r="H488" s="3">
        <v>30</v>
      </c>
      <c r="I488" s="3" t="s">
        <v>19</v>
      </c>
      <c r="J488" s="3">
        <f t="shared" si="7"/>
        <v>0.5</v>
      </c>
      <c r="K488" s="3" t="s">
        <v>20</v>
      </c>
      <c r="L488" t="s">
        <v>56</v>
      </c>
      <c r="M488" t="s">
        <v>56</v>
      </c>
      <c r="N488" s="1">
        <v>0.89583333333333337</v>
      </c>
      <c r="O488" s="1">
        <v>0.91666666666666663</v>
      </c>
      <c r="P488" s="3">
        <v>4000112703</v>
      </c>
      <c r="Q488">
        <v>10051548</v>
      </c>
      <c r="R488" t="s">
        <v>57</v>
      </c>
      <c r="S488" t="s">
        <v>187</v>
      </c>
    </row>
    <row r="489" spans="3:19" x14ac:dyDescent="0.25">
      <c r="C489">
        <v>3122019</v>
      </c>
      <c r="D489" s="3" t="s">
        <v>55</v>
      </c>
      <c r="E489" s="3">
        <v>1</v>
      </c>
      <c r="F489" s="3" t="s">
        <v>29</v>
      </c>
      <c r="G489" s="3" t="s">
        <v>189</v>
      </c>
      <c r="H489" s="3">
        <v>30</v>
      </c>
      <c r="I489" s="3" t="s">
        <v>19</v>
      </c>
      <c r="J489" s="3">
        <f t="shared" si="7"/>
        <v>0.5</v>
      </c>
      <c r="K489" s="3" t="s">
        <v>20</v>
      </c>
      <c r="L489" t="s">
        <v>56</v>
      </c>
      <c r="M489" t="s">
        <v>56</v>
      </c>
      <c r="N489" s="1">
        <v>0.91666666666666663</v>
      </c>
      <c r="O489" s="1">
        <v>0.9375</v>
      </c>
      <c r="P489" s="3">
        <v>4000112716</v>
      </c>
      <c r="Q489">
        <v>10049465</v>
      </c>
      <c r="R489" t="s">
        <v>57</v>
      </c>
      <c r="S489" t="s">
        <v>197</v>
      </c>
    </row>
    <row r="490" spans="3:19" x14ac:dyDescent="0.25">
      <c r="C490">
        <v>3122739</v>
      </c>
      <c r="D490" s="3" t="s">
        <v>55</v>
      </c>
      <c r="E490" s="3">
        <v>1</v>
      </c>
      <c r="F490" s="3" t="s">
        <v>29</v>
      </c>
      <c r="G490" s="3" t="s">
        <v>189</v>
      </c>
      <c r="H490" s="3">
        <v>30</v>
      </c>
      <c r="I490" s="3" t="s">
        <v>19</v>
      </c>
      <c r="J490" s="3">
        <f t="shared" si="7"/>
        <v>0.5</v>
      </c>
      <c r="K490" s="3" t="s">
        <v>20</v>
      </c>
      <c r="L490" t="s">
        <v>56</v>
      </c>
      <c r="M490" t="s">
        <v>56</v>
      </c>
      <c r="N490" s="1">
        <v>0.875</v>
      </c>
      <c r="O490" s="1">
        <v>0.89583333333333337</v>
      </c>
      <c r="P490" s="3">
        <v>4000113344</v>
      </c>
      <c r="Q490">
        <v>10051541</v>
      </c>
      <c r="R490" t="s">
        <v>57</v>
      </c>
      <c r="S490" t="s">
        <v>194</v>
      </c>
    </row>
    <row r="491" spans="3:19" x14ac:dyDescent="0.25">
      <c r="C491">
        <v>3123118</v>
      </c>
      <c r="D491" s="3" t="s">
        <v>22</v>
      </c>
      <c r="E491" s="3">
        <v>1</v>
      </c>
      <c r="F491" s="3" t="s">
        <v>29</v>
      </c>
      <c r="G491" s="3" t="s">
        <v>189</v>
      </c>
      <c r="H491" s="3">
        <v>30</v>
      </c>
      <c r="I491" s="3" t="s">
        <v>19</v>
      </c>
      <c r="J491" s="3">
        <f t="shared" si="7"/>
        <v>0.5</v>
      </c>
      <c r="K491" s="3" t="s">
        <v>20</v>
      </c>
      <c r="L491" t="s">
        <v>56</v>
      </c>
      <c r="M491" t="s">
        <v>56</v>
      </c>
      <c r="N491" s="1">
        <v>0</v>
      </c>
      <c r="O491" s="1">
        <v>2.0833333333333332E-2</v>
      </c>
      <c r="P491" s="3">
        <v>4000113418</v>
      </c>
      <c r="Q491">
        <v>10049578</v>
      </c>
      <c r="R491" t="s">
        <v>58</v>
      </c>
      <c r="S491" t="s">
        <v>65</v>
      </c>
    </row>
    <row r="492" spans="3:19" x14ac:dyDescent="0.25">
      <c r="C492">
        <v>3123143</v>
      </c>
      <c r="D492" s="3" t="s">
        <v>22</v>
      </c>
      <c r="E492" s="3">
        <v>1</v>
      </c>
      <c r="F492" s="3" t="s">
        <v>29</v>
      </c>
      <c r="G492" s="3" t="s">
        <v>189</v>
      </c>
      <c r="H492" s="3">
        <v>30</v>
      </c>
      <c r="I492" s="3" t="s">
        <v>19</v>
      </c>
      <c r="J492" s="3">
        <f t="shared" si="7"/>
        <v>0.5</v>
      </c>
      <c r="K492" s="3" t="s">
        <v>20</v>
      </c>
      <c r="L492" t="s">
        <v>56</v>
      </c>
      <c r="M492" t="s">
        <v>56</v>
      </c>
      <c r="N492" s="1">
        <v>2.0833333333333332E-2</v>
      </c>
      <c r="O492" s="1">
        <v>4.1666666666666664E-2</v>
      </c>
      <c r="P492" s="3">
        <v>4000113439</v>
      </c>
      <c r="Q492">
        <v>10051174</v>
      </c>
      <c r="R492" t="s">
        <v>58</v>
      </c>
      <c r="S492" t="s">
        <v>65</v>
      </c>
    </row>
    <row r="493" spans="3:19" x14ac:dyDescent="0.25">
      <c r="C493">
        <v>3120241</v>
      </c>
      <c r="D493" s="3" t="s">
        <v>22</v>
      </c>
      <c r="E493" s="3">
        <v>3</v>
      </c>
      <c r="F493" s="3" t="s">
        <v>29</v>
      </c>
      <c r="G493" s="3" t="s">
        <v>189</v>
      </c>
      <c r="H493" s="3">
        <v>240</v>
      </c>
      <c r="I493" s="3" t="s">
        <v>19</v>
      </c>
      <c r="J493" s="3">
        <f t="shared" si="7"/>
        <v>4</v>
      </c>
      <c r="K493" s="3" t="s">
        <v>20</v>
      </c>
      <c r="L493" t="s">
        <v>24</v>
      </c>
      <c r="M493" t="s">
        <v>24</v>
      </c>
      <c r="N493" s="1">
        <v>0.375</v>
      </c>
      <c r="O493" s="1">
        <v>0.5</v>
      </c>
      <c r="P493" s="3">
        <v>4000112108</v>
      </c>
      <c r="Q493">
        <v>10051396</v>
      </c>
      <c r="R493" t="s">
        <v>36</v>
      </c>
      <c r="S493" t="s">
        <v>198</v>
      </c>
    </row>
    <row r="494" spans="3:19" x14ac:dyDescent="0.25">
      <c r="C494">
        <v>3120188</v>
      </c>
      <c r="D494" s="3" t="s">
        <v>55</v>
      </c>
      <c r="E494" s="3">
        <v>1</v>
      </c>
      <c r="F494" s="3" t="s">
        <v>29</v>
      </c>
      <c r="G494" s="3" t="s">
        <v>189</v>
      </c>
      <c r="H494" s="3">
        <v>30</v>
      </c>
      <c r="I494" s="3" t="s">
        <v>19</v>
      </c>
      <c r="J494" s="3">
        <f t="shared" si="7"/>
        <v>0.5</v>
      </c>
      <c r="K494" s="3" t="s">
        <v>20</v>
      </c>
      <c r="L494" t="s">
        <v>24</v>
      </c>
      <c r="M494" t="s">
        <v>24</v>
      </c>
      <c r="N494" s="1">
        <v>6.25E-2</v>
      </c>
      <c r="O494" s="1">
        <v>8.3333333333333329E-2</v>
      </c>
      <c r="P494" s="3">
        <v>4000112665</v>
      </c>
      <c r="Q494">
        <v>10051218</v>
      </c>
      <c r="R494" t="s">
        <v>31</v>
      </c>
      <c r="S494" t="s">
        <v>194</v>
      </c>
    </row>
    <row r="495" spans="3:19" x14ac:dyDescent="0.25">
      <c r="C495">
        <v>3122021</v>
      </c>
      <c r="D495" s="3" t="s">
        <v>55</v>
      </c>
      <c r="E495" s="3">
        <v>1</v>
      </c>
      <c r="F495" s="3" t="s">
        <v>29</v>
      </c>
      <c r="G495" s="3" t="s">
        <v>189</v>
      </c>
      <c r="H495" s="3">
        <v>30</v>
      </c>
      <c r="I495" s="3" t="s">
        <v>19</v>
      </c>
      <c r="J495" s="3">
        <f t="shared" si="7"/>
        <v>0.5</v>
      </c>
      <c r="K495" s="3" t="s">
        <v>20</v>
      </c>
      <c r="L495" t="s">
        <v>24</v>
      </c>
      <c r="M495" t="s">
        <v>24</v>
      </c>
      <c r="N495" s="1">
        <v>0</v>
      </c>
      <c r="O495" s="1">
        <v>2.0833333333333332E-2</v>
      </c>
      <c r="P495" s="3">
        <v>4000112718</v>
      </c>
      <c r="Q495">
        <v>10051581</v>
      </c>
      <c r="R495" t="s">
        <v>57</v>
      </c>
      <c r="S495" t="s">
        <v>185</v>
      </c>
    </row>
    <row r="496" spans="3:19" x14ac:dyDescent="0.25">
      <c r="C496">
        <v>3122798</v>
      </c>
      <c r="D496" s="3" t="s">
        <v>17</v>
      </c>
      <c r="E496" s="3">
        <v>1</v>
      </c>
      <c r="F496" s="3" t="s">
        <v>29</v>
      </c>
      <c r="G496" s="3" t="s">
        <v>189</v>
      </c>
      <c r="H496" s="3">
        <v>60</v>
      </c>
      <c r="I496" s="3" t="s">
        <v>19</v>
      </c>
      <c r="J496" s="3">
        <f t="shared" si="7"/>
        <v>1</v>
      </c>
      <c r="K496" s="3" t="s">
        <v>20</v>
      </c>
      <c r="L496" t="s">
        <v>24</v>
      </c>
      <c r="M496" t="s">
        <v>24</v>
      </c>
      <c r="N496" s="1">
        <v>0.625</v>
      </c>
      <c r="O496" s="1">
        <v>0.66666666666666663</v>
      </c>
      <c r="P496" s="3">
        <v>4000113400</v>
      </c>
      <c r="Q496">
        <v>10051704</v>
      </c>
      <c r="R496" t="s">
        <v>58</v>
      </c>
      <c r="S496" t="s">
        <v>32</v>
      </c>
    </row>
    <row r="497" spans="3:19" x14ac:dyDescent="0.25">
      <c r="C497">
        <v>3120190</v>
      </c>
      <c r="D497" s="3" t="s">
        <v>28</v>
      </c>
      <c r="E497" s="3">
        <v>2</v>
      </c>
      <c r="F497" s="3" t="s">
        <v>29</v>
      </c>
      <c r="G497" s="3" t="s">
        <v>189</v>
      </c>
      <c r="H497" s="3">
        <v>30</v>
      </c>
      <c r="I497" s="3" t="s">
        <v>19</v>
      </c>
      <c r="J497" s="3">
        <f t="shared" si="7"/>
        <v>0.5</v>
      </c>
      <c r="K497" s="3" t="s">
        <v>20</v>
      </c>
      <c r="L497" t="s">
        <v>17</v>
      </c>
      <c r="M497" t="s">
        <v>17</v>
      </c>
      <c r="N497" s="1">
        <v>0.54166666666666663</v>
      </c>
      <c r="O497" s="1">
        <v>0.5625</v>
      </c>
      <c r="P497" s="3">
        <v>4000112667</v>
      </c>
      <c r="Q497">
        <v>10051541</v>
      </c>
      <c r="R497" t="s">
        <v>57</v>
      </c>
      <c r="S497" t="s">
        <v>96</v>
      </c>
    </row>
    <row r="498" spans="3:19" x14ac:dyDescent="0.25">
      <c r="C498">
        <v>3122006</v>
      </c>
      <c r="D498" s="3" t="s">
        <v>28</v>
      </c>
      <c r="E498" s="3">
        <v>2</v>
      </c>
      <c r="F498" s="3" t="s">
        <v>29</v>
      </c>
      <c r="G498" s="3" t="s">
        <v>189</v>
      </c>
      <c r="H498" s="3">
        <v>30</v>
      </c>
      <c r="I498" s="3" t="s">
        <v>19</v>
      </c>
      <c r="J498" s="3">
        <f t="shared" si="7"/>
        <v>0.5</v>
      </c>
      <c r="K498" s="3" t="s">
        <v>20</v>
      </c>
      <c r="L498" t="s">
        <v>55</v>
      </c>
      <c r="M498" t="s">
        <v>55</v>
      </c>
      <c r="N498" s="1">
        <v>0.60416666666666663</v>
      </c>
      <c r="O498" s="1">
        <v>0.625</v>
      </c>
      <c r="P498" s="3">
        <v>4000112703</v>
      </c>
      <c r="Q498">
        <v>10051548</v>
      </c>
      <c r="R498" t="s">
        <v>57</v>
      </c>
      <c r="S498" t="s">
        <v>96</v>
      </c>
    </row>
    <row r="499" spans="3:19" x14ac:dyDescent="0.25">
      <c r="C499">
        <v>3134178</v>
      </c>
      <c r="D499" s="3" t="s">
        <v>28</v>
      </c>
      <c r="E499" s="3">
        <v>1</v>
      </c>
      <c r="F499" s="3" t="s">
        <v>29</v>
      </c>
      <c r="G499" s="3" t="s">
        <v>189</v>
      </c>
      <c r="H499" s="3">
        <v>30</v>
      </c>
      <c r="I499" s="3" t="s">
        <v>19</v>
      </c>
      <c r="J499" s="3">
        <f t="shared" si="7"/>
        <v>0.5</v>
      </c>
      <c r="K499" s="3" t="s">
        <v>20</v>
      </c>
      <c r="L499" t="s">
        <v>55</v>
      </c>
      <c r="M499" t="s">
        <v>55</v>
      </c>
      <c r="N499" s="1">
        <v>0.625</v>
      </c>
      <c r="O499" s="1">
        <v>0.64583333333333337</v>
      </c>
      <c r="P499" s="3">
        <v>4000114927</v>
      </c>
      <c r="Q499">
        <v>10049465</v>
      </c>
      <c r="R499" t="s">
        <v>57</v>
      </c>
      <c r="S499" t="s">
        <v>199</v>
      </c>
    </row>
    <row r="500" spans="3:19" x14ac:dyDescent="0.25">
      <c r="C500">
        <v>3134236</v>
      </c>
      <c r="D500" s="3" t="s">
        <v>28</v>
      </c>
      <c r="E500" s="3">
        <v>1</v>
      </c>
      <c r="F500" s="3" t="s">
        <v>29</v>
      </c>
      <c r="G500" s="3" t="s">
        <v>189</v>
      </c>
      <c r="H500" s="3">
        <v>30</v>
      </c>
      <c r="I500" s="3" t="s">
        <v>19</v>
      </c>
      <c r="J500" s="3">
        <f t="shared" si="7"/>
        <v>0.5</v>
      </c>
      <c r="K500" s="3" t="s">
        <v>20</v>
      </c>
      <c r="L500" t="s">
        <v>55</v>
      </c>
      <c r="M500" t="s">
        <v>55</v>
      </c>
      <c r="N500" s="1">
        <v>0.60416666666666663</v>
      </c>
      <c r="O500" s="1">
        <v>0.625</v>
      </c>
      <c r="P500" s="3">
        <v>4000114983</v>
      </c>
      <c r="Q500">
        <v>10051548</v>
      </c>
      <c r="R500" t="s">
        <v>57</v>
      </c>
      <c r="S500" t="s">
        <v>114</v>
      </c>
    </row>
    <row r="501" spans="3:19" x14ac:dyDescent="0.25">
      <c r="C501">
        <v>3134248</v>
      </c>
      <c r="D501" s="3" t="s">
        <v>28</v>
      </c>
      <c r="E501" s="3">
        <v>2</v>
      </c>
      <c r="F501" s="3" t="s">
        <v>29</v>
      </c>
      <c r="G501" s="3" t="s">
        <v>189</v>
      </c>
      <c r="H501" s="3">
        <v>30</v>
      </c>
      <c r="I501" s="3" t="s">
        <v>19</v>
      </c>
      <c r="J501" s="3">
        <f t="shared" si="7"/>
        <v>0.5</v>
      </c>
      <c r="K501" s="3" t="s">
        <v>20</v>
      </c>
      <c r="L501" t="s">
        <v>55</v>
      </c>
      <c r="M501" t="s">
        <v>55</v>
      </c>
      <c r="N501" s="1">
        <v>0.5625</v>
      </c>
      <c r="O501" s="1">
        <v>0.58333333333333337</v>
      </c>
      <c r="P501" s="3">
        <v>4000114994</v>
      </c>
      <c r="Q501">
        <v>10051541</v>
      </c>
      <c r="R501" t="s">
        <v>57</v>
      </c>
      <c r="S501" t="s">
        <v>114</v>
      </c>
    </row>
    <row r="502" spans="3:19" x14ac:dyDescent="0.25">
      <c r="C502">
        <v>3134106</v>
      </c>
      <c r="D502" s="3" t="s">
        <v>28</v>
      </c>
      <c r="E502" s="3">
        <v>1</v>
      </c>
      <c r="F502" s="3" t="s">
        <v>29</v>
      </c>
      <c r="G502" s="3" t="s">
        <v>189</v>
      </c>
      <c r="H502" s="3">
        <v>30</v>
      </c>
      <c r="I502" s="3" t="s">
        <v>19</v>
      </c>
      <c r="J502" s="3">
        <f t="shared" si="7"/>
        <v>0.5</v>
      </c>
      <c r="K502" s="3" t="s">
        <v>20</v>
      </c>
      <c r="L502" t="s">
        <v>22</v>
      </c>
      <c r="M502" t="s">
        <v>22</v>
      </c>
      <c r="N502" s="1">
        <v>0.6875</v>
      </c>
      <c r="O502" s="1">
        <v>0.70833333333333337</v>
      </c>
      <c r="P502" s="3">
        <v>4000114865</v>
      </c>
      <c r="Q502">
        <v>10049657</v>
      </c>
      <c r="R502" t="s">
        <v>38</v>
      </c>
      <c r="S502" t="s">
        <v>115</v>
      </c>
    </row>
    <row r="503" spans="3:19" x14ac:dyDescent="0.25">
      <c r="C503">
        <v>3134249</v>
      </c>
      <c r="D503" s="3" t="s">
        <v>28</v>
      </c>
      <c r="E503" s="3">
        <v>1</v>
      </c>
      <c r="F503" s="3" t="s">
        <v>29</v>
      </c>
      <c r="G503" s="3" t="s">
        <v>189</v>
      </c>
      <c r="H503" s="3">
        <v>30</v>
      </c>
      <c r="I503" s="3" t="s">
        <v>19</v>
      </c>
      <c r="J503" s="3">
        <f t="shared" si="7"/>
        <v>0.5</v>
      </c>
      <c r="K503" s="3" t="s">
        <v>20</v>
      </c>
      <c r="L503" t="s">
        <v>22</v>
      </c>
      <c r="M503" t="s">
        <v>22</v>
      </c>
      <c r="N503" s="1">
        <v>0.39583333333333331</v>
      </c>
      <c r="O503" s="1">
        <v>0.41666666666666669</v>
      </c>
      <c r="P503" s="3">
        <v>4000114995</v>
      </c>
      <c r="Q503">
        <v>10049640</v>
      </c>
      <c r="R503" t="s">
        <v>38</v>
      </c>
      <c r="S503" t="s">
        <v>116</v>
      </c>
    </row>
    <row r="504" spans="3:19" x14ac:dyDescent="0.25">
      <c r="C504">
        <v>3134251</v>
      </c>
      <c r="D504" s="3" t="s">
        <v>28</v>
      </c>
      <c r="E504" s="3">
        <v>1</v>
      </c>
      <c r="F504" s="3" t="s">
        <v>29</v>
      </c>
      <c r="G504" s="3" t="s">
        <v>189</v>
      </c>
      <c r="H504" s="3">
        <v>30</v>
      </c>
      <c r="I504" s="3" t="s">
        <v>19</v>
      </c>
      <c r="J504" s="3">
        <f t="shared" si="7"/>
        <v>0.5</v>
      </c>
      <c r="K504" s="3" t="s">
        <v>20</v>
      </c>
      <c r="L504" t="s">
        <v>22</v>
      </c>
      <c r="M504" t="s">
        <v>22</v>
      </c>
      <c r="N504" s="1">
        <v>0.66666666666666663</v>
      </c>
      <c r="O504" s="1">
        <v>0.6875</v>
      </c>
      <c r="P504" s="3">
        <v>4000114997</v>
      </c>
      <c r="Q504">
        <v>10049657</v>
      </c>
      <c r="R504" t="s">
        <v>38</v>
      </c>
      <c r="S504" t="s">
        <v>117</v>
      </c>
    </row>
    <row r="505" spans="3:19" x14ac:dyDescent="0.25">
      <c r="C505">
        <v>3137174</v>
      </c>
      <c r="D505" s="3" t="s">
        <v>28</v>
      </c>
      <c r="E505" s="3">
        <v>1</v>
      </c>
      <c r="F505" s="3" t="s">
        <v>29</v>
      </c>
      <c r="G505" s="3" t="s">
        <v>189</v>
      </c>
      <c r="H505" s="3">
        <v>30</v>
      </c>
      <c r="I505" s="3" t="s">
        <v>19</v>
      </c>
      <c r="J505" s="3">
        <f t="shared" si="7"/>
        <v>0.5</v>
      </c>
      <c r="K505" s="3" t="s">
        <v>20</v>
      </c>
      <c r="L505" t="s">
        <v>22</v>
      </c>
      <c r="M505" t="s">
        <v>22</v>
      </c>
      <c r="N505" s="1">
        <v>0.6875</v>
      </c>
      <c r="O505" s="1">
        <v>0.70833333333333337</v>
      </c>
      <c r="P505" s="3">
        <v>4000115995</v>
      </c>
      <c r="Q505">
        <v>10049640</v>
      </c>
      <c r="R505" t="s">
        <v>38</v>
      </c>
      <c r="S505" t="s">
        <v>107</v>
      </c>
    </row>
    <row r="506" spans="3:19" x14ac:dyDescent="0.25">
      <c r="C506">
        <v>3134258</v>
      </c>
      <c r="D506" s="3" t="s">
        <v>28</v>
      </c>
      <c r="E506" s="3">
        <v>1</v>
      </c>
      <c r="F506" s="3" t="s">
        <v>29</v>
      </c>
      <c r="G506" s="3" t="s">
        <v>189</v>
      </c>
      <c r="H506" s="3">
        <v>30</v>
      </c>
      <c r="I506" s="3" t="s">
        <v>19</v>
      </c>
      <c r="J506" s="3">
        <f t="shared" si="7"/>
        <v>0.5</v>
      </c>
      <c r="K506" s="3" t="s">
        <v>20</v>
      </c>
      <c r="L506" t="s">
        <v>118</v>
      </c>
      <c r="M506" t="s">
        <v>118</v>
      </c>
      <c r="N506" s="1">
        <v>0.72916666666666663</v>
      </c>
      <c r="O506" s="1">
        <v>0.75</v>
      </c>
      <c r="P506" s="3">
        <v>4000115004</v>
      </c>
      <c r="Q506">
        <v>10051738</v>
      </c>
      <c r="R506" t="s">
        <v>58</v>
      </c>
      <c r="S506" t="s">
        <v>200</v>
      </c>
    </row>
    <row r="507" spans="3:19" x14ac:dyDescent="0.25">
      <c r="C507">
        <v>3134259</v>
      </c>
      <c r="D507" s="3" t="s">
        <v>28</v>
      </c>
      <c r="E507" s="3">
        <v>1</v>
      </c>
      <c r="F507" s="3" t="s">
        <v>29</v>
      </c>
      <c r="G507" s="3" t="s">
        <v>189</v>
      </c>
      <c r="H507" s="3">
        <v>30</v>
      </c>
      <c r="I507" s="3" t="s">
        <v>19</v>
      </c>
      <c r="J507" s="3">
        <f t="shared" si="7"/>
        <v>0.5</v>
      </c>
      <c r="K507" s="3" t="s">
        <v>20</v>
      </c>
      <c r="L507" t="s">
        <v>118</v>
      </c>
      <c r="M507" t="s">
        <v>118</v>
      </c>
      <c r="N507" s="1">
        <v>0.45833333333333331</v>
      </c>
      <c r="O507" s="1">
        <v>0.47916666666666669</v>
      </c>
      <c r="P507" s="3">
        <v>4000115005</v>
      </c>
      <c r="Q507">
        <v>10051759</v>
      </c>
      <c r="R507" t="s">
        <v>58</v>
      </c>
      <c r="S507" t="s">
        <v>96</v>
      </c>
    </row>
    <row r="508" spans="3:19" x14ac:dyDescent="0.25">
      <c r="C508">
        <v>3134271</v>
      </c>
      <c r="D508" s="3" t="s">
        <v>28</v>
      </c>
      <c r="E508" s="3">
        <v>1</v>
      </c>
      <c r="F508" s="3" t="s">
        <v>29</v>
      </c>
      <c r="G508" s="3" t="s">
        <v>189</v>
      </c>
      <c r="H508" s="3">
        <v>30</v>
      </c>
      <c r="I508" s="3" t="s">
        <v>19</v>
      </c>
      <c r="J508" s="3">
        <f t="shared" si="7"/>
        <v>0.5</v>
      </c>
      <c r="K508" s="3" t="s">
        <v>20</v>
      </c>
      <c r="L508" t="s">
        <v>118</v>
      </c>
      <c r="M508" t="s">
        <v>118</v>
      </c>
      <c r="N508" s="1">
        <v>0.4375</v>
      </c>
      <c r="O508" s="1">
        <v>0.45833333333333331</v>
      </c>
      <c r="P508" s="3">
        <v>4000115017</v>
      </c>
      <c r="Q508">
        <v>10049534</v>
      </c>
      <c r="R508" t="s">
        <v>58</v>
      </c>
      <c r="S508" t="s">
        <v>119</v>
      </c>
    </row>
    <row r="509" spans="3:19" x14ac:dyDescent="0.25">
      <c r="C509">
        <v>3134275</v>
      </c>
      <c r="D509" s="3" t="s">
        <v>28</v>
      </c>
      <c r="E509" s="3">
        <v>1</v>
      </c>
      <c r="F509" s="3" t="s">
        <v>29</v>
      </c>
      <c r="G509" s="3" t="s">
        <v>189</v>
      </c>
      <c r="H509" s="3">
        <v>60</v>
      </c>
      <c r="I509" s="3" t="s">
        <v>19</v>
      </c>
      <c r="J509" s="3">
        <f t="shared" si="7"/>
        <v>1</v>
      </c>
      <c r="K509" s="3" t="s">
        <v>20</v>
      </c>
      <c r="L509" t="s">
        <v>118</v>
      </c>
      <c r="M509" t="s">
        <v>118</v>
      </c>
      <c r="N509" s="1">
        <v>0.54166666666666663</v>
      </c>
      <c r="O509" s="1">
        <v>0.58333333333333337</v>
      </c>
      <c r="P509" s="3">
        <v>4000115021</v>
      </c>
      <c r="Q509">
        <v>10051747</v>
      </c>
      <c r="R509" t="s">
        <v>58</v>
      </c>
      <c r="S509" t="s">
        <v>96</v>
      </c>
    </row>
    <row r="510" spans="3:19" x14ac:dyDescent="0.25">
      <c r="C510">
        <v>3134277</v>
      </c>
      <c r="D510" s="3" t="s">
        <v>28</v>
      </c>
      <c r="E510" s="3">
        <v>1</v>
      </c>
      <c r="F510" s="3" t="s">
        <v>29</v>
      </c>
      <c r="G510" s="3" t="s">
        <v>189</v>
      </c>
      <c r="H510" s="3">
        <v>30</v>
      </c>
      <c r="I510" s="3" t="s">
        <v>19</v>
      </c>
      <c r="J510" s="3">
        <f t="shared" si="7"/>
        <v>0.5</v>
      </c>
      <c r="K510" s="3" t="s">
        <v>20</v>
      </c>
      <c r="L510" t="s">
        <v>118</v>
      </c>
      <c r="M510" t="s">
        <v>118</v>
      </c>
      <c r="N510" s="1">
        <v>0.41666666666666669</v>
      </c>
      <c r="O510" s="1">
        <v>0.4375</v>
      </c>
      <c r="P510" s="3">
        <v>4000115023</v>
      </c>
      <c r="Q510">
        <v>10049534</v>
      </c>
      <c r="R510" t="s">
        <v>58</v>
      </c>
      <c r="S510" t="s">
        <v>120</v>
      </c>
    </row>
    <row r="511" spans="3:19" x14ac:dyDescent="0.25">
      <c r="C511">
        <v>3134278</v>
      </c>
      <c r="D511" s="3" t="s">
        <v>28</v>
      </c>
      <c r="E511" s="3">
        <v>1</v>
      </c>
      <c r="F511" s="3" t="s">
        <v>29</v>
      </c>
      <c r="G511" s="3" t="s">
        <v>189</v>
      </c>
      <c r="H511" s="3">
        <v>30</v>
      </c>
      <c r="I511" s="3" t="s">
        <v>19</v>
      </c>
      <c r="J511" s="3">
        <f t="shared" si="7"/>
        <v>0.5</v>
      </c>
      <c r="K511" s="3" t="s">
        <v>20</v>
      </c>
      <c r="L511" t="s">
        <v>118</v>
      </c>
      <c r="M511" t="s">
        <v>118</v>
      </c>
      <c r="N511" s="1">
        <v>0.35416666666666669</v>
      </c>
      <c r="O511" s="1">
        <v>0.375</v>
      </c>
      <c r="P511" s="3">
        <v>4000115024</v>
      </c>
      <c r="Q511">
        <v>10051738</v>
      </c>
      <c r="R511" t="s">
        <v>58</v>
      </c>
      <c r="S511" t="s">
        <v>115</v>
      </c>
    </row>
    <row r="512" spans="3:19" x14ac:dyDescent="0.25">
      <c r="C512">
        <v>3134298</v>
      </c>
      <c r="D512" s="3" t="s">
        <v>28</v>
      </c>
      <c r="E512" s="3">
        <v>1</v>
      </c>
      <c r="F512" s="3" t="s">
        <v>29</v>
      </c>
      <c r="G512" s="3" t="s">
        <v>189</v>
      </c>
      <c r="H512" s="3">
        <v>30</v>
      </c>
      <c r="I512" s="3" t="s">
        <v>19</v>
      </c>
      <c r="J512" s="3">
        <f t="shared" si="7"/>
        <v>0.5</v>
      </c>
      <c r="K512" s="3" t="s">
        <v>20</v>
      </c>
      <c r="L512" t="s">
        <v>118</v>
      </c>
      <c r="M512" t="s">
        <v>118</v>
      </c>
      <c r="N512" s="1">
        <v>0.375</v>
      </c>
      <c r="O512" s="1">
        <v>0.39583333333333331</v>
      </c>
      <c r="P512" s="3">
        <v>4000115044</v>
      </c>
      <c r="Q512">
        <v>10051738</v>
      </c>
      <c r="R512" t="s">
        <v>58</v>
      </c>
      <c r="S512" t="s">
        <v>96</v>
      </c>
    </row>
    <row r="513" spans="3:19" x14ac:dyDescent="0.25">
      <c r="C513">
        <v>3134304</v>
      </c>
      <c r="D513" s="3" t="s">
        <v>28</v>
      </c>
      <c r="E513" s="3">
        <v>1</v>
      </c>
      <c r="F513" s="3" t="s">
        <v>29</v>
      </c>
      <c r="G513" s="3" t="s">
        <v>189</v>
      </c>
      <c r="H513" s="3">
        <v>30</v>
      </c>
      <c r="I513" s="3" t="s">
        <v>19</v>
      </c>
      <c r="J513" s="3">
        <f t="shared" si="7"/>
        <v>0.5</v>
      </c>
      <c r="K513" s="3" t="s">
        <v>20</v>
      </c>
      <c r="L513" t="s">
        <v>118</v>
      </c>
      <c r="M513" t="s">
        <v>118</v>
      </c>
      <c r="N513" s="1">
        <v>0.47916666666666669</v>
      </c>
      <c r="O513" s="1">
        <v>0.5</v>
      </c>
      <c r="P513" s="3">
        <v>4000115050</v>
      </c>
      <c r="Q513">
        <v>10051759</v>
      </c>
      <c r="R513" t="s">
        <v>58</v>
      </c>
      <c r="S513" t="s">
        <v>114</v>
      </c>
    </row>
    <row r="514" spans="3:19" x14ac:dyDescent="0.25">
      <c r="C514">
        <v>3134311</v>
      </c>
      <c r="D514" s="3" t="s">
        <v>28</v>
      </c>
      <c r="E514" s="3">
        <v>1</v>
      </c>
      <c r="F514" s="3" t="s">
        <v>29</v>
      </c>
      <c r="G514" s="3" t="s">
        <v>189</v>
      </c>
      <c r="H514" s="3">
        <v>30</v>
      </c>
      <c r="I514" s="3" t="s">
        <v>19</v>
      </c>
      <c r="J514" s="3">
        <f t="shared" si="7"/>
        <v>0.5</v>
      </c>
      <c r="K514" s="3" t="s">
        <v>20</v>
      </c>
      <c r="L514" t="s">
        <v>118</v>
      </c>
      <c r="M514" t="s">
        <v>118</v>
      </c>
      <c r="N514" s="1">
        <v>0.54166666666666663</v>
      </c>
      <c r="O514" s="1">
        <v>0.5625</v>
      </c>
      <c r="P514" s="3">
        <v>4000115057</v>
      </c>
      <c r="Q514">
        <v>10051747</v>
      </c>
      <c r="R514" t="s">
        <v>58</v>
      </c>
      <c r="S514" t="s">
        <v>201</v>
      </c>
    </row>
    <row r="515" spans="3:19" x14ac:dyDescent="0.25">
      <c r="C515">
        <v>3137646</v>
      </c>
      <c r="D515" s="3" t="s">
        <v>28</v>
      </c>
      <c r="E515" s="3">
        <v>1</v>
      </c>
      <c r="F515" s="3" t="s">
        <v>29</v>
      </c>
      <c r="G515" s="3" t="s">
        <v>189</v>
      </c>
      <c r="H515" s="3">
        <v>30</v>
      </c>
      <c r="I515" s="3" t="s">
        <v>19</v>
      </c>
      <c r="J515" s="3">
        <f t="shared" si="7"/>
        <v>0.5</v>
      </c>
      <c r="K515" s="3" t="s">
        <v>20</v>
      </c>
      <c r="L515" t="s">
        <v>118</v>
      </c>
      <c r="M515" t="s">
        <v>118</v>
      </c>
      <c r="N515" s="1">
        <v>0.375</v>
      </c>
      <c r="O515" s="1">
        <v>0.39583333333333331</v>
      </c>
      <c r="P515" s="3">
        <v>4000116079</v>
      </c>
      <c r="Q515">
        <v>10049534</v>
      </c>
      <c r="R515" t="s">
        <v>58</v>
      </c>
      <c r="S515" t="s">
        <v>121</v>
      </c>
    </row>
    <row r="516" spans="3:19" x14ac:dyDescent="0.25">
      <c r="C516">
        <v>3137647</v>
      </c>
      <c r="D516" s="3" t="s">
        <v>28</v>
      </c>
      <c r="E516" s="3">
        <v>1</v>
      </c>
      <c r="F516" s="3" t="s">
        <v>29</v>
      </c>
      <c r="G516" s="3" t="s">
        <v>189</v>
      </c>
      <c r="H516" s="3">
        <v>30</v>
      </c>
      <c r="I516" s="3" t="s">
        <v>19</v>
      </c>
      <c r="J516" s="3">
        <f t="shared" si="7"/>
        <v>0.5</v>
      </c>
      <c r="K516" s="3" t="s">
        <v>20</v>
      </c>
      <c r="L516" t="s">
        <v>118</v>
      </c>
      <c r="M516" t="s">
        <v>118</v>
      </c>
      <c r="N516" s="1">
        <v>0.39583333333333331</v>
      </c>
      <c r="O516" s="1">
        <v>0.41666666666666669</v>
      </c>
      <c r="P516" s="3">
        <v>4000116080</v>
      </c>
      <c r="Q516">
        <v>10049534</v>
      </c>
      <c r="R516" t="s">
        <v>58</v>
      </c>
      <c r="S516" t="s">
        <v>113</v>
      </c>
    </row>
    <row r="517" spans="3:19" x14ac:dyDescent="0.25">
      <c r="C517">
        <v>3122045</v>
      </c>
      <c r="D517" s="3" t="s">
        <v>28</v>
      </c>
      <c r="E517" s="3">
        <v>1</v>
      </c>
      <c r="F517" s="3" t="s">
        <v>29</v>
      </c>
      <c r="G517" s="3" t="s">
        <v>189</v>
      </c>
      <c r="H517" s="3">
        <v>120</v>
      </c>
      <c r="I517" s="3" t="s">
        <v>19</v>
      </c>
      <c r="J517" s="3">
        <f t="shared" si="7"/>
        <v>2</v>
      </c>
      <c r="K517" s="3" t="s">
        <v>20</v>
      </c>
      <c r="L517" t="s">
        <v>67</v>
      </c>
      <c r="M517" t="s">
        <v>67</v>
      </c>
      <c r="N517" s="1">
        <v>0.375</v>
      </c>
      <c r="O517" s="1">
        <v>0.45833333333333331</v>
      </c>
      <c r="P517" s="3">
        <v>4000112741</v>
      </c>
      <c r="Q517">
        <v>10051541</v>
      </c>
      <c r="R517" t="s">
        <v>57</v>
      </c>
      <c r="S517" t="s">
        <v>202</v>
      </c>
    </row>
    <row r="518" spans="3:19" x14ac:dyDescent="0.25">
      <c r="C518">
        <v>3122045</v>
      </c>
      <c r="D518" s="3" t="s">
        <v>28</v>
      </c>
      <c r="E518" s="3">
        <v>4</v>
      </c>
      <c r="F518" s="3" t="s">
        <v>29</v>
      </c>
      <c r="G518" s="3" t="s">
        <v>189</v>
      </c>
      <c r="H518" s="3">
        <v>110</v>
      </c>
      <c r="I518" s="3" t="s">
        <v>19</v>
      </c>
      <c r="J518" s="3">
        <f t="shared" ref="J518:J570" si="8">H518/60</f>
        <v>1.8333333333333333</v>
      </c>
      <c r="K518" s="3" t="s">
        <v>20</v>
      </c>
      <c r="L518" t="s">
        <v>67</v>
      </c>
      <c r="M518" t="s">
        <v>67</v>
      </c>
      <c r="N518" s="1">
        <v>0.54166666666666663</v>
      </c>
      <c r="O518" s="1">
        <v>0.57291666666666663</v>
      </c>
      <c r="P518" s="3">
        <v>4000112741</v>
      </c>
      <c r="Q518">
        <v>10051541</v>
      </c>
      <c r="R518" t="s">
        <v>57</v>
      </c>
      <c r="S518" t="s">
        <v>202</v>
      </c>
    </row>
    <row r="519" spans="3:19" x14ac:dyDescent="0.25">
      <c r="C519">
        <v>3122054</v>
      </c>
      <c r="D519" s="3" t="s">
        <v>17</v>
      </c>
      <c r="E519" s="3">
        <v>1</v>
      </c>
      <c r="F519" s="3" t="s">
        <v>18</v>
      </c>
      <c r="G519" s="3" t="s">
        <v>204</v>
      </c>
      <c r="H519" s="3">
        <v>10</v>
      </c>
      <c r="I519" s="3" t="s">
        <v>19</v>
      </c>
      <c r="J519" s="3">
        <f t="shared" si="8"/>
        <v>0.16666666666666666</v>
      </c>
      <c r="K519" s="3" t="s">
        <v>20</v>
      </c>
      <c r="L519" t="s">
        <v>56</v>
      </c>
      <c r="M519" t="s">
        <v>56</v>
      </c>
      <c r="N519" s="1">
        <v>0.45833333333333331</v>
      </c>
      <c r="O519" s="1">
        <v>0.46527777777777773</v>
      </c>
      <c r="P519" s="3">
        <v>4000112750</v>
      </c>
      <c r="Q519">
        <v>10067262</v>
      </c>
      <c r="R519" t="s">
        <v>26</v>
      </c>
      <c r="S519" t="s">
        <v>123</v>
      </c>
    </row>
    <row r="520" spans="3:19" x14ac:dyDescent="0.25">
      <c r="C520">
        <v>3122078</v>
      </c>
      <c r="D520" s="3" t="s">
        <v>17</v>
      </c>
      <c r="E520" s="3">
        <v>1</v>
      </c>
      <c r="F520" s="3" t="s">
        <v>18</v>
      </c>
      <c r="G520" s="3" t="s">
        <v>204</v>
      </c>
      <c r="H520" s="3">
        <v>10</v>
      </c>
      <c r="I520" s="3" t="s">
        <v>19</v>
      </c>
      <c r="J520" s="3">
        <f t="shared" si="8"/>
        <v>0.16666666666666666</v>
      </c>
      <c r="K520" s="3" t="s">
        <v>20</v>
      </c>
      <c r="L520" t="s">
        <v>56</v>
      </c>
      <c r="M520" t="s">
        <v>56</v>
      </c>
      <c r="N520" s="1">
        <v>0.44444444444444442</v>
      </c>
      <c r="O520" s="1">
        <v>0.4513888888888889</v>
      </c>
      <c r="P520" s="3">
        <v>4000112774</v>
      </c>
      <c r="Q520">
        <v>10067260</v>
      </c>
      <c r="R520" t="s">
        <v>26</v>
      </c>
      <c r="S520" t="s">
        <v>123</v>
      </c>
    </row>
    <row r="521" spans="3:19" x14ac:dyDescent="0.25">
      <c r="C521">
        <v>3122079</v>
      </c>
      <c r="D521" s="3" t="s">
        <v>17</v>
      </c>
      <c r="E521" s="3">
        <v>1</v>
      </c>
      <c r="F521" s="3" t="s">
        <v>18</v>
      </c>
      <c r="G521" s="3" t="s">
        <v>204</v>
      </c>
      <c r="H521" s="3">
        <v>10</v>
      </c>
      <c r="I521" s="3" t="s">
        <v>19</v>
      </c>
      <c r="J521" s="3">
        <f t="shared" si="8"/>
        <v>0.16666666666666666</v>
      </c>
      <c r="K521" s="3" t="s">
        <v>20</v>
      </c>
      <c r="L521" t="s">
        <v>56</v>
      </c>
      <c r="M521" t="s">
        <v>56</v>
      </c>
      <c r="N521" s="1">
        <v>0.4513888888888889</v>
      </c>
      <c r="O521" s="1">
        <v>0.45833333333333331</v>
      </c>
      <c r="P521" s="3">
        <v>4000112775</v>
      </c>
      <c r="Q521">
        <v>10067261</v>
      </c>
      <c r="R521" t="s">
        <v>26</v>
      </c>
      <c r="S521" t="s">
        <v>123</v>
      </c>
    </row>
    <row r="522" spans="3:19" x14ac:dyDescent="0.25">
      <c r="C522">
        <v>3110488</v>
      </c>
      <c r="D522" s="3" t="s">
        <v>17</v>
      </c>
      <c r="E522" s="3">
        <v>1</v>
      </c>
      <c r="F522" s="3" t="s">
        <v>18</v>
      </c>
      <c r="G522" s="3" t="s">
        <v>204</v>
      </c>
      <c r="H522" s="3">
        <v>10</v>
      </c>
      <c r="I522" s="3" t="s">
        <v>19</v>
      </c>
      <c r="J522" s="3">
        <f t="shared" si="8"/>
        <v>0.16666666666666666</v>
      </c>
      <c r="K522" s="3" t="s">
        <v>20</v>
      </c>
      <c r="L522" t="s">
        <v>24</v>
      </c>
      <c r="M522" t="s">
        <v>24</v>
      </c>
      <c r="N522" s="1">
        <v>0.4375</v>
      </c>
      <c r="O522" s="1">
        <v>0.44444444444444442</v>
      </c>
      <c r="P522" s="3">
        <v>4000107644</v>
      </c>
      <c r="Q522">
        <v>10067260</v>
      </c>
      <c r="R522" t="s">
        <v>26</v>
      </c>
      <c r="S522" t="s">
        <v>123</v>
      </c>
    </row>
    <row r="523" spans="3:19" x14ac:dyDescent="0.25">
      <c r="C523">
        <v>3122070</v>
      </c>
      <c r="D523" s="3" t="s">
        <v>17</v>
      </c>
      <c r="E523" s="3">
        <v>1</v>
      </c>
      <c r="F523" s="3" t="s">
        <v>18</v>
      </c>
      <c r="G523" s="3" t="s">
        <v>204</v>
      </c>
      <c r="H523" s="3">
        <v>10</v>
      </c>
      <c r="I523" s="3" t="s">
        <v>19</v>
      </c>
      <c r="J523" s="3">
        <f t="shared" si="8"/>
        <v>0.16666666666666666</v>
      </c>
      <c r="K523" s="3" t="s">
        <v>20</v>
      </c>
      <c r="L523" t="s">
        <v>24</v>
      </c>
      <c r="M523" t="s">
        <v>24</v>
      </c>
      <c r="N523" s="1">
        <v>0.5</v>
      </c>
      <c r="O523" s="1">
        <v>0.50694444444444442</v>
      </c>
      <c r="P523" s="3">
        <v>4000112766</v>
      </c>
      <c r="Q523">
        <v>10055720</v>
      </c>
      <c r="R523" t="s">
        <v>26</v>
      </c>
      <c r="S523" t="s">
        <v>123</v>
      </c>
    </row>
    <row r="524" spans="3:19" x14ac:dyDescent="0.25">
      <c r="C524">
        <v>3122071</v>
      </c>
      <c r="D524" s="3" t="s">
        <v>17</v>
      </c>
      <c r="E524" s="3">
        <v>1</v>
      </c>
      <c r="F524" s="3" t="s">
        <v>18</v>
      </c>
      <c r="G524" s="3" t="s">
        <v>204</v>
      </c>
      <c r="H524" s="3">
        <v>10</v>
      </c>
      <c r="I524" s="3" t="s">
        <v>19</v>
      </c>
      <c r="J524" s="3">
        <f t="shared" si="8"/>
        <v>0.16666666666666666</v>
      </c>
      <c r="K524" s="3" t="s">
        <v>20</v>
      </c>
      <c r="L524" t="s">
        <v>24</v>
      </c>
      <c r="M524" t="s">
        <v>24</v>
      </c>
      <c r="N524" s="1">
        <v>0.51388888888888895</v>
      </c>
      <c r="O524" s="1">
        <v>0.52083333333333337</v>
      </c>
      <c r="P524" s="3">
        <v>4000112767</v>
      </c>
      <c r="Q524">
        <v>10070390</v>
      </c>
      <c r="R524" t="s">
        <v>26</v>
      </c>
      <c r="S524" t="s">
        <v>123</v>
      </c>
    </row>
    <row r="525" spans="3:19" x14ac:dyDescent="0.25">
      <c r="C525">
        <v>3122075</v>
      </c>
      <c r="D525" s="3" t="s">
        <v>17</v>
      </c>
      <c r="E525" s="3">
        <v>1</v>
      </c>
      <c r="F525" s="3" t="s">
        <v>18</v>
      </c>
      <c r="G525" s="3" t="s">
        <v>204</v>
      </c>
      <c r="H525" s="3">
        <v>10</v>
      </c>
      <c r="I525" s="3" t="s">
        <v>19</v>
      </c>
      <c r="J525" s="3">
        <f t="shared" si="8"/>
        <v>0.16666666666666666</v>
      </c>
      <c r="K525" s="3" t="s">
        <v>20</v>
      </c>
      <c r="L525" t="s">
        <v>24</v>
      </c>
      <c r="M525" t="s">
        <v>24</v>
      </c>
      <c r="N525" s="1">
        <v>0.47222222222222227</v>
      </c>
      <c r="O525" s="1">
        <v>0.47916666666666669</v>
      </c>
      <c r="P525" s="3">
        <v>4000112771</v>
      </c>
      <c r="Q525">
        <v>10049756</v>
      </c>
      <c r="R525" t="s">
        <v>26</v>
      </c>
      <c r="S525" t="s">
        <v>123</v>
      </c>
    </row>
    <row r="526" spans="3:19" x14ac:dyDescent="0.25">
      <c r="C526">
        <v>3122076</v>
      </c>
      <c r="D526" s="3" t="s">
        <v>17</v>
      </c>
      <c r="E526" s="3">
        <v>1</v>
      </c>
      <c r="F526" s="3" t="s">
        <v>18</v>
      </c>
      <c r="G526" s="3" t="s">
        <v>204</v>
      </c>
      <c r="H526" s="3">
        <v>10</v>
      </c>
      <c r="I526" s="3" t="s">
        <v>19</v>
      </c>
      <c r="J526" s="3">
        <f t="shared" si="8"/>
        <v>0.16666666666666666</v>
      </c>
      <c r="K526" s="3" t="s">
        <v>20</v>
      </c>
      <c r="L526" t="s">
        <v>24</v>
      </c>
      <c r="M526" t="s">
        <v>24</v>
      </c>
      <c r="N526" s="1">
        <v>0.47916666666666669</v>
      </c>
      <c r="O526" s="1">
        <v>0.4861111111111111</v>
      </c>
      <c r="P526" s="3">
        <v>4000112772</v>
      </c>
      <c r="Q526">
        <v>10049758</v>
      </c>
      <c r="R526" t="s">
        <v>26</v>
      </c>
      <c r="S526" t="s">
        <v>123</v>
      </c>
    </row>
    <row r="527" spans="3:19" x14ac:dyDescent="0.25">
      <c r="C527">
        <v>3122102</v>
      </c>
      <c r="D527" s="3" t="s">
        <v>17</v>
      </c>
      <c r="E527" s="3">
        <v>1</v>
      </c>
      <c r="F527" s="3" t="s">
        <v>18</v>
      </c>
      <c r="G527" s="3" t="s">
        <v>204</v>
      </c>
      <c r="H527" s="3">
        <v>10</v>
      </c>
      <c r="I527" s="3" t="s">
        <v>19</v>
      </c>
      <c r="J527" s="3">
        <f t="shared" si="8"/>
        <v>0.16666666666666666</v>
      </c>
      <c r="K527" s="3" t="s">
        <v>20</v>
      </c>
      <c r="L527" t="s">
        <v>24</v>
      </c>
      <c r="M527" t="s">
        <v>24</v>
      </c>
      <c r="N527" s="1">
        <v>0.5</v>
      </c>
      <c r="O527" s="1">
        <v>0.50694444444444442</v>
      </c>
      <c r="P527" s="3">
        <v>4000112798</v>
      </c>
      <c r="Q527">
        <v>10055719</v>
      </c>
      <c r="R527" t="s">
        <v>26</v>
      </c>
      <c r="S527" t="s">
        <v>123</v>
      </c>
    </row>
    <row r="528" spans="3:19" x14ac:dyDescent="0.25">
      <c r="C528">
        <v>3122118</v>
      </c>
      <c r="D528" s="3" t="s">
        <v>17</v>
      </c>
      <c r="E528" s="3">
        <v>1</v>
      </c>
      <c r="F528" s="3" t="s">
        <v>18</v>
      </c>
      <c r="G528" s="3" t="s">
        <v>204</v>
      </c>
      <c r="H528" s="3">
        <v>10</v>
      </c>
      <c r="I528" s="3" t="s">
        <v>19</v>
      </c>
      <c r="J528" s="3">
        <f t="shared" si="8"/>
        <v>0.16666666666666666</v>
      </c>
      <c r="K528" s="3" t="s">
        <v>20</v>
      </c>
      <c r="L528" t="s">
        <v>24</v>
      </c>
      <c r="M528" t="s">
        <v>24</v>
      </c>
      <c r="N528" s="1">
        <v>0.4861111111111111</v>
      </c>
      <c r="O528" s="1">
        <v>0.49305555555555558</v>
      </c>
      <c r="P528" s="3">
        <v>4000112814</v>
      </c>
      <c r="Q528">
        <v>10051506</v>
      </c>
      <c r="R528" t="s">
        <v>26</v>
      </c>
      <c r="S528" t="s">
        <v>123</v>
      </c>
    </row>
    <row r="529" spans="3:19" x14ac:dyDescent="0.25">
      <c r="C529">
        <v>3122119</v>
      </c>
      <c r="D529" s="3" t="s">
        <v>17</v>
      </c>
      <c r="E529" s="3">
        <v>1</v>
      </c>
      <c r="F529" s="3" t="s">
        <v>18</v>
      </c>
      <c r="G529" s="3" t="s">
        <v>204</v>
      </c>
      <c r="H529" s="3">
        <v>10</v>
      </c>
      <c r="I529" s="3" t="s">
        <v>19</v>
      </c>
      <c r="J529" s="3">
        <f t="shared" si="8"/>
        <v>0.16666666666666666</v>
      </c>
      <c r="K529" s="3" t="s">
        <v>20</v>
      </c>
      <c r="L529" t="s">
        <v>24</v>
      </c>
      <c r="M529" t="s">
        <v>24</v>
      </c>
      <c r="N529" s="1">
        <v>0.46527777777777773</v>
      </c>
      <c r="O529" s="1">
        <v>0.47222222222222227</v>
      </c>
      <c r="P529" s="3">
        <v>4000112815</v>
      </c>
      <c r="Q529">
        <v>10049796</v>
      </c>
      <c r="R529" t="s">
        <v>26</v>
      </c>
      <c r="S529" t="s">
        <v>123</v>
      </c>
    </row>
    <row r="530" spans="3:19" x14ac:dyDescent="0.25">
      <c r="C530">
        <v>3122040</v>
      </c>
      <c r="D530" s="3" t="s">
        <v>22</v>
      </c>
      <c r="E530" s="3">
        <v>1</v>
      </c>
      <c r="F530" s="3" t="s">
        <v>18</v>
      </c>
      <c r="G530" s="3" t="s">
        <v>204</v>
      </c>
      <c r="H530" s="3">
        <v>10</v>
      </c>
      <c r="I530" s="3" t="s">
        <v>19</v>
      </c>
      <c r="J530" s="3">
        <f t="shared" si="8"/>
        <v>0.16666666666666666</v>
      </c>
      <c r="K530" s="3" t="s">
        <v>20</v>
      </c>
      <c r="L530" t="s">
        <v>25</v>
      </c>
      <c r="M530" t="s">
        <v>25</v>
      </c>
      <c r="N530" s="1">
        <v>0.83333333333333337</v>
      </c>
      <c r="O530" s="1">
        <v>0.84027777777777779</v>
      </c>
      <c r="P530" s="3">
        <v>4000112736</v>
      </c>
      <c r="Q530">
        <v>10051200</v>
      </c>
      <c r="R530" t="s">
        <v>26</v>
      </c>
      <c r="S530" t="s">
        <v>124</v>
      </c>
    </row>
    <row r="531" spans="3:19" x14ac:dyDescent="0.25">
      <c r="C531">
        <v>3122055</v>
      </c>
      <c r="D531" s="3" t="s">
        <v>22</v>
      </c>
      <c r="E531" s="3">
        <v>1</v>
      </c>
      <c r="F531" s="3" t="s">
        <v>18</v>
      </c>
      <c r="G531" s="3" t="s">
        <v>204</v>
      </c>
      <c r="H531" s="3">
        <v>10</v>
      </c>
      <c r="I531" s="3" t="s">
        <v>19</v>
      </c>
      <c r="J531" s="3">
        <f t="shared" si="8"/>
        <v>0.16666666666666666</v>
      </c>
      <c r="K531" s="3" t="s">
        <v>20</v>
      </c>
      <c r="L531" t="s">
        <v>25</v>
      </c>
      <c r="M531" t="s">
        <v>25</v>
      </c>
      <c r="N531" s="1">
        <v>0.88888888888888884</v>
      </c>
      <c r="O531" s="1">
        <v>0.89583333333333337</v>
      </c>
      <c r="P531" s="3">
        <v>4000112751</v>
      </c>
      <c r="Q531">
        <v>10049770</v>
      </c>
      <c r="R531" t="s">
        <v>26</v>
      </c>
      <c r="S531" t="s">
        <v>125</v>
      </c>
    </row>
    <row r="532" spans="3:19" x14ac:dyDescent="0.25">
      <c r="C532">
        <v>3122068</v>
      </c>
      <c r="D532" s="3" t="s">
        <v>22</v>
      </c>
      <c r="E532" s="3">
        <v>1</v>
      </c>
      <c r="F532" s="3" t="s">
        <v>18</v>
      </c>
      <c r="G532" s="3" t="s">
        <v>204</v>
      </c>
      <c r="H532" s="3">
        <v>15</v>
      </c>
      <c r="I532" s="3" t="s">
        <v>19</v>
      </c>
      <c r="J532" s="3">
        <f t="shared" si="8"/>
        <v>0.25</v>
      </c>
      <c r="K532" s="3" t="s">
        <v>20</v>
      </c>
      <c r="L532" t="s">
        <v>25</v>
      </c>
      <c r="M532" t="s">
        <v>25</v>
      </c>
      <c r="N532" s="1">
        <v>0.87152777777777779</v>
      </c>
      <c r="O532" s="1">
        <v>0.88194444444444453</v>
      </c>
      <c r="P532" s="3">
        <v>4000112764</v>
      </c>
      <c r="Q532">
        <v>10056253</v>
      </c>
      <c r="R532" t="s">
        <v>26</v>
      </c>
      <c r="S532" t="s">
        <v>126</v>
      </c>
    </row>
    <row r="533" spans="3:19" x14ac:dyDescent="0.25">
      <c r="C533">
        <v>3122111</v>
      </c>
      <c r="D533" s="3" t="s">
        <v>22</v>
      </c>
      <c r="E533" s="3">
        <v>1</v>
      </c>
      <c r="F533" s="3" t="s">
        <v>18</v>
      </c>
      <c r="G533" s="3" t="s">
        <v>204</v>
      </c>
      <c r="H533" s="3">
        <v>20</v>
      </c>
      <c r="I533" s="3" t="s">
        <v>19</v>
      </c>
      <c r="J533" s="3">
        <f t="shared" si="8"/>
        <v>0.33333333333333331</v>
      </c>
      <c r="K533" s="3" t="s">
        <v>20</v>
      </c>
      <c r="L533" t="s">
        <v>25</v>
      </c>
      <c r="M533" t="s">
        <v>25</v>
      </c>
      <c r="N533" s="1">
        <v>0.84722222222222221</v>
      </c>
      <c r="O533" s="1">
        <v>0.86111111111111116</v>
      </c>
      <c r="P533" s="3">
        <v>4000112807</v>
      </c>
      <c r="Q533">
        <v>10072700</v>
      </c>
      <c r="R533" t="s">
        <v>26</v>
      </c>
      <c r="S533" t="s">
        <v>126</v>
      </c>
    </row>
    <row r="534" spans="3:19" x14ac:dyDescent="0.25">
      <c r="C534">
        <v>3122112</v>
      </c>
      <c r="D534" s="3" t="s">
        <v>22</v>
      </c>
      <c r="E534" s="3">
        <v>1</v>
      </c>
      <c r="F534" s="3" t="s">
        <v>18</v>
      </c>
      <c r="G534" s="3" t="s">
        <v>204</v>
      </c>
      <c r="H534" s="3">
        <v>10</v>
      </c>
      <c r="I534" s="3" t="s">
        <v>19</v>
      </c>
      <c r="J534" s="3">
        <f t="shared" si="8"/>
        <v>0.16666666666666666</v>
      </c>
      <c r="K534" s="3" t="s">
        <v>20</v>
      </c>
      <c r="L534" t="s">
        <v>25</v>
      </c>
      <c r="M534" t="s">
        <v>25</v>
      </c>
      <c r="N534" s="1">
        <v>0.88194444444444453</v>
      </c>
      <c r="O534" s="1">
        <v>0.88888888888888884</v>
      </c>
      <c r="P534" s="3">
        <v>4000112808</v>
      </c>
      <c r="Q534">
        <v>10049771</v>
      </c>
      <c r="R534" t="s">
        <v>26</v>
      </c>
      <c r="S534" t="s">
        <v>126</v>
      </c>
    </row>
    <row r="535" spans="3:19" x14ac:dyDescent="0.25">
      <c r="C535">
        <v>3122116</v>
      </c>
      <c r="D535" s="3" t="s">
        <v>22</v>
      </c>
      <c r="E535" s="3">
        <v>1</v>
      </c>
      <c r="F535" s="3" t="s">
        <v>18</v>
      </c>
      <c r="G535" s="3" t="s">
        <v>204</v>
      </c>
      <c r="H535" s="3">
        <v>15</v>
      </c>
      <c r="I535" s="3" t="s">
        <v>19</v>
      </c>
      <c r="J535" s="3">
        <f t="shared" si="8"/>
        <v>0.25</v>
      </c>
      <c r="K535" s="3" t="s">
        <v>20</v>
      </c>
      <c r="L535" t="s">
        <v>25</v>
      </c>
      <c r="M535" t="s">
        <v>25</v>
      </c>
      <c r="N535" s="1">
        <v>0.86111111111111116</v>
      </c>
      <c r="O535" s="1">
        <v>0.87152777777777779</v>
      </c>
      <c r="P535" s="3">
        <v>4000112812</v>
      </c>
      <c r="Q535">
        <v>10051202</v>
      </c>
      <c r="R535" t="s">
        <v>26</v>
      </c>
      <c r="S535" t="s">
        <v>126</v>
      </c>
    </row>
    <row r="536" spans="3:19" x14ac:dyDescent="0.25">
      <c r="C536">
        <v>3122117</v>
      </c>
      <c r="D536" s="3" t="s">
        <v>22</v>
      </c>
      <c r="E536" s="3">
        <v>1</v>
      </c>
      <c r="F536" s="3" t="s">
        <v>18</v>
      </c>
      <c r="G536" s="3" t="s">
        <v>204</v>
      </c>
      <c r="H536" s="3">
        <v>5</v>
      </c>
      <c r="I536" s="3" t="s">
        <v>19</v>
      </c>
      <c r="J536" s="3">
        <f t="shared" si="8"/>
        <v>8.3333333333333329E-2</v>
      </c>
      <c r="K536" s="3" t="s">
        <v>20</v>
      </c>
      <c r="L536" t="s">
        <v>25</v>
      </c>
      <c r="M536" t="s">
        <v>25</v>
      </c>
      <c r="N536" s="1">
        <v>0.89583333333333337</v>
      </c>
      <c r="O536" s="1">
        <v>0.89930555555555547</v>
      </c>
      <c r="P536" s="3">
        <v>4000112813</v>
      </c>
      <c r="Q536">
        <v>10051037</v>
      </c>
      <c r="R536" t="s">
        <v>26</v>
      </c>
      <c r="S536" t="s">
        <v>127</v>
      </c>
    </row>
    <row r="537" spans="3:19" x14ac:dyDescent="0.25">
      <c r="C537">
        <v>3137638</v>
      </c>
      <c r="D537" s="3" t="s">
        <v>22</v>
      </c>
      <c r="E537" s="3">
        <v>1</v>
      </c>
      <c r="F537" s="3" t="s">
        <v>18</v>
      </c>
      <c r="G537" s="3" t="s">
        <v>204</v>
      </c>
      <c r="H537" s="3">
        <v>10</v>
      </c>
      <c r="I537" s="3" t="s">
        <v>19</v>
      </c>
      <c r="J537" s="3">
        <f t="shared" si="8"/>
        <v>0.16666666666666666</v>
      </c>
      <c r="K537" s="3" t="s">
        <v>20</v>
      </c>
      <c r="L537" t="s">
        <v>25</v>
      </c>
      <c r="M537" t="s">
        <v>25</v>
      </c>
      <c r="N537" s="1">
        <v>0.84027777777777779</v>
      </c>
      <c r="O537" s="1">
        <v>0.84722222222222221</v>
      </c>
      <c r="P537" s="3">
        <v>4000116071</v>
      </c>
      <c r="Q537">
        <v>10049719</v>
      </c>
      <c r="R537" t="s">
        <v>26</v>
      </c>
      <c r="S537" t="s">
        <v>128</v>
      </c>
    </row>
    <row r="538" spans="3:19" x14ac:dyDescent="0.25">
      <c r="C538">
        <v>3120196</v>
      </c>
      <c r="D538" s="3" t="s">
        <v>33</v>
      </c>
      <c r="E538" s="3">
        <v>2</v>
      </c>
      <c r="F538" s="3" t="s">
        <v>29</v>
      </c>
      <c r="G538" s="3" t="s">
        <v>204</v>
      </c>
      <c r="H538" s="3">
        <v>20</v>
      </c>
      <c r="I538" s="3" t="s">
        <v>19</v>
      </c>
      <c r="J538" s="3">
        <f t="shared" si="8"/>
        <v>0.33333333333333331</v>
      </c>
      <c r="K538" s="3" t="s">
        <v>20</v>
      </c>
      <c r="L538" t="s">
        <v>30</v>
      </c>
      <c r="M538" t="s">
        <v>30</v>
      </c>
      <c r="N538" s="1">
        <v>0.91666666666666663</v>
      </c>
      <c r="O538" s="1">
        <v>0.93055555555555547</v>
      </c>
      <c r="P538" s="3">
        <v>4000112673</v>
      </c>
      <c r="Q538">
        <v>10049372</v>
      </c>
      <c r="R538" t="s">
        <v>36</v>
      </c>
      <c r="S538" t="s">
        <v>132</v>
      </c>
    </row>
    <row r="539" spans="3:19" x14ac:dyDescent="0.25">
      <c r="C539">
        <v>3120193</v>
      </c>
      <c r="D539" s="3" t="s">
        <v>17</v>
      </c>
      <c r="E539" s="3">
        <v>1</v>
      </c>
      <c r="F539" s="3" t="s">
        <v>29</v>
      </c>
      <c r="G539" s="3" t="s">
        <v>204</v>
      </c>
      <c r="H539" s="3">
        <v>20</v>
      </c>
      <c r="I539" s="3" t="s">
        <v>19</v>
      </c>
      <c r="J539" s="3">
        <f t="shared" si="8"/>
        <v>0.33333333333333331</v>
      </c>
      <c r="K539" s="3" t="s">
        <v>20</v>
      </c>
      <c r="L539" t="s">
        <v>56</v>
      </c>
      <c r="M539" t="s">
        <v>56</v>
      </c>
      <c r="N539" s="1">
        <v>0.35416666666666669</v>
      </c>
      <c r="O539" s="1">
        <v>0.36805555555555558</v>
      </c>
      <c r="P539" s="3">
        <v>4000112670</v>
      </c>
      <c r="Q539">
        <v>10051386</v>
      </c>
      <c r="R539" t="s">
        <v>36</v>
      </c>
      <c r="S539" t="s">
        <v>123</v>
      </c>
    </row>
    <row r="540" spans="3:19" x14ac:dyDescent="0.25">
      <c r="C540">
        <v>3122731</v>
      </c>
      <c r="D540" s="3" t="s">
        <v>17</v>
      </c>
      <c r="E540" s="3">
        <v>1</v>
      </c>
      <c r="F540" s="3" t="s">
        <v>29</v>
      </c>
      <c r="G540" s="3" t="s">
        <v>204</v>
      </c>
      <c r="H540" s="3">
        <v>20</v>
      </c>
      <c r="I540" s="3" t="s">
        <v>19</v>
      </c>
      <c r="J540" s="3">
        <f t="shared" si="8"/>
        <v>0.33333333333333331</v>
      </c>
      <c r="K540" s="3" t="s">
        <v>20</v>
      </c>
      <c r="L540" t="s">
        <v>56</v>
      </c>
      <c r="M540" t="s">
        <v>56</v>
      </c>
      <c r="N540" s="1">
        <v>0.4236111111111111</v>
      </c>
      <c r="O540" s="1">
        <v>0.4375</v>
      </c>
      <c r="P540" s="3">
        <v>4000113258</v>
      </c>
      <c r="Q540">
        <v>10051443</v>
      </c>
      <c r="R540" t="s">
        <v>36</v>
      </c>
      <c r="S540" t="s">
        <v>133</v>
      </c>
    </row>
    <row r="541" spans="3:19" x14ac:dyDescent="0.25">
      <c r="C541">
        <v>3122750</v>
      </c>
      <c r="D541" s="3" t="s">
        <v>17</v>
      </c>
      <c r="E541" s="3">
        <v>1</v>
      </c>
      <c r="F541" s="3" t="s">
        <v>29</v>
      </c>
      <c r="G541" s="3" t="s">
        <v>204</v>
      </c>
      <c r="H541" s="3">
        <v>30</v>
      </c>
      <c r="I541" s="3" t="s">
        <v>19</v>
      </c>
      <c r="J541" s="3">
        <f t="shared" si="8"/>
        <v>0.5</v>
      </c>
      <c r="K541" s="3" t="s">
        <v>20</v>
      </c>
      <c r="L541" t="s">
        <v>56</v>
      </c>
      <c r="M541" t="s">
        <v>56</v>
      </c>
      <c r="N541" s="1">
        <v>0.39583333333333331</v>
      </c>
      <c r="O541" s="1">
        <v>0.41666666666666669</v>
      </c>
      <c r="P541" s="3">
        <v>4000113352</v>
      </c>
      <c r="Q541">
        <v>10049372</v>
      </c>
      <c r="R541" t="s">
        <v>36</v>
      </c>
      <c r="S541" t="s">
        <v>133</v>
      </c>
    </row>
    <row r="542" spans="3:19" x14ac:dyDescent="0.25">
      <c r="C542">
        <v>3122768</v>
      </c>
      <c r="D542" s="3" t="s">
        <v>17</v>
      </c>
      <c r="E542" s="3">
        <v>1</v>
      </c>
      <c r="F542" s="3" t="s">
        <v>29</v>
      </c>
      <c r="G542" s="3" t="s">
        <v>204</v>
      </c>
      <c r="H542" s="3">
        <v>20</v>
      </c>
      <c r="I542" s="3" t="s">
        <v>19</v>
      </c>
      <c r="J542" s="3">
        <f t="shared" si="8"/>
        <v>0.33333333333333331</v>
      </c>
      <c r="K542" s="3" t="s">
        <v>20</v>
      </c>
      <c r="L542" t="s">
        <v>56</v>
      </c>
      <c r="M542" t="s">
        <v>56</v>
      </c>
      <c r="N542" s="1">
        <v>0.36805555555555558</v>
      </c>
      <c r="O542" s="1">
        <v>0.38194444444444442</v>
      </c>
      <c r="P542" s="3">
        <v>4000113370</v>
      </c>
      <c r="Q542">
        <v>10051396</v>
      </c>
      <c r="R542" t="s">
        <v>36</v>
      </c>
      <c r="S542" t="s">
        <v>123</v>
      </c>
    </row>
    <row r="543" spans="3:19" x14ac:dyDescent="0.25">
      <c r="C543">
        <v>3122782</v>
      </c>
      <c r="D543" s="3" t="s">
        <v>17</v>
      </c>
      <c r="E543" s="3">
        <v>1</v>
      </c>
      <c r="F543" s="3" t="s">
        <v>29</v>
      </c>
      <c r="G543" s="3" t="s">
        <v>204</v>
      </c>
      <c r="H543" s="3">
        <v>10</v>
      </c>
      <c r="I543" s="3" t="s">
        <v>19</v>
      </c>
      <c r="J543" s="3">
        <f t="shared" si="8"/>
        <v>0.16666666666666666</v>
      </c>
      <c r="K543" s="3" t="s">
        <v>20</v>
      </c>
      <c r="L543" t="s">
        <v>56</v>
      </c>
      <c r="M543" t="s">
        <v>56</v>
      </c>
      <c r="N543" s="1">
        <v>0.41666666666666669</v>
      </c>
      <c r="O543" s="1">
        <v>0.4236111111111111</v>
      </c>
      <c r="P543" s="3">
        <v>4000113384</v>
      </c>
      <c r="Q543">
        <v>10049372</v>
      </c>
      <c r="R543" t="s">
        <v>36</v>
      </c>
      <c r="S543" t="s">
        <v>134</v>
      </c>
    </row>
    <row r="544" spans="3:19" x14ac:dyDescent="0.25">
      <c r="C544">
        <v>3120199</v>
      </c>
      <c r="D544" s="3" t="s">
        <v>17</v>
      </c>
      <c r="E544" s="3">
        <v>1</v>
      </c>
      <c r="F544" s="3" t="s">
        <v>29</v>
      </c>
      <c r="G544" s="3" t="s">
        <v>204</v>
      </c>
      <c r="H544" s="3">
        <v>30</v>
      </c>
      <c r="I544" s="3" t="s">
        <v>19</v>
      </c>
      <c r="J544" s="3">
        <f t="shared" si="8"/>
        <v>0.5</v>
      </c>
      <c r="K544" s="3" t="s">
        <v>20</v>
      </c>
      <c r="L544" t="s">
        <v>33</v>
      </c>
      <c r="M544" t="s">
        <v>33</v>
      </c>
      <c r="N544" s="1">
        <v>0.33333333333333331</v>
      </c>
      <c r="O544" s="1">
        <v>0.35416666666666669</v>
      </c>
      <c r="P544" s="3">
        <v>4000112676</v>
      </c>
      <c r="Q544">
        <v>10051386</v>
      </c>
      <c r="R544" t="s">
        <v>36</v>
      </c>
      <c r="S544" t="s">
        <v>136</v>
      </c>
    </row>
    <row r="545" spans="3:19" x14ac:dyDescent="0.25">
      <c r="C545">
        <v>3132483</v>
      </c>
      <c r="D545" s="3" t="s">
        <v>22</v>
      </c>
      <c r="E545" s="3">
        <v>1</v>
      </c>
      <c r="F545" s="3" t="s">
        <v>29</v>
      </c>
      <c r="G545" s="3" t="s">
        <v>204</v>
      </c>
      <c r="H545" s="3">
        <v>10</v>
      </c>
      <c r="I545" s="3" t="s">
        <v>19</v>
      </c>
      <c r="J545" s="3">
        <f t="shared" si="8"/>
        <v>0.16666666666666666</v>
      </c>
      <c r="K545" s="3" t="s">
        <v>20</v>
      </c>
      <c r="L545" t="s">
        <v>55</v>
      </c>
      <c r="M545" t="s">
        <v>55</v>
      </c>
      <c r="N545" s="1">
        <v>0.84722222222222221</v>
      </c>
      <c r="O545" s="1">
        <v>0.86111111111111116</v>
      </c>
      <c r="P545" s="3">
        <v>4000114041</v>
      </c>
      <c r="Q545">
        <v>10049372</v>
      </c>
      <c r="R545" t="s">
        <v>36</v>
      </c>
      <c r="S545" t="s">
        <v>65</v>
      </c>
    </row>
    <row r="546" spans="3:19" x14ac:dyDescent="0.25">
      <c r="C546">
        <v>3137198</v>
      </c>
      <c r="D546" s="3" t="s">
        <v>22</v>
      </c>
      <c r="E546" s="3">
        <v>2</v>
      </c>
      <c r="F546" s="3" t="s">
        <v>29</v>
      </c>
      <c r="G546" s="3" t="s">
        <v>204</v>
      </c>
      <c r="H546" s="3">
        <v>15</v>
      </c>
      <c r="I546" s="3" t="s">
        <v>19</v>
      </c>
      <c r="J546" s="3">
        <f t="shared" si="8"/>
        <v>0.25</v>
      </c>
      <c r="K546" s="3" t="s">
        <v>20</v>
      </c>
      <c r="L546" t="s">
        <v>55</v>
      </c>
      <c r="M546" t="s">
        <v>55</v>
      </c>
      <c r="N546" s="1">
        <v>0.85416666666666663</v>
      </c>
      <c r="O546" s="1">
        <v>0.86458333333333337</v>
      </c>
      <c r="P546" s="3">
        <v>4000116037</v>
      </c>
      <c r="Q546">
        <v>10049372</v>
      </c>
      <c r="R546" t="s">
        <v>36</v>
      </c>
      <c r="S546" t="s">
        <v>32</v>
      </c>
    </row>
    <row r="547" spans="3:19" x14ac:dyDescent="0.25">
      <c r="C547">
        <v>3122049</v>
      </c>
      <c r="D547" s="3" t="s">
        <v>17</v>
      </c>
      <c r="E547" s="3">
        <v>2</v>
      </c>
      <c r="F547" s="3" t="s">
        <v>18</v>
      </c>
      <c r="G547" s="3" t="s">
        <v>205</v>
      </c>
      <c r="H547" s="3">
        <v>60</v>
      </c>
      <c r="I547" s="3" t="s">
        <v>19</v>
      </c>
      <c r="J547" s="3">
        <f t="shared" si="8"/>
        <v>1</v>
      </c>
      <c r="K547" s="3" t="s">
        <v>20</v>
      </c>
      <c r="L547" t="s">
        <v>24</v>
      </c>
      <c r="M547" t="s">
        <v>24</v>
      </c>
      <c r="N547" s="1">
        <v>0.41666666666666669</v>
      </c>
      <c r="O547" s="1">
        <v>0.45833333333333331</v>
      </c>
      <c r="P547" s="3">
        <v>4000112745</v>
      </c>
      <c r="Q547">
        <v>10070544</v>
      </c>
      <c r="R547" t="s">
        <v>104</v>
      </c>
      <c r="S547" t="s">
        <v>164</v>
      </c>
    </row>
    <row r="548" spans="3:19" x14ac:dyDescent="0.25">
      <c r="C548">
        <v>3122083</v>
      </c>
      <c r="D548" s="3" t="s">
        <v>17</v>
      </c>
      <c r="E548" s="3">
        <v>2</v>
      </c>
      <c r="F548" s="3" t="s">
        <v>18</v>
      </c>
      <c r="G548" s="3" t="s">
        <v>205</v>
      </c>
      <c r="H548" s="3">
        <v>60</v>
      </c>
      <c r="I548" s="3" t="s">
        <v>19</v>
      </c>
      <c r="J548" s="3">
        <f t="shared" si="8"/>
        <v>1</v>
      </c>
      <c r="K548" s="3" t="s">
        <v>20</v>
      </c>
      <c r="L548" t="s">
        <v>24</v>
      </c>
      <c r="M548" t="s">
        <v>24</v>
      </c>
      <c r="N548" s="1">
        <v>0.375</v>
      </c>
      <c r="O548" s="1">
        <v>0.41666666666666669</v>
      </c>
      <c r="P548" s="3">
        <v>4000112779</v>
      </c>
      <c r="Q548">
        <v>10052565</v>
      </c>
      <c r="R548" t="s">
        <v>104</v>
      </c>
      <c r="S548" t="s">
        <v>164</v>
      </c>
    </row>
    <row r="549" spans="3:19" x14ac:dyDescent="0.25">
      <c r="C549">
        <v>3122098</v>
      </c>
      <c r="D549" s="3" t="s">
        <v>17</v>
      </c>
      <c r="E549" s="3">
        <v>2</v>
      </c>
      <c r="F549" s="3" t="s">
        <v>18</v>
      </c>
      <c r="G549" s="3" t="s">
        <v>205</v>
      </c>
      <c r="H549" s="3">
        <v>60</v>
      </c>
      <c r="I549" s="3" t="s">
        <v>19</v>
      </c>
      <c r="J549" s="3">
        <f t="shared" si="8"/>
        <v>1</v>
      </c>
      <c r="K549" s="3" t="s">
        <v>20</v>
      </c>
      <c r="L549" t="s">
        <v>24</v>
      </c>
      <c r="M549" t="s">
        <v>24</v>
      </c>
      <c r="N549" s="1">
        <v>0.33333333333333331</v>
      </c>
      <c r="O549" s="1">
        <v>0.375</v>
      </c>
      <c r="P549" s="3">
        <v>4000112794</v>
      </c>
      <c r="Q549">
        <v>10049998</v>
      </c>
      <c r="R549" t="s">
        <v>104</v>
      </c>
      <c r="S549" t="s">
        <v>164</v>
      </c>
    </row>
    <row r="550" spans="3:19" x14ac:dyDescent="0.25">
      <c r="C550">
        <v>3118333</v>
      </c>
      <c r="D550" s="3" t="s">
        <v>33</v>
      </c>
      <c r="E550" s="3">
        <v>2</v>
      </c>
      <c r="F550" s="3" t="s">
        <v>29</v>
      </c>
      <c r="G550" s="3" t="s">
        <v>205</v>
      </c>
      <c r="H550" s="3">
        <v>60</v>
      </c>
      <c r="I550" s="3" t="s">
        <v>19</v>
      </c>
      <c r="J550" s="3">
        <f t="shared" si="8"/>
        <v>1</v>
      </c>
      <c r="K550" s="3" t="s">
        <v>20</v>
      </c>
      <c r="L550" t="s">
        <v>165</v>
      </c>
      <c r="M550" t="s">
        <v>165</v>
      </c>
      <c r="N550" s="1">
        <v>0.79166666666666663</v>
      </c>
      <c r="O550" s="1">
        <v>0.83333333333333337</v>
      </c>
      <c r="P550" s="3">
        <v>4000111357</v>
      </c>
      <c r="Q550">
        <v>10051481</v>
      </c>
      <c r="R550" t="s">
        <v>53</v>
      </c>
      <c r="S550" t="s">
        <v>166</v>
      </c>
    </row>
    <row r="551" spans="3:19" x14ac:dyDescent="0.25">
      <c r="C551">
        <v>3118357</v>
      </c>
      <c r="D551" s="3" t="s">
        <v>33</v>
      </c>
      <c r="E551" s="3">
        <v>1</v>
      </c>
      <c r="F551" s="3" t="s">
        <v>29</v>
      </c>
      <c r="G551" s="3" t="s">
        <v>205</v>
      </c>
      <c r="H551" s="3">
        <v>1.5</v>
      </c>
      <c r="I551" s="3" t="s">
        <v>129</v>
      </c>
      <c r="J551" s="3">
        <f>H551*60</f>
        <v>90</v>
      </c>
      <c r="K551" s="3" t="s">
        <v>20</v>
      </c>
      <c r="L551" t="s">
        <v>165</v>
      </c>
      <c r="M551" t="s">
        <v>165</v>
      </c>
      <c r="N551" s="1">
        <v>0.875</v>
      </c>
      <c r="O551" s="1">
        <v>0.9375</v>
      </c>
      <c r="P551" s="3">
        <v>4000111381</v>
      </c>
      <c r="Q551">
        <v>10051481</v>
      </c>
      <c r="R551" t="s">
        <v>53</v>
      </c>
      <c r="S551" t="s">
        <v>37</v>
      </c>
    </row>
    <row r="552" spans="3:19" x14ac:dyDescent="0.25">
      <c r="C552">
        <v>3119952</v>
      </c>
      <c r="D552" s="3" t="s">
        <v>33</v>
      </c>
      <c r="E552" s="3">
        <v>1</v>
      </c>
      <c r="F552" s="3" t="s">
        <v>29</v>
      </c>
      <c r="G552" s="3" t="s">
        <v>205</v>
      </c>
      <c r="H552" s="3">
        <v>60</v>
      </c>
      <c r="I552" s="3" t="s">
        <v>19</v>
      </c>
      <c r="J552" s="3">
        <f t="shared" si="8"/>
        <v>1</v>
      </c>
      <c r="K552" s="3" t="s">
        <v>20</v>
      </c>
      <c r="L552" t="s">
        <v>73</v>
      </c>
      <c r="M552" t="s">
        <v>73</v>
      </c>
      <c r="N552" s="1">
        <v>0.8125</v>
      </c>
      <c r="O552" s="1">
        <v>0.85416666666666663</v>
      </c>
      <c r="P552" s="3">
        <v>4000112026</v>
      </c>
      <c r="Q552">
        <v>10049399</v>
      </c>
      <c r="R552" t="s">
        <v>53</v>
      </c>
      <c r="S552" t="s">
        <v>37</v>
      </c>
    </row>
    <row r="553" spans="3:19" x14ac:dyDescent="0.25">
      <c r="C553">
        <v>3122760</v>
      </c>
      <c r="D553" s="3" t="s">
        <v>33</v>
      </c>
      <c r="E553" s="3">
        <v>2</v>
      </c>
      <c r="F553" s="3" t="s">
        <v>29</v>
      </c>
      <c r="G553" s="3" t="s">
        <v>205</v>
      </c>
      <c r="H553" s="3">
        <v>30</v>
      </c>
      <c r="I553" s="3" t="s">
        <v>19</v>
      </c>
      <c r="J553" s="3">
        <f t="shared" si="8"/>
        <v>0.5</v>
      </c>
      <c r="K553" s="3" t="s">
        <v>20</v>
      </c>
      <c r="L553" t="s">
        <v>73</v>
      </c>
      <c r="M553" t="s">
        <v>73</v>
      </c>
      <c r="N553" s="1">
        <v>0.91666666666666663</v>
      </c>
      <c r="O553" s="1">
        <v>0.9375</v>
      </c>
      <c r="P553" s="3">
        <v>4000113362</v>
      </c>
      <c r="Q553">
        <v>10049436</v>
      </c>
      <c r="R553" t="s">
        <v>53</v>
      </c>
      <c r="S553" t="s">
        <v>167</v>
      </c>
    </row>
    <row r="554" spans="3:19" x14ac:dyDescent="0.25">
      <c r="C554">
        <v>3122761</v>
      </c>
      <c r="D554" s="3" t="s">
        <v>33</v>
      </c>
      <c r="E554" s="3">
        <v>2</v>
      </c>
      <c r="F554" s="3" t="s">
        <v>29</v>
      </c>
      <c r="G554" s="3" t="s">
        <v>205</v>
      </c>
      <c r="H554" s="3">
        <v>60</v>
      </c>
      <c r="I554" s="3" t="s">
        <v>19</v>
      </c>
      <c r="J554" s="3">
        <f t="shared" si="8"/>
        <v>1</v>
      </c>
      <c r="K554" s="3" t="s">
        <v>20</v>
      </c>
      <c r="L554" t="s">
        <v>73</v>
      </c>
      <c r="M554" t="s">
        <v>73</v>
      </c>
      <c r="N554" s="1">
        <v>0.85416666666666663</v>
      </c>
      <c r="O554" s="1">
        <v>0.89583333333333337</v>
      </c>
      <c r="P554" s="3">
        <v>4000113363</v>
      </c>
      <c r="Q554">
        <v>10049416</v>
      </c>
      <c r="R554" t="s">
        <v>53</v>
      </c>
      <c r="S554" t="s">
        <v>123</v>
      </c>
    </row>
    <row r="555" spans="3:19" x14ac:dyDescent="0.25">
      <c r="C555">
        <v>3122766</v>
      </c>
      <c r="D555" s="3" t="s">
        <v>33</v>
      </c>
      <c r="E555" s="3">
        <v>2</v>
      </c>
      <c r="F555" s="3" t="s">
        <v>29</v>
      </c>
      <c r="G555" s="3" t="s">
        <v>205</v>
      </c>
      <c r="H555" s="3">
        <v>30</v>
      </c>
      <c r="I555" s="3" t="s">
        <v>19</v>
      </c>
      <c r="J555" s="3">
        <f t="shared" si="8"/>
        <v>0.5</v>
      </c>
      <c r="K555" s="3" t="s">
        <v>20</v>
      </c>
      <c r="L555" t="s">
        <v>73</v>
      </c>
      <c r="M555" t="s">
        <v>73</v>
      </c>
      <c r="N555" s="1">
        <v>4.1666666666666664E-2</v>
      </c>
      <c r="O555" s="1">
        <v>6.25E-2</v>
      </c>
      <c r="P555" s="3">
        <v>4000113368</v>
      </c>
      <c r="Q555">
        <v>10051337</v>
      </c>
      <c r="R555" t="s">
        <v>54</v>
      </c>
      <c r="S555" t="s">
        <v>123</v>
      </c>
    </row>
    <row r="556" spans="3:19" x14ac:dyDescent="0.25">
      <c r="C556">
        <v>3120249</v>
      </c>
      <c r="D556" s="3" t="s">
        <v>33</v>
      </c>
      <c r="E556" s="3">
        <v>2</v>
      </c>
      <c r="F556" s="3" t="s">
        <v>29</v>
      </c>
      <c r="G556" s="3" t="s">
        <v>205</v>
      </c>
      <c r="H556" s="3">
        <v>30</v>
      </c>
      <c r="I556" s="3" t="s">
        <v>19</v>
      </c>
      <c r="J556" s="3">
        <f t="shared" si="8"/>
        <v>0.5</v>
      </c>
      <c r="K556" s="3" t="s">
        <v>20</v>
      </c>
      <c r="L556" t="s">
        <v>109</v>
      </c>
      <c r="M556" t="s">
        <v>109</v>
      </c>
      <c r="N556" s="1">
        <v>0.9375</v>
      </c>
      <c r="O556" s="1">
        <v>0.95833333333333337</v>
      </c>
      <c r="P556" s="3">
        <v>4000112116</v>
      </c>
      <c r="Q556">
        <v>10051481</v>
      </c>
      <c r="R556" t="s">
        <v>53</v>
      </c>
      <c r="S556" t="s">
        <v>168</v>
      </c>
    </row>
    <row r="557" spans="3:19" x14ac:dyDescent="0.25">
      <c r="C557">
        <v>3122020</v>
      </c>
      <c r="D557" s="3" t="s">
        <v>33</v>
      </c>
      <c r="E557" s="3">
        <v>2</v>
      </c>
      <c r="F557" s="3" t="s">
        <v>29</v>
      </c>
      <c r="G557" s="3" t="s">
        <v>205</v>
      </c>
      <c r="H557" s="3">
        <v>30</v>
      </c>
      <c r="I557" s="3" t="s">
        <v>19</v>
      </c>
      <c r="J557" s="3">
        <f t="shared" si="8"/>
        <v>0.5</v>
      </c>
      <c r="K557" s="3" t="s">
        <v>20</v>
      </c>
      <c r="L557" t="s">
        <v>109</v>
      </c>
      <c r="M557" t="s">
        <v>109</v>
      </c>
      <c r="N557" s="1">
        <v>0.83333333333333337</v>
      </c>
      <c r="O557" s="1">
        <v>0.85416666666666663</v>
      </c>
      <c r="P557" s="3">
        <v>4000112717</v>
      </c>
      <c r="Q557">
        <v>10051555</v>
      </c>
      <c r="R557" t="s">
        <v>57</v>
      </c>
      <c r="S557" t="s">
        <v>192</v>
      </c>
    </row>
    <row r="558" spans="3:19" x14ac:dyDescent="0.25">
      <c r="C558">
        <v>3118347</v>
      </c>
      <c r="D558" s="3" t="s">
        <v>33</v>
      </c>
      <c r="E558" s="3">
        <v>2</v>
      </c>
      <c r="F558" s="3" t="s">
        <v>29</v>
      </c>
      <c r="G558" s="3" t="s">
        <v>205</v>
      </c>
      <c r="H558" s="3">
        <v>20</v>
      </c>
      <c r="I558" s="3" t="s">
        <v>19</v>
      </c>
      <c r="J558" s="3">
        <f t="shared" si="8"/>
        <v>0.33333333333333331</v>
      </c>
      <c r="K558" s="3" t="s">
        <v>20</v>
      </c>
      <c r="L558" t="s">
        <v>30</v>
      </c>
      <c r="M558" t="s">
        <v>30</v>
      </c>
      <c r="N558" s="1">
        <v>0.89583333333333337</v>
      </c>
      <c r="O558" s="1">
        <v>0.90972222222222221</v>
      </c>
      <c r="P558" s="3">
        <v>4000111371</v>
      </c>
      <c r="Q558">
        <v>10049372</v>
      </c>
      <c r="R558" t="s">
        <v>36</v>
      </c>
      <c r="S558" t="s">
        <v>206</v>
      </c>
    </row>
    <row r="559" spans="3:19" x14ac:dyDescent="0.25">
      <c r="C559">
        <v>3122798</v>
      </c>
      <c r="D559" s="3" t="s">
        <v>17</v>
      </c>
      <c r="E559" s="3">
        <v>2</v>
      </c>
      <c r="F559" s="3" t="s">
        <v>29</v>
      </c>
      <c r="G559" s="3" t="s">
        <v>205</v>
      </c>
      <c r="H559" s="3">
        <v>60</v>
      </c>
      <c r="I559" s="3" t="s">
        <v>19</v>
      </c>
      <c r="J559" s="3">
        <f t="shared" si="8"/>
        <v>1</v>
      </c>
      <c r="K559" s="3" t="s">
        <v>20</v>
      </c>
      <c r="L559" t="s">
        <v>24</v>
      </c>
      <c r="M559" t="s">
        <v>24</v>
      </c>
      <c r="N559" s="1">
        <v>0.625</v>
      </c>
      <c r="O559" s="1">
        <v>0.66666666666666663</v>
      </c>
      <c r="P559" s="3">
        <v>4000113400</v>
      </c>
      <c r="Q559">
        <v>10051704</v>
      </c>
      <c r="R559" t="s">
        <v>58</v>
      </c>
      <c r="S559" t="s">
        <v>32</v>
      </c>
    </row>
    <row r="560" spans="3:19" x14ac:dyDescent="0.25">
      <c r="C560">
        <v>3122736</v>
      </c>
      <c r="D560" s="3" t="s">
        <v>17</v>
      </c>
      <c r="E560" s="3">
        <v>2</v>
      </c>
      <c r="F560" s="3" t="s">
        <v>29</v>
      </c>
      <c r="G560" s="3" t="s">
        <v>205</v>
      </c>
      <c r="H560" s="3">
        <v>60</v>
      </c>
      <c r="I560" s="3" t="s">
        <v>19</v>
      </c>
      <c r="J560" s="3">
        <f t="shared" si="8"/>
        <v>1</v>
      </c>
      <c r="K560" s="3" t="s">
        <v>20</v>
      </c>
      <c r="L560" t="s">
        <v>33</v>
      </c>
      <c r="M560" t="s">
        <v>33</v>
      </c>
      <c r="N560" s="1">
        <v>0.64583333333333337</v>
      </c>
      <c r="O560" s="1">
        <v>0.6875</v>
      </c>
      <c r="P560" s="3">
        <v>4000113341</v>
      </c>
      <c r="Q560">
        <v>10051493</v>
      </c>
      <c r="R560" t="s">
        <v>53</v>
      </c>
      <c r="S560" t="s">
        <v>136</v>
      </c>
    </row>
    <row r="561" spans="3:19" x14ac:dyDescent="0.25">
      <c r="C561">
        <v>3122784</v>
      </c>
      <c r="D561" s="3" t="s">
        <v>17</v>
      </c>
      <c r="E561" s="3">
        <v>1</v>
      </c>
      <c r="F561" s="3" t="s">
        <v>29</v>
      </c>
      <c r="G561" s="3" t="s">
        <v>205</v>
      </c>
      <c r="H561" s="3">
        <v>1.5</v>
      </c>
      <c r="I561" s="3" t="s">
        <v>129</v>
      </c>
      <c r="J561" s="3">
        <f>H561*60</f>
        <v>90</v>
      </c>
      <c r="K561" s="3" t="s">
        <v>20</v>
      </c>
      <c r="L561" t="s">
        <v>33</v>
      </c>
      <c r="M561" t="s">
        <v>33</v>
      </c>
      <c r="N561" s="1">
        <v>0.58333333333333337</v>
      </c>
      <c r="O561" s="1">
        <v>0.64583333333333337</v>
      </c>
      <c r="P561" s="3">
        <v>4000113386</v>
      </c>
      <c r="Q561">
        <v>10049416</v>
      </c>
      <c r="R561" t="s">
        <v>53</v>
      </c>
      <c r="S561" t="s">
        <v>170</v>
      </c>
    </row>
    <row r="562" spans="3:19" x14ac:dyDescent="0.25">
      <c r="C562">
        <v>3122796</v>
      </c>
      <c r="D562" s="3" t="s">
        <v>17</v>
      </c>
      <c r="E562" s="3">
        <v>2</v>
      </c>
      <c r="F562" s="3" t="s">
        <v>29</v>
      </c>
      <c r="G562" s="3" t="s">
        <v>205</v>
      </c>
      <c r="H562" s="3">
        <v>30</v>
      </c>
      <c r="I562" s="3" t="s">
        <v>19</v>
      </c>
      <c r="J562" s="3">
        <f t="shared" si="8"/>
        <v>0.5</v>
      </c>
      <c r="K562" s="3" t="s">
        <v>20</v>
      </c>
      <c r="L562" t="s">
        <v>33</v>
      </c>
      <c r="M562" t="s">
        <v>33</v>
      </c>
      <c r="N562" s="1">
        <v>0.54166666666666663</v>
      </c>
      <c r="O562" s="1">
        <v>0.5625</v>
      </c>
      <c r="P562" s="3">
        <v>4000113398</v>
      </c>
      <c r="Q562">
        <v>10049399</v>
      </c>
      <c r="R562" t="s">
        <v>53</v>
      </c>
      <c r="S562" t="s">
        <v>171</v>
      </c>
    </row>
    <row r="563" spans="3:19" x14ac:dyDescent="0.25">
      <c r="C563">
        <v>3132473</v>
      </c>
      <c r="D563" s="3" t="s">
        <v>17</v>
      </c>
      <c r="E563" s="3">
        <v>1</v>
      </c>
      <c r="F563" s="3" t="s">
        <v>29</v>
      </c>
      <c r="G563" s="3" t="s">
        <v>205</v>
      </c>
      <c r="H563" s="3">
        <v>30</v>
      </c>
      <c r="I563" s="3" t="s">
        <v>19</v>
      </c>
      <c r="J563" s="3">
        <f t="shared" si="8"/>
        <v>0.5</v>
      </c>
      <c r="K563" s="3" t="s">
        <v>20</v>
      </c>
      <c r="L563" t="s">
        <v>33</v>
      </c>
      <c r="M563" t="s">
        <v>33</v>
      </c>
      <c r="N563" s="1">
        <v>0.54166666666666663</v>
      </c>
      <c r="O563" s="1">
        <v>0.5625</v>
      </c>
      <c r="P563" s="3">
        <v>4000114011</v>
      </c>
      <c r="Q563">
        <v>10049436</v>
      </c>
      <c r="R563" t="s">
        <v>53</v>
      </c>
      <c r="S563" t="s">
        <v>170</v>
      </c>
    </row>
    <row r="564" spans="3:19" x14ac:dyDescent="0.25">
      <c r="C564">
        <v>3134103</v>
      </c>
      <c r="D564" s="3" t="s">
        <v>25</v>
      </c>
      <c r="E564" s="3">
        <v>1</v>
      </c>
      <c r="F564" s="3" t="s">
        <v>29</v>
      </c>
      <c r="G564" s="3" t="s">
        <v>205</v>
      </c>
      <c r="H564" s="3">
        <v>2.5</v>
      </c>
      <c r="I564" s="3" t="s">
        <v>129</v>
      </c>
      <c r="J564" s="3">
        <f>H564*60</f>
        <v>150</v>
      </c>
      <c r="K564" s="3" t="s">
        <v>20</v>
      </c>
      <c r="L564" t="s">
        <v>55</v>
      </c>
      <c r="M564" t="s">
        <v>55</v>
      </c>
      <c r="N564" s="1">
        <v>0.39583333333333331</v>
      </c>
      <c r="O564" s="1">
        <v>0.45833333333333331</v>
      </c>
      <c r="P564" s="3">
        <v>4000114862</v>
      </c>
      <c r="Q564">
        <v>10049688</v>
      </c>
      <c r="R564" t="s">
        <v>54</v>
      </c>
      <c r="S564" t="s">
        <v>172</v>
      </c>
    </row>
    <row r="565" spans="3:19" x14ac:dyDescent="0.25">
      <c r="C565">
        <v>3134110</v>
      </c>
      <c r="D565" s="3" t="s">
        <v>25</v>
      </c>
      <c r="E565" s="3">
        <v>1</v>
      </c>
      <c r="F565" s="3" t="s">
        <v>29</v>
      </c>
      <c r="G565" s="3" t="s">
        <v>205</v>
      </c>
      <c r="H565" s="3">
        <v>30</v>
      </c>
      <c r="I565" s="3" t="s">
        <v>19</v>
      </c>
      <c r="J565" s="3">
        <f t="shared" si="8"/>
        <v>0.5</v>
      </c>
      <c r="K565" s="3" t="s">
        <v>20</v>
      </c>
      <c r="L565" t="s">
        <v>55</v>
      </c>
      <c r="M565" t="s">
        <v>55</v>
      </c>
      <c r="N565" s="1">
        <v>0.39583333333333331</v>
      </c>
      <c r="O565" s="1">
        <v>0.41666666666666669</v>
      </c>
      <c r="P565" s="3">
        <v>4000114869</v>
      </c>
      <c r="Q565">
        <v>10051337</v>
      </c>
      <c r="R565" t="s">
        <v>54</v>
      </c>
      <c r="S565" t="s">
        <v>173</v>
      </c>
    </row>
    <row r="566" spans="3:19" x14ac:dyDescent="0.25">
      <c r="C566">
        <v>3134195</v>
      </c>
      <c r="D566" s="3" t="s">
        <v>25</v>
      </c>
      <c r="E566" s="3">
        <v>1</v>
      </c>
      <c r="F566" s="3" t="s">
        <v>29</v>
      </c>
      <c r="G566" s="3" t="s">
        <v>205</v>
      </c>
      <c r="H566" s="3">
        <v>30</v>
      </c>
      <c r="I566" s="3" t="s">
        <v>19</v>
      </c>
      <c r="J566" s="3">
        <f t="shared" si="8"/>
        <v>0.5</v>
      </c>
      <c r="K566" s="3" t="s">
        <v>20</v>
      </c>
      <c r="L566" t="s">
        <v>55</v>
      </c>
      <c r="M566" t="s">
        <v>55</v>
      </c>
      <c r="N566" s="1">
        <v>0.58333333333333337</v>
      </c>
      <c r="O566" s="1">
        <v>0.60416666666666663</v>
      </c>
      <c r="P566" s="3">
        <v>4000114944</v>
      </c>
      <c r="Q566">
        <v>10051347</v>
      </c>
      <c r="R566" t="s">
        <v>54</v>
      </c>
      <c r="S566" t="s">
        <v>172</v>
      </c>
    </row>
    <row r="567" spans="3:19" x14ac:dyDescent="0.25">
      <c r="C567">
        <v>3134203</v>
      </c>
      <c r="D567" s="3" t="s">
        <v>25</v>
      </c>
      <c r="E567" s="3">
        <v>1</v>
      </c>
      <c r="F567" s="3" t="s">
        <v>29</v>
      </c>
      <c r="G567" s="3" t="s">
        <v>205</v>
      </c>
      <c r="H567" s="3">
        <v>30</v>
      </c>
      <c r="I567" s="3" t="s">
        <v>19</v>
      </c>
      <c r="J567" s="3">
        <f t="shared" si="8"/>
        <v>0.5</v>
      </c>
      <c r="K567" s="3" t="s">
        <v>20</v>
      </c>
      <c r="L567" t="s">
        <v>55</v>
      </c>
      <c r="M567" t="s">
        <v>55</v>
      </c>
      <c r="N567" s="1">
        <v>0.47916666666666669</v>
      </c>
      <c r="O567" s="1">
        <v>0.5</v>
      </c>
      <c r="P567" s="3">
        <v>4000114952</v>
      </c>
      <c r="Q567">
        <v>10051337</v>
      </c>
      <c r="R567" t="s">
        <v>54</v>
      </c>
      <c r="S567" t="s">
        <v>174</v>
      </c>
    </row>
    <row r="568" spans="3:19" x14ac:dyDescent="0.25">
      <c r="C568">
        <v>3134219</v>
      </c>
      <c r="D568" s="3" t="s">
        <v>25</v>
      </c>
      <c r="E568" s="3">
        <v>1</v>
      </c>
      <c r="F568" s="3" t="s">
        <v>29</v>
      </c>
      <c r="G568" s="3" t="s">
        <v>205</v>
      </c>
      <c r="H568" s="3">
        <v>60</v>
      </c>
      <c r="I568" s="3" t="s">
        <v>19</v>
      </c>
      <c r="J568" s="3">
        <f t="shared" si="8"/>
        <v>1</v>
      </c>
      <c r="K568" s="3" t="s">
        <v>20</v>
      </c>
      <c r="L568" t="s">
        <v>55</v>
      </c>
      <c r="M568" t="s">
        <v>55</v>
      </c>
      <c r="N568" s="1">
        <v>0.54166666666666663</v>
      </c>
      <c r="O568" s="1">
        <v>0.58333333333333337</v>
      </c>
      <c r="P568" s="3">
        <v>4000114967</v>
      </c>
      <c r="Q568">
        <v>10051337</v>
      </c>
      <c r="R568" t="s">
        <v>54</v>
      </c>
      <c r="S568" t="s">
        <v>173</v>
      </c>
    </row>
    <row r="569" spans="3:19" x14ac:dyDescent="0.25">
      <c r="C569">
        <v>3133500</v>
      </c>
      <c r="D569" s="3" t="s">
        <v>28</v>
      </c>
      <c r="E569" s="3">
        <v>2</v>
      </c>
      <c r="F569" s="3" t="s">
        <v>29</v>
      </c>
      <c r="G569" s="3" t="s">
        <v>205</v>
      </c>
      <c r="H569" s="3">
        <v>60</v>
      </c>
      <c r="I569" s="3" t="s">
        <v>19</v>
      </c>
      <c r="J569" s="3">
        <f t="shared" si="8"/>
        <v>1</v>
      </c>
      <c r="K569" s="3" t="s">
        <v>20</v>
      </c>
      <c r="L569" t="s">
        <v>118</v>
      </c>
      <c r="M569" t="s">
        <v>118</v>
      </c>
      <c r="N569" s="1">
        <v>0.33333333333333331</v>
      </c>
      <c r="O569" s="1">
        <v>0.375</v>
      </c>
      <c r="P569" s="3">
        <v>4000114760</v>
      </c>
      <c r="Q569">
        <v>10049667</v>
      </c>
      <c r="R569" t="s">
        <v>54</v>
      </c>
      <c r="S569" t="s">
        <v>175</v>
      </c>
    </row>
    <row r="570" spans="3:19" x14ac:dyDescent="0.25">
      <c r="C570">
        <v>3134121</v>
      </c>
      <c r="D570" s="3" t="s">
        <v>28</v>
      </c>
      <c r="E570" s="3">
        <v>2</v>
      </c>
      <c r="F570" s="3" t="s">
        <v>29</v>
      </c>
      <c r="G570" s="3" t="s">
        <v>205</v>
      </c>
      <c r="H570" s="3">
        <v>60</v>
      </c>
      <c r="I570" s="3" t="s">
        <v>19</v>
      </c>
      <c r="J570" s="3">
        <f t="shared" si="8"/>
        <v>1</v>
      </c>
      <c r="K570" s="3" t="s">
        <v>20</v>
      </c>
      <c r="L570" t="s">
        <v>118</v>
      </c>
      <c r="M570" t="s">
        <v>118</v>
      </c>
      <c r="N570" s="1">
        <v>0.375</v>
      </c>
      <c r="O570" s="1">
        <v>0.41666666666666669</v>
      </c>
      <c r="P570" s="3">
        <v>4000114880</v>
      </c>
      <c r="Q570">
        <v>10049680</v>
      </c>
      <c r="R570" t="s">
        <v>54</v>
      </c>
      <c r="S570" t="s">
        <v>176</v>
      </c>
    </row>
    <row r="571" spans="3:19" x14ac:dyDescent="0.25">
      <c r="C571">
        <v>3134194</v>
      </c>
      <c r="D571" s="3" t="s">
        <v>28</v>
      </c>
      <c r="E571" s="3">
        <v>1</v>
      </c>
      <c r="F571" s="3" t="s">
        <v>29</v>
      </c>
      <c r="G571" s="3" t="s">
        <v>205</v>
      </c>
      <c r="H571" s="3">
        <v>60</v>
      </c>
      <c r="I571" s="3" t="s">
        <v>19</v>
      </c>
      <c r="J571" s="3">
        <f t="shared" ref="J571:J634" si="9">H571/60</f>
        <v>1</v>
      </c>
      <c r="K571" s="3" t="s">
        <v>20</v>
      </c>
      <c r="L571" t="s">
        <v>118</v>
      </c>
      <c r="M571" t="s">
        <v>118</v>
      </c>
      <c r="N571" s="1">
        <v>0.41666666666666669</v>
      </c>
      <c r="O571" s="1">
        <v>0.45833333333333331</v>
      </c>
      <c r="P571" s="3">
        <v>4000114943</v>
      </c>
      <c r="Q571">
        <v>10049680</v>
      </c>
      <c r="R571" t="s">
        <v>54</v>
      </c>
      <c r="S571" t="s">
        <v>175</v>
      </c>
    </row>
    <row r="572" spans="3:19" x14ac:dyDescent="0.25">
      <c r="C572">
        <v>3134257</v>
      </c>
      <c r="D572" s="3" t="s">
        <v>28</v>
      </c>
      <c r="E572" s="3">
        <v>1</v>
      </c>
      <c r="F572" s="3" t="s">
        <v>29</v>
      </c>
      <c r="G572" s="3" t="s">
        <v>205</v>
      </c>
      <c r="H572" s="3">
        <v>30</v>
      </c>
      <c r="I572" s="3" t="s">
        <v>19</v>
      </c>
      <c r="J572" s="3">
        <f t="shared" si="9"/>
        <v>0.5</v>
      </c>
      <c r="K572" s="3" t="s">
        <v>20</v>
      </c>
      <c r="L572" t="s">
        <v>118</v>
      </c>
      <c r="M572" t="s">
        <v>118</v>
      </c>
      <c r="N572" s="1">
        <v>0.625</v>
      </c>
      <c r="O572" s="1">
        <v>0.64583333333333337</v>
      </c>
      <c r="P572" s="3">
        <v>4000115003</v>
      </c>
      <c r="Q572">
        <v>10051337</v>
      </c>
      <c r="R572" t="s">
        <v>54</v>
      </c>
      <c r="S572" t="s">
        <v>177</v>
      </c>
    </row>
    <row r="573" spans="3:19" x14ac:dyDescent="0.25">
      <c r="C573">
        <v>3134789</v>
      </c>
      <c r="D573" s="3" t="s">
        <v>25</v>
      </c>
      <c r="E573" s="3">
        <v>4</v>
      </c>
      <c r="F573" s="3" t="s">
        <v>122</v>
      </c>
      <c r="G573" s="3" t="s">
        <v>207</v>
      </c>
      <c r="H573" s="3">
        <v>2</v>
      </c>
      <c r="I573" s="3" t="s">
        <v>129</v>
      </c>
      <c r="J573" s="3">
        <f>H573*60</f>
        <v>120</v>
      </c>
      <c r="K573" s="3" t="s">
        <v>20</v>
      </c>
      <c r="L573" t="s">
        <v>51</v>
      </c>
      <c r="M573" t="s">
        <v>51</v>
      </c>
      <c r="N573" s="1">
        <v>0.45833333333333331</v>
      </c>
      <c r="O573" s="1">
        <v>0.54166666666666663</v>
      </c>
      <c r="P573" s="3">
        <v>4000115719</v>
      </c>
      <c r="Q573">
        <v>10049809</v>
      </c>
      <c r="R573" t="s">
        <v>130</v>
      </c>
      <c r="S573" t="s">
        <v>131</v>
      </c>
    </row>
    <row r="574" spans="3:19" x14ac:dyDescent="0.25">
      <c r="C574">
        <v>3120241</v>
      </c>
      <c r="D574" s="3" t="s">
        <v>22</v>
      </c>
      <c r="E574" s="3">
        <v>4</v>
      </c>
      <c r="F574" s="3" t="s">
        <v>29</v>
      </c>
      <c r="G574" s="3" t="s">
        <v>207</v>
      </c>
      <c r="H574" s="3">
        <v>240</v>
      </c>
      <c r="I574" s="3" t="s">
        <v>19</v>
      </c>
      <c r="J574" s="3">
        <f t="shared" si="9"/>
        <v>4</v>
      </c>
      <c r="K574" s="3" t="s">
        <v>20</v>
      </c>
      <c r="L574" t="s">
        <v>24</v>
      </c>
      <c r="M574" t="s">
        <v>24</v>
      </c>
      <c r="N574" s="1">
        <v>0.375</v>
      </c>
      <c r="O574" s="1">
        <v>0.5</v>
      </c>
      <c r="P574" s="3">
        <v>4000112108</v>
      </c>
      <c r="Q574">
        <v>10051396</v>
      </c>
      <c r="R574" t="s">
        <v>36</v>
      </c>
      <c r="S574" t="s">
        <v>198</v>
      </c>
    </row>
    <row r="575" spans="3:19" x14ac:dyDescent="0.25">
      <c r="C575">
        <v>3118332</v>
      </c>
      <c r="D575" s="3" t="s">
        <v>33</v>
      </c>
      <c r="E575" s="3">
        <v>1</v>
      </c>
      <c r="F575" s="3" t="s">
        <v>34</v>
      </c>
      <c r="G575" s="3" t="s">
        <v>207</v>
      </c>
      <c r="H575" s="3">
        <v>30</v>
      </c>
      <c r="I575" s="3" t="s">
        <v>19</v>
      </c>
      <c r="J575" s="3">
        <f t="shared" si="9"/>
        <v>0.5</v>
      </c>
      <c r="K575" s="3" t="s">
        <v>20</v>
      </c>
      <c r="L575" t="s">
        <v>165</v>
      </c>
      <c r="M575" t="s">
        <v>165</v>
      </c>
      <c r="N575" s="1">
        <v>0.85416666666666663</v>
      </c>
      <c r="O575" s="1">
        <v>0.875</v>
      </c>
      <c r="P575" s="3">
        <v>4000111356</v>
      </c>
      <c r="Q575">
        <v>10051386</v>
      </c>
      <c r="R575" t="s">
        <v>36</v>
      </c>
      <c r="S575" t="s">
        <v>208</v>
      </c>
    </row>
    <row r="576" spans="3:19" x14ac:dyDescent="0.25">
      <c r="C576">
        <v>3118353</v>
      </c>
      <c r="D576" s="3" t="s">
        <v>33</v>
      </c>
      <c r="E576" s="3">
        <v>1</v>
      </c>
      <c r="F576" s="3" t="s">
        <v>34</v>
      </c>
      <c r="G576" s="3" t="s">
        <v>207</v>
      </c>
      <c r="H576" s="3">
        <v>30</v>
      </c>
      <c r="I576" s="3" t="s">
        <v>19</v>
      </c>
      <c r="J576" s="3">
        <f t="shared" si="9"/>
        <v>0.5</v>
      </c>
      <c r="K576" s="3" t="s">
        <v>20</v>
      </c>
      <c r="L576" t="s">
        <v>165</v>
      </c>
      <c r="M576" t="s">
        <v>165</v>
      </c>
      <c r="N576" s="1">
        <v>0.83333333333333337</v>
      </c>
      <c r="O576" s="1">
        <v>0.85416666666666663</v>
      </c>
      <c r="P576" s="3">
        <v>4000111377</v>
      </c>
      <c r="Q576">
        <v>10051396</v>
      </c>
      <c r="R576" t="s">
        <v>36</v>
      </c>
      <c r="S576" t="s">
        <v>208</v>
      </c>
    </row>
    <row r="577" spans="3:19" x14ac:dyDescent="0.25">
      <c r="C577">
        <v>3118355</v>
      </c>
      <c r="D577" s="3" t="s">
        <v>33</v>
      </c>
      <c r="E577" s="3">
        <v>1</v>
      </c>
      <c r="F577" s="3" t="s">
        <v>34</v>
      </c>
      <c r="G577" s="3" t="s">
        <v>207</v>
      </c>
      <c r="H577" s="3">
        <v>10</v>
      </c>
      <c r="I577" s="3" t="s">
        <v>19</v>
      </c>
      <c r="J577" s="3">
        <f t="shared" si="9"/>
        <v>0.16666666666666666</v>
      </c>
      <c r="K577" s="3" t="s">
        <v>20</v>
      </c>
      <c r="L577" t="s">
        <v>165</v>
      </c>
      <c r="M577" t="s">
        <v>165</v>
      </c>
      <c r="N577" s="1">
        <v>0.89583333333333337</v>
      </c>
      <c r="O577" s="1">
        <v>0.90277777777777779</v>
      </c>
      <c r="P577" s="3">
        <v>4000111379</v>
      </c>
      <c r="Q577">
        <v>10051481</v>
      </c>
      <c r="R577" t="s">
        <v>53</v>
      </c>
      <c r="S577" t="s">
        <v>209</v>
      </c>
    </row>
    <row r="578" spans="3:19" x14ac:dyDescent="0.25">
      <c r="C578">
        <v>3120221</v>
      </c>
      <c r="D578" s="3" t="s">
        <v>33</v>
      </c>
      <c r="E578" s="3">
        <v>1</v>
      </c>
      <c r="F578" s="3" t="s">
        <v>34</v>
      </c>
      <c r="G578" s="3" t="s">
        <v>207</v>
      </c>
      <c r="H578" s="3">
        <v>10</v>
      </c>
      <c r="I578" s="3" t="s">
        <v>19</v>
      </c>
      <c r="J578" s="3">
        <f t="shared" si="9"/>
        <v>0.16666666666666666</v>
      </c>
      <c r="K578" s="3" t="s">
        <v>20</v>
      </c>
      <c r="L578" t="s">
        <v>165</v>
      </c>
      <c r="M578" t="s">
        <v>165</v>
      </c>
      <c r="N578" s="1">
        <v>0.86805555555555547</v>
      </c>
      <c r="O578" s="1">
        <v>0.875</v>
      </c>
      <c r="P578" s="3">
        <v>4000112089</v>
      </c>
      <c r="Q578">
        <v>10051769</v>
      </c>
      <c r="R578" t="s">
        <v>36</v>
      </c>
      <c r="S578" t="s">
        <v>39</v>
      </c>
    </row>
    <row r="579" spans="3:19" x14ac:dyDescent="0.25">
      <c r="C579">
        <v>3120239</v>
      </c>
      <c r="D579" s="3" t="s">
        <v>33</v>
      </c>
      <c r="E579" s="3">
        <v>1</v>
      </c>
      <c r="F579" s="3" t="s">
        <v>34</v>
      </c>
      <c r="G579" s="3" t="s">
        <v>207</v>
      </c>
      <c r="H579" s="3">
        <v>10</v>
      </c>
      <c r="I579" s="3" t="s">
        <v>19</v>
      </c>
      <c r="J579" s="3">
        <f t="shared" si="9"/>
        <v>0.16666666666666666</v>
      </c>
      <c r="K579" s="3" t="s">
        <v>20</v>
      </c>
      <c r="L579" t="s">
        <v>165</v>
      </c>
      <c r="M579" t="s">
        <v>165</v>
      </c>
      <c r="N579" s="1">
        <v>0.86111111111111116</v>
      </c>
      <c r="O579" s="1">
        <v>0.86805555555555547</v>
      </c>
      <c r="P579" s="3">
        <v>4000112106</v>
      </c>
      <c r="Q579">
        <v>10049350</v>
      </c>
      <c r="R579" t="s">
        <v>36</v>
      </c>
      <c r="S579" t="s">
        <v>39</v>
      </c>
    </row>
    <row r="580" spans="3:19" x14ac:dyDescent="0.25">
      <c r="C580">
        <v>3088991</v>
      </c>
      <c r="D580" s="3" t="s">
        <v>33</v>
      </c>
      <c r="E580" s="3">
        <v>2</v>
      </c>
      <c r="F580" s="3" t="s">
        <v>34</v>
      </c>
      <c r="G580" s="3" t="s">
        <v>207</v>
      </c>
      <c r="H580" s="3">
        <v>60</v>
      </c>
      <c r="I580" s="3" t="s">
        <v>19</v>
      </c>
      <c r="J580" s="3">
        <f t="shared" si="9"/>
        <v>1</v>
      </c>
      <c r="K580" s="3" t="s">
        <v>20</v>
      </c>
      <c r="L580" t="s">
        <v>73</v>
      </c>
      <c r="M580" t="s">
        <v>73</v>
      </c>
      <c r="N580" s="1">
        <v>0.33333333333333331</v>
      </c>
      <c r="O580" s="1">
        <v>0.875</v>
      </c>
      <c r="P580" s="3">
        <v>4000102706</v>
      </c>
      <c r="Q580">
        <v>10051704</v>
      </c>
      <c r="R580" t="s">
        <v>58</v>
      </c>
      <c r="S580" t="s">
        <v>37</v>
      </c>
    </row>
    <row r="581" spans="3:19" x14ac:dyDescent="0.25">
      <c r="C581">
        <v>3110470</v>
      </c>
      <c r="D581" s="3" t="s">
        <v>33</v>
      </c>
      <c r="E581" s="3">
        <v>1</v>
      </c>
      <c r="F581" s="3" t="s">
        <v>34</v>
      </c>
      <c r="G581" s="3" t="s">
        <v>207</v>
      </c>
      <c r="H581" s="3">
        <v>4</v>
      </c>
      <c r="I581" s="3" t="s">
        <v>129</v>
      </c>
      <c r="J581" s="3">
        <f>H581*60</f>
        <v>240</v>
      </c>
      <c r="K581" s="3" t="s">
        <v>20</v>
      </c>
      <c r="L581" t="s">
        <v>73</v>
      </c>
      <c r="M581" t="s">
        <v>73</v>
      </c>
      <c r="N581" s="1">
        <v>0.33333333333333331</v>
      </c>
      <c r="O581" s="1">
        <v>0.5</v>
      </c>
      <c r="P581" s="3">
        <v>4000107626</v>
      </c>
      <c r="Q581">
        <v>10051218</v>
      </c>
      <c r="R581" t="s">
        <v>31</v>
      </c>
      <c r="S581" t="s">
        <v>210</v>
      </c>
    </row>
    <row r="582" spans="3:19" x14ac:dyDescent="0.25">
      <c r="C582">
        <v>3119959</v>
      </c>
      <c r="D582" s="3" t="s">
        <v>33</v>
      </c>
      <c r="E582" s="3">
        <v>2</v>
      </c>
      <c r="F582" s="3" t="s">
        <v>34</v>
      </c>
      <c r="G582" s="3" t="s">
        <v>207</v>
      </c>
      <c r="H582" s="3">
        <v>30</v>
      </c>
      <c r="I582" s="3" t="s">
        <v>19</v>
      </c>
      <c r="J582" s="3">
        <f t="shared" si="9"/>
        <v>0.5</v>
      </c>
      <c r="K582" s="3" t="s">
        <v>20</v>
      </c>
      <c r="L582" t="s">
        <v>73</v>
      </c>
      <c r="M582" t="s">
        <v>73</v>
      </c>
      <c r="N582" s="1">
        <v>0.33333333333333331</v>
      </c>
      <c r="O582" s="1">
        <v>0.35416666666666669</v>
      </c>
      <c r="P582" s="3">
        <v>4000112033</v>
      </c>
      <c r="Q582">
        <v>10051548</v>
      </c>
      <c r="R582" t="s">
        <v>57</v>
      </c>
      <c r="S582" t="s">
        <v>37</v>
      </c>
    </row>
    <row r="583" spans="3:19" x14ac:dyDescent="0.25">
      <c r="C583">
        <v>3112636</v>
      </c>
      <c r="D583" s="3" t="s">
        <v>17</v>
      </c>
      <c r="E583" s="3">
        <v>3</v>
      </c>
      <c r="F583" s="3" t="s">
        <v>34</v>
      </c>
      <c r="G583" s="3" t="s">
        <v>207</v>
      </c>
      <c r="H583" s="3">
        <v>240</v>
      </c>
      <c r="I583" s="3" t="s">
        <v>19</v>
      </c>
      <c r="J583" s="3">
        <f t="shared" si="9"/>
        <v>4</v>
      </c>
      <c r="K583" s="3" t="s">
        <v>20</v>
      </c>
      <c r="L583" t="s">
        <v>40</v>
      </c>
      <c r="M583" t="s">
        <v>40</v>
      </c>
      <c r="N583" s="1">
        <v>0.33333333333333331</v>
      </c>
      <c r="O583" s="1">
        <v>0.5</v>
      </c>
      <c r="P583" s="3">
        <v>4000108465</v>
      </c>
      <c r="Q583">
        <v>10051386</v>
      </c>
      <c r="R583" t="s">
        <v>36</v>
      </c>
      <c r="S583" t="s">
        <v>41</v>
      </c>
    </row>
    <row r="584" spans="3:19" x14ac:dyDescent="0.25">
      <c r="C584">
        <v>3119989</v>
      </c>
      <c r="D584" s="3" t="s">
        <v>33</v>
      </c>
      <c r="E584" s="3">
        <v>1</v>
      </c>
      <c r="F584" s="3" t="s">
        <v>34</v>
      </c>
      <c r="G584" s="3" t="s">
        <v>207</v>
      </c>
      <c r="H584" s="3">
        <v>25</v>
      </c>
      <c r="I584" s="3" t="s">
        <v>19</v>
      </c>
      <c r="J584" s="3">
        <f t="shared" si="9"/>
        <v>0.41666666666666669</v>
      </c>
      <c r="K584" s="3" t="s">
        <v>20</v>
      </c>
      <c r="L584" t="s">
        <v>51</v>
      </c>
      <c r="M584" t="s">
        <v>51</v>
      </c>
      <c r="N584" s="1">
        <v>0.70138888888888884</v>
      </c>
      <c r="O584" s="1">
        <v>0.72222222222222221</v>
      </c>
      <c r="P584" s="3">
        <v>4000112060</v>
      </c>
      <c r="Q584">
        <v>10051481</v>
      </c>
      <c r="R584" t="s">
        <v>53</v>
      </c>
      <c r="S584" t="s">
        <v>194</v>
      </c>
    </row>
    <row r="585" spans="3:19" x14ac:dyDescent="0.25">
      <c r="C585">
        <v>3114077</v>
      </c>
      <c r="D585" s="3" t="s">
        <v>55</v>
      </c>
      <c r="E585" s="3">
        <v>3</v>
      </c>
      <c r="F585" s="3" t="s">
        <v>34</v>
      </c>
      <c r="G585" s="3" t="s">
        <v>207</v>
      </c>
      <c r="H585" s="3">
        <v>60</v>
      </c>
      <c r="I585" s="3" t="s">
        <v>19</v>
      </c>
      <c r="J585" s="3">
        <f t="shared" si="9"/>
        <v>1</v>
      </c>
      <c r="K585" s="3" t="s">
        <v>20</v>
      </c>
      <c r="L585" t="s">
        <v>56</v>
      </c>
      <c r="M585" t="s">
        <v>56</v>
      </c>
      <c r="N585" s="1">
        <v>0.375</v>
      </c>
      <c r="O585" s="1">
        <v>0.39583333333333331</v>
      </c>
      <c r="P585" s="3">
        <v>4000109505</v>
      </c>
      <c r="Q585">
        <v>10049451</v>
      </c>
      <c r="R585" t="s">
        <v>57</v>
      </c>
      <c r="S585" t="s">
        <v>32</v>
      </c>
    </row>
    <row r="586" spans="3:19" x14ac:dyDescent="0.25">
      <c r="C586">
        <v>3114084</v>
      </c>
      <c r="D586" s="3" t="s">
        <v>17</v>
      </c>
      <c r="E586" s="3">
        <v>3</v>
      </c>
      <c r="F586" s="3" t="s">
        <v>34</v>
      </c>
      <c r="G586" s="3" t="s">
        <v>207</v>
      </c>
      <c r="H586" s="3">
        <v>30</v>
      </c>
      <c r="I586" s="3" t="s">
        <v>19</v>
      </c>
      <c r="J586" s="3">
        <f t="shared" si="9"/>
        <v>0.5</v>
      </c>
      <c r="K586" s="3" t="s">
        <v>20</v>
      </c>
      <c r="L586" t="s">
        <v>56</v>
      </c>
      <c r="M586" t="s">
        <v>56</v>
      </c>
      <c r="N586" s="1">
        <v>0.91666666666666663</v>
      </c>
      <c r="O586" s="1">
        <v>0.9375</v>
      </c>
      <c r="P586" s="3">
        <v>4000109512</v>
      </c>
      <c r="Q586">
        <v>10051747</v>
      </c>
      <c r="R586" t="s">
        <v>58</v>
      </c>
      <c r="S586" t="s">
        <v>59</v>
      </c>
    </row>
    <row r="587" spans="3:19" x14ac:dyDescent="0.25">
      <c r="C587">
        <v>3100463</v>
      </c>
      <c r="D587" s="3" t="s">
        <v>17</v>
      </c>
      <c r="E587" s="3">
        <v>1</v>
      </c>
      <c r="F587" s="3" t="s">
        <v>34</v>
      </c>
      <c r="G587" s="3" t="s">
        <v>207</v>
      </c>
      <c r="H587" s="3">
        <v>120</v>
      </c>
      <c r="I587" s="3" t="s">
        <v>19</v>
      </c>
      <c r="J587" s="3">
        <f t="shared" si="9"/>
        <v>2</v>
      </c>
      <c r="K587" s="3" t="s">
        <v>20</v>
      </c>
      <c r="L587" t="s">
        <v>24</v>
      </c>
      <c r="M587" t="s">
        <v>24</v>
      </c>
      <c r="N587" s="1">
        <v>0.41666666666666669</v>
      </c>
      <c r="O587" s="1">
        <v>0.52083333333333337</v>
      </c>
      <c r="P587" s="3">
        <v>4000105420</v>
      </c>
      <c r="Q587">
        <v>10051443</v>
      </c>
      <c r="R587" t="s">
        <v>36</v>
      </c>
      <c r="S587" t="s">
        <v>211</v>
      </c>
    </row>
    <row r="588" spans="3:19" x14ac:dyDescent="0.25">
      <c r="C588">
        <v>3112655</v>
      </c>
      <c r="D588" s="3" t="s">
        <v>17</v>
      </c>
      <c r="E588" s="3">
        <v>3</v>
      </c>
      <c r="F588" s="3" t="s">
        <v>34</v>
      </c>
      <c r="G588" s="3" t="s">
        <v>207</v>
      </c>
      <c r="H588" s="3">
        <v>60</v>
      </c>
      <c r="I588" s="3" t="s">
        <v>19</v>
      </c>
      <c r="J588" s="3">
        <f t="shared" si="9"/>
        <v>1</v>
      </c>
      <c r="K588" s="3" t="s">
        <v>20</v>
      </c>
      <c r="L588" t="s">
        <v>24</v>
      </c>
      <c r="M588" t="s">
        <v>24</v>
      </c>
      <c r="N588" s="1">
        <v>0.54166666666666663</v>
      </c>
      <c r="O588" s="1">
        <v>0.58333333333333337</v>
      </c>
      <c r="P588" s="3">
        <v>4000108484</v>
      </c>
      <c r="Q588">
        <v>10051769</v>
      </c>
      <c r="R588" t="s">
        <v>36</v>
      </c>
      <c r="S588" t="s">
        <v>60</v>
      </c>
    </row>
    <row r="589" spans="3:19" x14ac:dyDescent="0.25">
      <c r="C589">
        <v>3114422</v>
      </c>
      <c r="D589" s="3" t="s">
        <v>17</v>
      </c>
      <c r="E589" s="3">
        <v>1</v>
      </c>
      <c r="F589" s="3" t="s">
        <v>34</v>
      </c>
      <c r="G589" s="3" t="s">
        <v>207</v>
      </c>
      <c r="H589" s="3">
        <v>120</v>
      </c>
      <c r="I589" s="3" t="s">
        <v>19</v>
      </c>
      <c r="J589" s="3">
        <f t="shared" si="9"/>
        <v>2</v>
      </c>
      <c r="K589" s="3" t="s">
        <v>20</v>
      </c>
      <c r="L589" t="s">
        <v>24</v>
      </c>
      <c r="M589" t="s">
        <v>24</v>
      </c>
      <c r="N589" s="1">
        <v>0.33333333333333331</v>
      </c>
      <c r="O589" s="1">
        <v>0.41666666666666669</v>
      </c>
      <c r="P589" s="3">
        <v>4000109550</v>
      </c>
      <c r="Q589">
        <v>10051174</v>
      </c>
      <c r="R589" t="s">
        <v>58</v>
      </c>
      <c r="S589" t="s">
        <v>212</v>
      </c>
    </row>
    <row r="590" spans="3:19" x14ac:dyDescent="0.25">
      <c r="C590">
        <v>3114430</v>
      </c>
      <c r="D590" s="3" t="s">
        <v>17</v>
      </c>
      <c r="E590" s="3">
        <v>1</v>
      </c>
      <c r="F590" s="3" t="s">
        <v>34</v>
      </c>
      <c r="G590" s="3" t="s">
        <v>207</v>
      </c>
      <c r="H590" s="3">
        <v>30</v>
      </c>
      <c r="I590" s="3" t="s">
        <v>19</v>
      </c>
      <c r="J590" s="3">
        <f t="shared" si="9"/>
        <v>0.5</v>
      </c>
      <c r="K590" s="3" t="s">
        <v>20</v>
      </c>
      <c r="L590" t="s">
        <v>24</v>
      </c>
      <c r="M590" t="s">
        <v>24</v>
      </c>
      <c r="N590" s="1">
        <v>0.66666666666666663</v>
      </c>
      <c r="O590" s="1">
        <v>0.6875</v>
      </c>
      <c r="P590" s="3">
        <v>4000109558</v>
      </c>
      <c r="Q590">
        <v>10049372</v>
      </c>
      <c r="R590" t="s">
        <v>36</v>
      </c>
      <c r="S590" t="s">
        <v>213</v>
      </c>
    </row>
    <row r="591" spans="3:19" x14ac:dyDescent="0.25">
      <c r="C591">
        <v>3117035</v>
      </c>
      <c r="D591" s="3" t="s">
        <v>17</v>
      </c>
      <c r="E591" s="3">
        <v>1</v>
      </c>
      <c r="F591" s="3" t="s">
        <v>34</v>
      </c>
      <c r="G591" s="3" t="s">
        <v>207</v>
      </c>
      <c r="H591" s="3">
        <v>120</v>
      </c>
      <c r="I591" s="3" t="s">
        <v>19</v>
      </c>
      <c r="J591" s="3">
        <f t="shared" si="9"/>
        <v>2</v>
      </c>
      <c r="K591" s="3" t="s">
        <v>20</v>
      </c>
      <c r="L591" t="s">
        <v>24</v>
      </c>
      <c r="M591" t="s">
        <v>24</v>
      </c>
      <c r="N591" s="1">
        <v>0.41666666666666669</v>
      </c>
      <c r="O591" s="1">
        <v>0.52083333333333337</v>
      </c>
      <c r="P591" s="3">
        <v>4000110425</v>
      </c>
      <c r="Q591">
        <v>10051443</v>
      </c>
      <c r="R591" t="s">
        <v>36</v>
      </c>
      <c r="S591" t="s">
        <v>214</v>
      </c>
    </row>
    <row r="592" spans="3:19" x14ac:dyDescent="0.25">
      <c r="C592">
        <v>3118354</v>
      </c>
      <c r="D592" s="3" t="s">
        <v>17</v>
      </c>
      <c r="E592" s="3">
        <v>3</v>
      </c>
      <c r="F592" s="3" t="s">
        <v>34</v>
      </c>
      <c r="G592" s="3" t="s">
        <v>207</v>
      </c>
      <c r="H592" s="3">
        <v>60</v>
      </c>
      <c r="I592" s="3" t="s">
        <v>19</v>
      </c>
      <c r="J592" s="3">
        <f t="shared" si="9"/>
        <v>1</v>
      </c>
      <c r="K592" s="3" t="s">
        <v>20</v>
      </c>
      <c r="L592" t="s">
        <v>24</v>
      </c>
      <c r="M592" t="s">
        <v>24</v>
      </c>
      <c r="N592" s="1">
        <v>0.58333333333333337</v>
      </c>
      <c r="O592" s="1">
        <v>0.625</v>
      </c>
      <c r="P592" s="3">
        <v>4000111378</v>
      </c>
      <c r="Q592">
        <v>10049372</v>
      </c>
      <c r="R592" t="s">
        <v>36</v>
      </c>
      <c r="S592" t="s">
        <v>61</v>
      </c>
    </row>
    <row r="593" spans="3:19" x14ac:dyDescent="0.25">
      <c r="C593">
        <v>3119958</v>
      </c>
      <c r="D593" s="3" t="s">
        <v>17</v>
      </c>
      <c r="E593" s="3">
        <v>3</v>
      </c>
      <c r="F593" s="3" t="s">
        <v>34</v>
      </c>
      <c r="G593" s="3" t="s">
        <v>207</v>
      </c>
      <c r="H593" s="3">
        <v>60</v>
      </c>
      <c r="I593" s="3" t="s">
        <v>19</v>
      </c>
      <c r="J593" s="3">
        <f t="shared" si="9"/>
        <v>1</v>
      </c>
      <c r="K593" s="3" t="s">
        <v>20</v>
      </c>
      <c r="L593" t="s">
        <v>24</v>
      </c>
      <c r="M593" t="s">
        <v>24</v>
      </c>
      <c r="N593" s="1">
        <v>0.45833333333333331</v>
      </c>
      <c r="O593" s="1">
        <v>0.5</v>
      </c>
      <c r="P593" s="3">
        <v>4000112032</v>
      </c>
      <c r="Q593">
        <v>10051481</v>
      </c>
      <c r="R593" t="s">
        <v>53</v>
      </c>
      <c r="S593" t="s">
        <v>62</v>
      </c>
    </row>
    <row r="594" spans="3:19" x14ac:dyDescent="0.25">
      <c r="C594">
        <v>3120191</v>
      </c>
      <c r="D594" s="3" t="s">
        <v>17</v>
      </c>
      <c r="E594" s="3">
        <v>3</v>
      </c>
      <c r="F594" s="3" t="s">
        <v>34</v>
      </c>
      <c r="G594" s="3" t="s">
        <v>207</v>
      </c>
      <c r="H594" s="3">
        <v>60</v>
      </c>
      <c r="I594" s="3" t="s">
        <v>19</v>
      </c>
      <c r="J594" s="3">
        <f t="shared" si="9"/>
        <v>1</v>
      </c>
      <c r="K594" s="3" t="s">
        <v>20</v>
      </c>
      <c r="L594" t="s">
        <v>24</v>
      </c>
      <c r="M594" t="s">
        <v>24</v>
      </c>
      <c r="N594" s="1">
        <v>0.66666666666666663</v>
      </c>
      <c r="O594" s="1">
        <v>0.70833333333333337</v>
      </c>
      <c r="P594" s="3">
        <v>4000112668</v>
      </c>
      <c r="Q594">
        <v>10051396</v>
      </c>
      <c r="R594" t="s">
        <v>36</v>
      </c>
      <c r="S594" t="s">
        <v>62</v>
      </c>
    </row>
    <row r="595" spans="3:19" x14ac:dyDescent="0.25">
      <c r="C595">
        <v>3120195</v>
      </c>
      <c r="D595" s="3" t="s">
        <v>17</v>
      </c>
      <c r="E595" s="3">
        <v>3</v>
      </c>
      <c r="F595" s="3" t="s">
        <v>34</v>
      </c>
      <c r="G595" s="3" t="s">
        <v>207</v>
      </c>
      <c r="H595" s="3">
        <v>120</v>
      </c>
      <c r="I595" s="3" t="s">
        <v>19</v>
      </c>
      <c r="J595" s="3">
        <f t="shared" si="9"/>
        <v>2</v>
      </c>
      <c r="K595" s="3" t="s">
        <v>20</v>
      </c>
      <c r="L595" t="s">
        <v>24</v>
      </c>
      <c r="M595" t="s">
        <v>24</v>
      </c>
      <c r="N595" s="1">
        <v>0.33333333333333331</v>
      </c>
      <c r="O595" s="1">
        <v>0.41666666666666669</v>
      </c>
      <c r="P595" s="3">
        <v>4000112672</v>
      </c>
      <c r="Q595">
        <v>10049436</v>
      </c>
      <c r="R595" t="s">
        <v>53</v>
      </c>
      <c r="S595" t="s">
        <v>63</v>
      </c>
    </row>
    <row r="596" spans="3:19" x14ac:dyDescent="0.25">
      <c r="C596">
        <v>3120200</v>
      </c>
      <c r="D596" s="3" t="s">
        <v>17</v>
      </c>
      <c r="E596" s="3">
        <v>1</v>
      </c>
      <c r="F596" s="3" t="s">
        <v>34</v>
      </c>
      <c r="G596" s="3" t="s">
        <v>207</v>
      </c>
      <c r="H596" s="3">
        <v>60</v>
      </c>
      <c r="I596" s="3" t="s">
        <v>19</v>
      </c>
      <c r="J596" s="3">
        <f t="shared" si="9"/>
        <v>1</v>
      </c>
      <c r="K596" s="3" t="s">
        <v>20</v>
      </c>
      <c r="L596" t="s">
        <v>24</v>
      </c>
      <c r="M596" t="s">
        <v>24</v>
      </c>
      <c r="N596" s="1">
        <v>0.41666666666666669</v>
      </c>
      <c r="O596" s="1">
        <v>0.45833333333333331</v>
      </c>
      <c r="P596" s="3">
        <v>4000112677</v>
      </c>
      <c r="Q596">
        <v>10049399</v>
      </c>
      <c r="R596" t="s">
        <v>53</v>
      </c>
      <c r="S596" t="s">
        <v>62</v>
      </c>
    </row>
    <row r="597" spans="3:19" x14ac:dyDescent="0.25">
      <c r="C597">
        <v>3122016</v>
      </c>
      <c r="D597" s="3" t="s">
        <v>17</v>
      </c>
      <c r="E597" s="3">
        <v>1</v>
      </c>
      <c r="F597" s="3" t="s">
        <v>34</v>
      </c>
      <c r="G597" s="3" t="s">
        <v>207</v>
      </c>
      <c r="H597" s="3">
        <v>60</v>
      </c>
      <c r="I597" s="3" t="s">
        <v>19</v>
      </c>
      <c r="J597" s="3">
        <f t="shared" si="9"/>
        <v>1</v>
      </c>
      <c r="K597" s="3" t="s">
        <v>20</v>
      </c>
      <c r="L597" t="s">
        <v>24</v>
      </c>
      <c r="M597" t="s">
        <v>24</v>
      </c>
      <c r="N597" s="1">
        <v>0.625</v>
      </c>
      <c r="O597" s="1">
        <v>0.66666666666666663</v>
      </c>
      <c r="P597" s="3">
        <v>4000112713</v>
      </c>
      <c r="Q597">
        <v>10051386</v>
      </c>
      <c r="R597" t="s">
        <v>36</v>
      </c>
      <c r="S597" t="s">
        <v>62</v>
      </c>
    </row>
    <row r="598" spans="3:19" x14ac:dyDescent="0.25">
      <c r="C598">
        <v>3122018</v>
      </c>
      <c r="D598" s="3" t="s">
        <v>17</v>
      </c>
      <c r="E598" s="3">
        <v>3</v>
      </c>
      <c r="F598" s="3" t="s">
        <v>34</v>
      </c>
      <c r="G598" s="3" t="s">
        <v>207</v>
      </c>
      <c r="H598" s="3">
        <v>60</v>
      </c>
      <c r="I598" s="3" t="s">
        <v>19</v>
      </c>
      <c r="J598" s="3">
        <f t="shared" si="9"/>
        <v>1</v>
      </c>
      <c r="K598" s="3" t="s">
        <v>20</v>
      </c>
      <c r="L598" t="s">
        <v>24</v>
      </c>
      <c r="M598" t="s">
        <v>24</v>
      </c>
      <c r="N598" s="1">
        <v>0.58333333333333337</v>
      </c>
      <c r="O598" s="1">
        <v>0.625</v>
      </c>
      <c r="P598" s="3">
        <v>4000112715</v>
      </c>
      <c r="Q598">
        <v>10051443</v>
      </c>
      <c r="R598" t="s">
        <v>36</v>
      </c>
      <c r="S598" t="s">
        <v>62</v>
      </c>
    </row>
    <row r="599" spans="3:19" x14ac:dyDescent="0.25">
      <c r="C599">
        <v>3122124</v>
      </c>
      <c r="D599" s="3" t="s">
        <v>17</v>
      </c>
      <c r="E599" s="3">
        <v>1</v>
      </c>
      <c r="F599" s="3" t="s">
        <v>34</v>
      </c>
      <c r="G599" s="3" t="s">
        <v>207</v>
      </c>
      <c r="H599" s="3">
        <v>60</v>
      </c>
      <c r="I599" s="3" t="s">
        <v>19</v>
      </c>
      <c r="J599" s="3">
        <f t="shared" si="9"/>
        <v>1</v>
      </c>
      <c r="K599" s="3" t="s">
        <v>20</v>
      </c>
      <c r="L599" t="s">
        <v>24</v>
      </c>
      <c r="M599" t="s">
        <v>24</v>
      </c>
      <c r="N599" s="1">
        <v>0.58333333333333337</v>
      </c>
      <c r="O599" s="1">
        <v>0.625</v>
      </c>
      <c r="P599" s="3">
        <v>4000112820</v>
      </c>
      <c r="Q599">
        <v>10049372</v>
      </c>
      <c r="R599" t="s">
        <v>36</v>
      </c>
      <c r="S599" t="s">
        <v>123</v>
      </c>
    </row>
    <row r="600" spans="3:19" x14ac:dyDescent="0.25">
      <c r="C600">
        <v>3122752</v>
      </c>
      <c r="D600" s="3" t="s">
        <v>17</v>
      </c>
      <c r="E600" s="3">
        <v>3</v>
      </c>
      <c r="F600" s="3" t="s">
        <v>34</v>
      </c>
      <c r="G600" s="3" t="s">
        <v>207</v>
      </c>
      <c r="H600" s="3">
        <v>30</v>
      </c>
      <c r="I600" s="3" t="s">
        <v>19</v>
      </c>
      <c r="J600" s="3">
        <f t="shared" si="9"/>
        <v>0.5</v>
      </c>
      <c r="K600" s="3" t="s">
        <v>20</v>
      </c>
      <c r="L600" t="s">
        <v>24</v>
      </c>
      <c r="M600" t="s">
        <v>24</v>
      </c>
      <c r="N600" s="1">
        <v>0.5</v>
      </c>
      <c r="O600" s="1">
        <v>0.52083333333333337</v>
      </c>
      <c r="P600" s="3">
        <v>4000113354</v>
      </c>
      <c r="Q600">
        <v>10051443</v>
      </c>
      <c r="R600" t="s">
        <v>36</v>
      </c>
      <c r="S600" t="s">
        <v>62</v>
      </c>
    </row>
    <row r="601" spans="3:19" x14ac:dyDescent="0.25">
      <c r="C601">
        <v>3122756</v>
      </c>
      <c r="D601" s="3" t="s">
        <v>17</v>
      </c>
      <c r="E601" s="3">
        <v>3</v>
      </c>
      <c r="F601" s="3" t="s">
        <v>34</v>
      </c>
      <c r="G601" s="3" t="s">
        <v>207</v>
      </c>
      <c r="H601" s="3">
        <v>30</v>
      </c>
      <c r="I601" s="3" t="s">
        <v>19</v>
      </c>
      <c r="J601" s="3">
        <f t="shared" si="9"/>
        <v>0.5</v>
      </c>
      <c r="K601" s="3" t="s">
        <v>20</v>
      </c>
      <c r="L601" t="s">
        <v>24</v>
      </c>
      <c r="M601" t="s">
        <v>24</v>
      </c>
      <c r="N601" s="1">
        <v>0.41666666666666669</v>
      </c>
      <c r="O601" s="1">
        <v>0.41666666666666669</v>
      </c>
      <c r="P601" s="3">
        <v>4000113358</v>
      </c>
      <c r="Q601">
        <v>10049427</v>
      </c>
      <c r="R601" t="s">
        <v>53</v>
      </c>
      <c r="S601" t="s">
        <v>63</v>
      </c>
    </row>
    <row r="602" spans="3:19" x14ac:dyDescent="0.25">
      <c r="C602">
        <v>3122767</v>
      </c>
      <c r="D602" s="3" t="s">
        <v>55</v>
      </c>
      <c r="E602" s="3">
        <v>3</v>
      </c>
      <c r="F602" s="3" t="s">
        <v>34</v>
      </c>
      <c r="G602" s="3" t="s">
        <v>207</v>
      </c>
      <c r="H602" s="3">
        <v>60</v>
      </c>
      <c r="I602" s="3" t="s">
        <v>19</v>
      </c>
      <c r="J602" s="3">
        <f t="shared" si="9"/>
        <v>1</v>
      </c>
      <c r="K602" s="3" t="s">
        <v>20</v>
      </c>
      <c r="L602" t="s">
        <v>24</v>
      </c>
      <c r="M602" t="s">
        <v>24</v>
      </c>
      <c r="N602" s="1">
        <v>0.33333333333333331</v>
      </c>
      <c r="O602" s="1">
        <v>0.375</v>
      </c>
      <c r="P602" s="3">
        <v>4000113369</v>
      </c>
      <c r="Q602">
        <v>10049451</v>
      </c>
      <c r="R602" t="s">
        <v>57</v>
      </c>
      <c r="S602" t="s">
        <v>32</v>
      </c>
    </row>
    <row r="603" spans="3:19" x14ac:dyDescent="0.25">
      <c r="C603">
        <v>3122785</v>
      </c>
      <c r="D603" s="3" t="s">
        <v>17</v>
      </c>
      <c r="E603" s="3">
        <v>3</v>
      </c>
      <c r="F603" s="3" t="s">
        <v>34</v>
      </c>
      <c r="G603" s="3" t="s">
        <v>207</v>
      </c>
      <c r="H603" s="3">
        <v>30</v>
      </c>
      <c r="I603" s="3" t="s">
        <v>19</v>
      </c>
      <c r="J603" s="3">
        <f t="shared" si="9"/>
        <v>0.5</v>
      </c>
      <c r="K603" s="3" t="s">
        <v>20</v>
      </c>
      <c r="L603" t="s">
        <v>24</v>
      </c>
      <c r="M603" t="s">
        <v>24</v>
      </c>
      <c r="N603" s="1">
        <v>0.58333333333333337</v>
      </c>
      <c r="O603" s="1">
        <v>0.60416666666666663</v>
      </c>
      <c r="P603" s="3">
        <v>4000113387</v>
      </c>
      <c r="Q603">
        <v>10051769</v>
      </c>
      <c r="R603" t="s">
        <v>36</v>
      </c>
      <c r="S603" t="s">
        <v>62</v>
      </c>
    </row>
    <row r="604" spans="3:19" x14ac:dyDescent="0.25">
      <c r="C604">
        <v>3122789</v>
      </c>
      <c r="D604" s="3" t="s">
        <v>17</v>
      </c>
      <c r="E604" s="3">
        <v>3</v>
      </c>
      <c r="F604" s="3" t="s">
        <v>34</v>
      </c>
      <c r="G604" s="3" t="s">
        <v>207</v>
      </c>
      <c r="H604" s="3">
        <v>20</v>
      </c>
      <c r="I604" s="3" t="s">
        <v>19</v>
      </c>
      <c r="J604" s="3">
        <f t="shared" si="9"/>
        <v>0.33333333333333331</v>
      </c>
      <c r="K604" s="3" t="s">
        <v>20</v>
      </c>
      <c r="L604" t="s">
        <v>24</v>
      </c>
      <c r="M604" t="s">
        <v>24</v>
      </c>
      <c r="N604" s="1">
        <v>0.58333333333333337</v>
      </c>
      <c r="O604" s="1">
        <v>0.59722222222222221</v>
      </c>
      <c r="P604" s="3">
        <v>4000113391</v>
      </c>
      <c r="Q604">
        <v>10049361</v>
      </c>
      <c r="R604" t="s">
        <v>36</v>
      </c>
      <c r="S604" t="s">
        <v>62</v>
      </c>
    </row>
    <row r="605" spans="3:19" x14ac:dyDescent="0.25">
      <c r="C605">
        <v>3117024</v>
      </c>
      <c r="D605" s="3" t="s">
        <v>28</v>
      </c>
      <c r="E605" s="3">
        <v>1</v>
      </c>
      <c r="F605" s="3" t="s">
        <v>34</v>
      </c>
      <c r="G605" s="3" t="s">
        <v>207</v>
      </c>
      <c r="H605" s="3">
        <v>60</v>
      </c>
      <c r="I605" s="3" t="s">
        <v>19</v>
      </c>
      <c r="J605" s="3">
        <f t="shared" si="9"/>
        <v>1</v>
      </c>
      <c r="K605" s="3" t="s">
        <v>20</v>
      </c>
      <c r="L605" t="s">
        <v>17</v>
      </c>
      <c r="M605" t="s">
        <v>17</v>
      </c>
      <c r="N605" s="1">
        <v>0.41666666666666669</v>
      </c>
      <c r="O605" s="1">
        <v>0.45833333333333331</v>
      </c>
      <c r="P605" s="3">
        <v>4000110414</v>
      </c>
      <c r="Q605">
        <v>10049372</v>
      </c>
      <c r="R605" t="s">
        <v>36</v>
      </c>
      <c r="S605" t="s">
        <v>215</v>
      </c>
    </row>
    <row r="606" spans="3:19" x14ac:dyDescent="0.25">
      <c r="C606">
        <v>3132475</v>
      </c>
      <c r="D606" s="3" t="s">
        <v>22</v>
      </c>
      <c r="E606" s="3">
        <v>2</v>
      </c>
      <c r="F606" s="3" t="s">
        <v>34</v>
      </c>
      <c r="G606" s="3" t="s">
        <v>207</v>
      </c>
      <c r="H606" s="3">
        <v>10</v>
      </c>
      <c r="I606" s="3" t="s">
        <v>19</v>
      </c>
      <c r="J606" s="3">
        <f t="shared" si="9"/>
        <v>0.16666666666666666</v>
      </c>
      <c r="K606" s="3" t="s">
        <v>20</v>
      </c>
      <c r="L606" t="s">
        <v>55</v>
      </c>
      <c r="M606" t="s">
        <v>55</v>
      </c>
      <c r="N606" s="1">
        <v>0.82638888888888884</v>
      </c>
      <c r="O606" s="1">
        <v>0.83333333333333337</v>
      </c>
      <c r="P606" s="3">
        <v>4000114013</v>
      </c>
      <c r="Q606">
        <v>10051581</v>
      </c>
      <c r="R606" t="s">
        <v>57</v>
      </c>
      <c r="S606" t="s">
        <v>50</v>
      </c>
    </row>
    <row r="607" spans="3:19" x14ac:dyDescent="0.25">
      <c r="C607">
        <v>3132712</v>
      </c>
      <c r="D607" s="3" t="s">
        <v>25</v>
      </c>
      <c r="E607" s="3">
        <v>2</v>
      </c>
      <c r="F607" s="3" t="s">
        <v>34</v>
      </c>
      <c r="G607" s="3" t="s">
        <v>207</v>
      </c>
      <c r="H607" s="3">
        <v>15</v>
      </c>
      <c r="I607" s="3" t="s">
        <v>19</v>
      </c>
      <c r="J607" s="3">
        <f t="shared" si="9"/>
        <v>0.25</v>
      </c>
      <c r="K607" s="3" t="s">
        <v>20</v>
      </c>
      <c r="L607" t="s">
        <v>55</v>
      </c>
      <c r="M607" t="s">
        <v>55</v>
      </c>
      <c r="N607" s="1">
        <v>0.81944444444444453</v>
      </c>
      <c r="O607" s="1">
        <v>0.82291666666666663</v>
      </c>
      <c r="P607" s="3">
        <v>4000114069</v>
      </c>
      <c r="Q607">
        <v>10051704</v>
      </c>
      <c r="R607" t="s">
        <v>58</v>
      </c>
      <c r="S607" t="s">
        <v>43</v>
      </c>
    </row>
    <row r="608" spans="3:19" x14ac:dyDescent="0.25">
      <c r="C608">
        <v>3132715</v>
      </c>
      <c r="D608" s="3" t="s">
        <v>25</v>
      </c>
      <c r="E608" s="3">
        <v>2</v>
      </c>
      <c r="F608" s="3" t="s">
        <v>34</v>
      </c>
      <c r="G608" s="3" t="s">
        <v>207</v>
      </c>
      <c r="H608" s="3">
        <v>5</v>
      </c>
      <c r="I608" s="3" t="s">
        <v>19</v>
      </c>
      <c r="J608" s="3">
        <f t="shared" si="9"/>
        <v>8.3333333333333329E-2</v>
      </c>
      <c r="K608" s="3" t="s">
        <v>20</v>
      </c>
      <c r="L608" t="s">
        <v>55</v>
      </c>
      <c r="M608" t="s">
        <v>55</v>
      </c>
      <c r="N608" s="1">
        <v>0.81944444444444453</v>
      </c>
      <c r="O608" s="1">
        <v>0.82291666666666663</v>
      </c>
      <c r="P608" s="3">
        <v>4000114072</v>
      </c>
      <c r="Q608">
        <v>10049540</v>
      </c>
      <c r="R608" t="s">
        <v>58</v>
      </c>
      <c r="S608" t="s">
        <v>43</v>
      </c>
    </row>
    <row r="609" spans="3:19" x14ac:dyDescent="0.25">
      <c r="C609">
        <v>3132719</v>
      </c>
      <c r="D609" s="3" t="s">
        <v>25</v>
      </c>
      <c r="E609" s="3">
        <v>2</v>
      </c>
      <c r="F609" s="3" t="s">
        <v>34</v>
      </c>
      <c r="G609" s="3" t="s">
        <v>207</v>
      </c>
      <c r="H609" s="3">
        <v>5</v>
      </c>
      <c r="I609" s="3" t="s">
        <v>19</v>
      </c>
      <c r="J609" s="3">
        <f t="shared" si="9"/>
        <v>8.3333333333333329E-2</v>
      </c>
      <c r="K609" s="3" t="s">
        <v>20</v>
      </c>
      <c r="L609" t="s">
        <v>55</v>
      </c>
      <c r="M609" t="s">
        <v>55</v>
      </c>
      <c r="N609" s="1">
        <v>0.81597222222222221</v>
      </c>
      <c r="O609" s="1">
        <v>0.81944444444444453</v>
      </c>
      <c r="P609" s="3">
        <v>4000114076</v>
      </c>
      <c r="Q609">
        <v>10051747</v>
      </c>
      <c r="R609" t="s">
        <v>58</v>
      </c>
      <c r="S609" t="s">
        <v>43</v>
      </c>
    </row>
    <row r="610" spans="3:19" x14ac:dyDescent="0.25">
      <c r="C610">
        <v>3134283</v>
      </c>
      <c r="D610" s="3" t="s">
        <v>25</v>
      </c>
      <c r="E610" s="3">
        <v>2</v>
      </c>
      <c r="F610" s="3" t="s">
        <v>34</v>
      </c>
      <c r="G610" s="3" t="s">
        <v>207</v>
      </c>
      <c r="H610" s="3">
        <v>10</v>
      </c>
      <c r="I610" s="3" t="s">
        <v>19</v>
      </c>
      <c r="J610" s="3">
        <f t="shared" si="9"/>
        <v>0.16666666666666666</v>
      </c>
      <c r="K610" s="3" t="s">
        <v>20</v>
      </c>
      <c r="L610" t="s">
        <v>55</v>
      </c>
      <c r="M610" t="s">
        <v>55</v>
      </c>
      <c r="N610" s="1">
        <v>0.82638888888888884</v>
      </c>
      <c r="O610" s="1">
        <v>0.83333333333333337</v>
      </c>
      <c r="P610" s="3">
        <v>4000115029</v>
      </c>
      <c r="Q610">
        <v>10049540</v>
      </c>
      <c r="R610" t="s">
        <v>58</v>
      </c>
      <c r="S610" t="s">
        <v>43</v>
      </c>
    </row>
    <row r="611" spans="3:19" x14ac:dyDescent="0.25">
      <c r="C611">
        <v>3122036</v>
      </c>
      <c r="D611" s="3" t="s">
        <v>22</v>
      </c>
      <c r="E611" s="3">
        <v>2</v>
      </c>
      <c r="F611" s="3" t="s">
        <v>34</v>
      </c>
      <c r="G611" s="3" t="s">
        <v>207</v>
      </c>
      <c r="H611" s="3">
        <v>35</v>
      </c>
      <c r="I611" s="3" t="s">
        <v>19</v>
      </c>
      <c r="J611" s="3">
        <f t="shared" si="9"/>
        <v>0.58333333333333337</v>
      </c>
      <c r="K611" s="3" t="s">
        <v>20</v>
      </c>
      <c r="L611" t="s">
        <v>25</v>
      </c>
      <c r="M611" t="s">
        <v>25</v>
      </c>
      <c r="N611" s="1">
        <v>0.83680555555555547</v>
      </c>
      <c r="O611" s="1">
        <v>0.85763888888888884</v>
      </c>
      <c r="P611" s="3">
        <v>4000112732</v>
      </c>
      <c r="Q611">
        <v>10051704</v>
      </c>
      <c r="R611" t="s">
        <v>58</v>
      </c>
      <c r="S611" t="s">
        <v>50</v>
      </c>
    </row>
    <row r="612" spans="3:19" x14ac:dyDescent="0.25">
      <c r="C612">
        <v>3132494</v>
      </c>
      <c r="D612" s="3" t="s">
        <v>28</v>
      </c>
      <c r="E612" s="3">
        <v>1</v>
      </c>
      <c r="F612" s="3" t="s">
        <v>34</v>
      </c>
      <c r="G612" s="3" t="s">
        <v>207</v>
      </c>
      <c r="H612" s="3">
        <v>30</v>
      </c>
      <c r="I612" s="3" t="s">
        <v>19</v>
      </c>
      <c r="J612" s="3">
        <f t="shared" si="9"/>
        <v>0.5</v>
      </c>
      <c r="K612" s="3" t="s">
        <v>20</v>
      </c>
      <c r="L612" t="s">
        <v>25</v>
      </c>
      <c r="M612" t="s">
        <v>25</v>
      </c>
      <c r="N612" s="1">
        <v>0.375</v>
      </c>
      <c r="O612" s="1">
        <v>0.39583333333333331</v>
      </c>
      <c r="P612" s="3">
        <v>4000114051</v>
      </c>
      <c r="Q612">
        <v>10051396</v>
      </c>
      <c r="R612" t="s">
        <v>36</v>
      </c>
      <c r="S612" t="s">
        <v>216</v>
      </c>
    </row>
    <row r="613" spans="3:19" x14ac:dyDescent="0.25">
      <c r="C613">
        <v>3132722</v>
      </c>
      <c r="D613" s="3" t="s">
        <v>22</v>
      </c>
      <c r="E613" s="3">
        <v>2</v>
      </c>
      <c r="F613" s="3" t="s">
        <v>34</v>
      </c>
      <c r="G613" s="3" t="s">
        <v>207</v>
      </c>
      <c r="H613" s="3">
        <v>30</v>
      </c>
      <c r="I613" s="3" t="s">
        <v>19</v>
      </c>
      <c r="J613" s="3">
        <f t="shared" si="9"/>
        <v>0.5</v>
      </c>
      <c r="K613" s="3" t="s">
        <v>20</v>
      </c>
      <c r="L613" t="s">
        <v>25</v>
      </c>
      <c r="M613" t="s">
        <v>25</v>
      </c>
      <c r="N613" s="1">
        <v>0.86805555555555547</v>
      </c>
      <c r="O613" s="1">
        <v>0.88888888888888884</v>
      </c>
      <c r="P613" s="3">
        <v>4000114079</v>
      </c>
      <c r="Q613">
        <v>10049549</v>
      </c>
      <c r="R613" t="s">
        <v>58</v>
      </c>
      <c r="S613" t="s">
        <v>217</v>
      </c>
    </row>
    <row r="614" spans="3:19" x14ac:dyDescent="0.25">
      <c r="C614">
        <v>3134262</v>
      </c>
      <c r="D614" s="3" t="s">
        <v>22</v>
      </c>
      <c r="E614" s="3">
        <v>2</v>
      </c>
      <c r="F614" s="3" t="s">
        <v>34</v>
      </c>
      <c r="G614" s="3" t="s">
        <v>207</v>
      </c>
      <c r="H614" s="3">
        <v>15</v>
      </c>
      <c r="I614" s="3" t="s">
        <v>19</v>
      </c>
      <c r="J614" s="3">
        <f t="shared" si="9"/>
        <v>0.25</v>
      </c>
      <c r="K614" s="3" t="s">
        <v>20</v>
      </c>
      <c r="L614" t="s">
        <v>25</v>
      </c>
      <c r="M614" t="s">
        <v>25</v>
      </c>
      <c r="N614" s="1">
        <v>0.82986111111111116</v>
      </c>
      <c r="O614" s="1">
        <v>0.83680555555555547</v>
      </c>
      <c r="P614" s="3">
        <v>4000115008</v>
      </c>
      <c r="Q614">
        <v>10051747</v>
      </c>
      <c r="R614" t="s">
        <v>58</v>
      </c>
      <c r="S614" t="s">
        <v>50</v>
      </c>
    </row>
    <row r="615" spans="3:19" x14ac:dyDescent="0.25">
      <c r="C615">
        <v>3134267</v>
      </c>
      <c r="D615" s="3" t="s">
        <v>22</v>
      </c>
      <c r="E615" s="3">
        <v>2</v>
      </c>
      <c r="F615" s="3" t="s">
        <v>34</v>
      </c>
      <c r="G615" s="3" t="s">
        <v>207</v>
      </c>
      <c r="H615" s="3">
        <v>10</v>
      </c>
      <c r="I615" s="3" t="s">
        <v>19</v>
      </c>
      <c r="J615" s="3">
        <f t="shared" si="9"/>
        <v>0.16666666666666666</v>
      </c>
      <c r="K615" s="3" t="s">
        <v>20</v>
      </c>
      <c r="L615" t="s">
        <v>25</v>
      </c>
      <c r="M615" t="s">
        <v>25</v>
      </c>
      <c r="N615" s="1">
        <v>0.82291666666666663</v>
      </c>
      <c r="O615" s="1">
        <v>0.82986111111111116</v>
      </c>
      <c r="P615" s="3">
        <v>4000115013</v>
      </c>
      <c r="Q615">
        <v>10049565</v>
      </c>
      <c r="R615" t="s">
        <v>58</v>
      </c>
      <c r="S615" t="s">
        <v>50</v>
      </c>
    </row>
    <row r="616" spans="3:19" x14ac:dyDescent="0.25">
      <c r="C616">
        <v>3134268</v>
      </c>
      <c r="D616" s="3" t="s">
        <v>22</v>
      </c>
      <c r="E616" s="3">
        <v>1</v>
      </c>
      <c r="F616" s="3" t="s">
        <v>34</v>
      </c>
      <c r="G616" s="3" t="s">
        <v>207</v>
      </c>
      <c r="H616" s="3">
        <v>10</v>
      </c>
      <c r="I616" s="3" t="s">
        <v>19</v>
      </c>
      <c r="J616" s="3">
        <f t="shared" si="9"/>
        <v>0.16666666666666666</v>
      </c>
      <c r="K616" s="3" t="s">
        <v>20</v>
      </c>
      <c r="L616" t="s">
        <v>25</v>
      </c>
      <c r="M616" t="s">
        <v>25</v>
      </c>
      <c r="N616" s="1">
        <v>0.81944444444444453</v>
      </c>
      <c r="O616" s="1">
        <v>0.82638888888888884</v>
      </c>
      <c r="P616" s="3">
        <v>4000115014</v>
      </c>
      <c r="Q616">
        <v>10051174</v>
      </c>
      <c r="R616" t="s">
        <v>58</v>
      </c>
      <c r="S616" t="s">
        <v>50</v>
      </c>
    </row>
    <row r="617" spans="3:19" x14ac:dyDescent="0.25">
      <c r="C617">
        <v>3134284</v>
      </c>
      <c r="D617" s="3" t="s">
        <v>22</v>
      </c>
      <c r="E617" s="3">
        <v>2</v>
      </c>
      <c r="F617" s="3" t="s">
        <v>34</v>
      </c>
      <c r="G617" s="3" t="s">
        <v>207</v>
      </c>
      <c r="H617" s="3">
        <v>20</v>
      </c>
      <c r="I617" s="3" t="s">
        <v>19</v>
      </c>
      <c r="J617" s="3">
        <f t="shared" si="9"/>
        <v>0.33333333333333331</v>
      </c>
      <c r="K617" s="3" t="s">
        <v>20</v>
      </c>
      <c r="L617" t="s">
        <v>25</v>
      </c>
      <c r="M617" t="s">
        <v>25</v>
      </c>
      <c r="N617" s="1">
        <v>0.80555555555555547</v>
      </c>
      <c r="O617" s="1">
        <v>0.81944444444444453</v>
      </c>
      <c r="P617" s="3">
        <v>4000115030</v>
      </c>
      <c r="Q617">
        <v>10051738</v>
      </c>
      <c r="R617" t="s">
        <v>58</v>
      </c>
      <c r="S617" t="s">
        <v>50</v>
      </c>
    </row>
    <row r="618" spans="3:19" x14ac:dyDescent="0.25">
      <c r="C618">
        <v>3132498</v>
      </c>
      <c r="D618" s="3" t="s">
        <v>28</v>
      </c>
      <c r="E618" s="3">
        <v>1</v>
      </c>
      <c r="F618" s="3" t="s">
        <v>34</v>
      </c>
      <c r="G618" s="3" t="s">
        <v>207</v>
      </c>
      <c r="H618" s="3">
        <v>15</v>
      </c>
      <c r="I618" s="3" t="s">
        <v>19</v>
      </c>
      <c r="J618" s="3">
        <f t="shared" si="9"/>
        <v>0.25</v>
      </c>
      <c r="K618" s="3" t="s">
        <v>20</v>
      </c>
      <c r="L618" t="s">
        <v>22</v>
      </c>
      <c r="M618" t="s">
        <v>22</v>
      </c>
      <c r="N618" s="1">
        <v>0.84722222222222221</v>
      </c>
      <c r="O618" s="1">
        <v>0.85763888888888884</v>
      </c>
      <c r="P618" s="3">
        <v>4000114055</v>
      </c>
      <c r="Q618">
        <v>10049549</v>
      </c>
      <c r="R618" t="s">
        <v>58</v>
      </c>
      <c r="S618" t="s">
        <v>72</v>
      </c>
    </row>
    <row r="619" spans="3:19" x14ac:dyDescent="0.25">
      <c r="C619">
        <v>3132499</v>
      </c>
      <c r="D619" s="3" t="s">
        <v>28</v>
      </c>
      <c r="E619" s="3">
        <v>1</v>
      </c>
      <c r="F619" s="3" t="s">
        <v>34</v>
      </c>
      <c r="G619" s="3" t="s">
        <v>207</v>
      </c>
      <c r="H619" s="3">
        <v>25</v>
      </c>
      <c r="I619" s="3" t="s">
        <v>19</v>
      </c>
      <c r="J619" s="3">
        <f t="shared" si="9"/>
        <v>0.41666666666666669</v>
      </c>
      <c r="K619" s="3" t="s">
        <v>20</v>
      </c>
      <c r="L619" t="s">
        <v>22</v>
      </c>
      <c r="M619" t="s">
        <v>22</v>
      </c>
      <c r="N619" s="1">
        <v>0.85763888888888884</v>
      </c>
      <c r="O619" s="1">
        <v>0.86805555555555547</v>
      </c>
      <c r="P619" s="3">
        <v>4000114056</v>
      </c>
      <c r="Q619">
        <v>10049534</v>
      </c>
      <c r="R619" t="s">
        <v>58</v>
      </c>
      <c r="S619" t="s">
        <v>72</v>
      </c>
    </row>
    <row r="620" spans="3:19" x14ac:dyDescent="0.25">
      <c r="C620">
        <v>3134105</v>
      </c>
      <c r="D620" s="3" t="s">
        <v>28</v>
      </c>
      <c r="E620" s="3">
        <v>1</v>
      </c>
      <c r="F620" s="3" t="s">
        <v>34</v>
      </c>
      <c r="G620" s="3" t="s">
        <v>207</v>
      </c>
      <c r="H620" s="3">
        <v>20</v>
      </c>
      <c r="I620" s="3" t="s">
        <v>19</v>
      </c>
      <c r="J620" s="3">
        <f t="shared" si="9"/>
        <v>0.33333333333333331</v>
      </c>
      <c r="K620" s="3" t="s">
        <v>20</v>
      </c>
      <c r="L620" t="s">
        <v>22</v>
      </c>
      <c r="M620" t="s">
        <v>22</v>
      </c>
      <c r="N620" s="1">
        <v>0.92361111111111116</v>
      </c>
      <c r="O620" s="1">
        <v>0.9375</v>
      </c>
      <c r="P620" s="3">
        <v>4000114864</v>
      </c>
      <c r="Q620">
        <v>10051337</v>
      </c>
      <c r="R620" t="s">
        <v>54</v>
      </c>
      <c r="S620" t="s">
        <v>218</v>
      </c>
    </row>
    <row r="621" spans="3:19" x14ac:dyDescent="0.25">
      <c r="C621">
        <v>3134114</v>
      </c>
      <c r="D621" s="3" t="s">
        <v>28</v>
      </c>
      <c r="E621" s="3">
        <v>1</v>
      </c>
      <c r="F621" s="3" t="s">
        <v>34</v>
      </c>
      <c r="G621" s="3" t="s">
        <v>207</v>
      </c>
      <c r="H621" s="3">
        <v>5</v>
      </c>
      <c r="I621" s="3" t="s">
        <v>19</v>
      </c>
      <c r="J621" s="3">
        <f t="shared" si="9"/>
        <v>8.3333333333333329E-2</v>
      </c>
      <c r="K621" s="3" t="s">
        <v>20</v>
      </c>
      <c r="L621" t="s">
        <v>22</v>
      </c>
      <c r="M621" t="s">
        <v>22</v>
      </c>
      <c r="N621" s="1">
        <v>0.92013888888888884</v>
      </c>
      <c r="O621" s="1">
        <v>0.92361111111111116</v>
      </c>
      <c r="P621" s="3">
        <v>4000114873</v>
      </c>
      <c r="Q621">
        <v>10049680</v>
      </c>
      <c r="R621" t="s">
        <v>54</v>
      </c>
      <c r="S621" t="s">
        <v>218</v>
      </c>
    </row>
    <row r="622" spans="3:19" x14ac:dyDescent="0.25">
      <c r="C622">
        <v>3134126</v>
      </c>
      <c r="D622" s="3" t="s">
        <v>28</v>
      </c>
      <c r="E622" s="3">
        <v>1</v>
      </c>
      <c r="F622" s="3" t="s">
        <v>34</v>
      </c>
      <c r="G622" s="3" t="s">
        <v>207</v>
      </c>
      <c r="H622" s="3">
        <v>25</v>
      </c>
      <c r="I622" s="3" t="s">
        <v>19</v>
      </c>
      <c r="J622" s="3">
        <f t="shared" si="9"/>
        <v>0.41666666666666669</v>
      </c>
      <c r="K622" s="3" t="s">
        <v>20</v>
      </c>
      <c r="L622" t="s">
        <v>22</v>
      </c>
      <c r="M622" t="s">
        <v>22</v>
      </c>
      <c r="N622" s="1">
        <v>0.88541666666666663</v>
      </c>
      <c r="O622" s="1">
        <v>0.89583333333333337</v>
      </c>
      <c r="P622" s="3">
        <v>4000114882</v>
      </c>
      <c r="Q622">
        <v>10049667</v>
      </c>
      <c r="R622" t="s">
        <v>54</v>
      </c>
      <c r="S622" t="s">
        <v>218</v>
      </c>
    </row>
    <row r="623" spans="3:19" x14ac:dyDescent="0.25">
      <c r="C623">
        <v>3134205</v>
      </c>
      <c r="D623" s="3" t="s">
        <v>28</v>
      </c>
      <c r="E623" s="3">
        <v>1</v>
      </c>
      <c r="F623" s="3" t="s">
        <v>34</v>
      </c>
      <c r="G623" s="3" t="s">
        <v>207</v>
      </c>
      <c r="H623" s="3">
        <v>10</v>
      </c>
      <c r="I623" s="3" t="s">
        <v>19</v>
      </c>
      <c r="J623" s="3">
        <f t="shared" si="9"/>
        <v>0.16666666666666666</v>
      </c>
      <c r="K623" s="3" t="s">
        <v>20</v>
      </c>
      <c r="L623" t="s">
        <v>22</v>
      </c>
      <c r="M623" t="s">
        <v>22</v>
      </c>
      <c r="N623" s="1">
        <v>0.90972222222222221</v>
      </c>
      <c r="O623" s="1">
        <v>0.91666666666666663</v>
      </c>
      <c r="P623" s="3">
        <v>4000114954</v>
      </c>
      <c r="Q623">
        <v>10051408</v>
      </c>
      <c r="R623" t="s">
        <v>54</v>
      </c>
      <c r="S623" t="s">
        <v>218</v>
      </c>
    </row>
    <row r="624" spans="3:19" x14ac:dyDescent="0.25">
      <c r="C624">
        <v>3134209</v>
      </c>
      <c r="D624" s="3" t="s">
        <v>28</v>
      </c>
      <c r="E624" s="3">
        <v>1</v>
      </c>
      <c r="F624" s="3" t="s">
        <v>34</v>
      </c>
      <c r="G624" s="3" t="s">
        <v>207</v>
      </c>
      <c r="H624" s="3">
        <v>10</v>
      </c>
      <c r="I624" s="3" t="s">
        <v>19</v>
      </c>
      <c r="J624" s="3">
        <f t="shared" si="9"/>
        <v>0.16666666666666666</v>
      </c>
      <c r="K624" s="3" t="s">
        <v>20</v>
      </c>
      <c r="L624" t="s">
        <v>22</v>
      </c>
      <c r="M624" t="s">
        <v>22</v>
      </c>
      <c r="N624" s="1">
        <v>0.89583333333333337</v>
      </c>
      <c r="O624" s="1">
        <v>0.89930555555555547</v>
      </c>
      <c r="P624" s="3">
        <v>4000114958</v>
      </c>
      <c r="Q624">
        <v>10051347</v>
      </c>
      <c r="R624" t="s">
        <v>54</v>
      </c>
      <c r="S624" t="s">
        <v>218</v>
      </c>
    </row>
    <row r="625" spans="3:19" x14ac:dyDescent="0.25">
      <c r="C625">
        <v>3134308</v>
      </c>
      <c r="D625" s="3" t="s">
        <v>28</v>
      </c>
      <c r="E625" s="3">
        <v>1</v>
      </c>
      <c r="F625" s="3" t="s">
        <v>34</v>
      </c>
      <c r="G625" s="3" t="s">
        <v>207</v>
      </c>
      <c r="H625" s="3">
        <v>55</v>
      </c>
      <c r="I625" s="3" t="s">
        <v>19</v>
      </c>
      <c r="J625" s="3">
        <f t="shared" si="9"/>
        <v>0.91666666666666663</v>
      </c>
      <c r="K625" s="3" t="s">
        <v>20</v>
      </c>
      <c r="L625" t="s">
        <v>22</v>
      </c>
      <c r="M625" t="s">
        <v>22</v>
      </c>
      <c r="N625" s="1">
        <v>0.86805555555555547</v>
      </c>
      <c r="O625" s="1">
        <v>0.88888888888888884</v>
      </c>
      <c r="P625" s="3">
        <v>4000115054</v>
      </c>
      <c r="Q625">
        <v>10051759</v>
      </c>
      <c r="R625" t="s">
        <v>58</v>
      </c>
      <c r="S625" t="s">
        <v>72</v>
      </c>
    </row>
    <row r="626" spans="3:19" x14ac:dyDescent="0.25">
      <c r="C626">
        <v>3112706</v>
      </c>
      <c r="D626" s="3" t="s">
        <v>28</v>
      </c>
      <c r="E626" s="3">
        <v>3</v>
      </c>
      <c r="F626" s="3" t="s">
        <v>34</v>
      </c>
      <c r="G626" s="3" t="s">
        <v>207</v>
      </c>
      <c r="H626" s="3">
        <v>120</v>
      </c>
      <c r="I626" s="3" t="s">
        <v>19</v>
      </c>
      <c r="J626" s="3">
        <f t="shared" si="9"/>
        <v>2</v>
      </c>
      <c r="K626" s="3" t="s">
        <v>20</v>
      </c>
      <c r="L626" t="s">
        <v>67</v>
      </c>
      <c r="M626" t="s">
        <v>67</v>
      </c>
      <c r="N626" s="1">
        <v>0.33333333333333331</v>
      </c>
      <c r="O626" s="1">
        <v>0.41666666666666669</v>
      </c>
      <c r="P626" s="3">
        <v>4000108534</v>
      </c>
      <c r="Q626">
        <v>10049361</v>
      </c>
      <c r="R626" t="s">
        <v>36</v>
      </c>
      <c r="S626" t="s">
        <v>68</v>
      </c>
    </row>
    <row r="627" spans="3:19" x14ac:dyDescent="0.25">
      <c r="C627">
        <v>3114091</v>
      </c>
      <c r="D627" s="3" t="s">
        <v>28</v>
      </c>
      <c r="E627" s="3">
        <v>3</v>
      </c>
      <c r="F627" s="3" t="s">
        <v>34</v>
      </c>
      <c r="G627" s="3" t="s">
        <v>207</v>
      </c>
      <c r="H627" s="3">
        <v>120</v>
      </c>
      <c r="I627" s="3" t="s">
        <v>19</v>
      </c>
      <c r="J627" s="3">
        <f t="shared" si="9"/>
        <v>2</v>
      </c>
      <c r="K627" s="3" t="s">
        <v>20</v>
      </c>
      <c r="L627" t="s">
        <v>67</v>
      </c>
      <c r="M627" t="s">
        <v>67</v>
      </c>
      <c r="N627" s="1">
        <v>0.54166666666666663</v>
      </c>
      <c r="O627" s="1">
        <v>0.625</v>
      </c>
      <c r="P627" s="3">
        <v>4000109519</v>
      </c>
      <c r="Q627">
        <v>10051443</v>
      </c>
      <c r="R627" t="s">
        <v>36</v>
      </c>
      <c r="S627" t="s">
        <v>69</v>
      </c>
    </row>
    <row r="628" spans="3:19" x14ac:dyDescent="0.25">
      <c r="C628">
        <v>3118388</v>
      </c>
      <c r="D628" s="3" t="s">
        <v>28</v>
      </c>
      <c r="E628" s="3">
        <v>3</v>
      </c>
      <c r="F628" s="3" t="s">
        <v>34</v>
      </c>
      <c r="G628" s="3" t="s">
        <v>207</v>
      </c>
      <c r="H628" s="3">
        <v>120</v>
      </c>
      <c r="I628" s="3" t="s">
        <v>19</v>
      </c>
      <c r="J628" s="3">
        <f t="shared" si="9"/>
        <v>2</v>
      </c>
      <c r="K628" s="3" t="s">
        <v>20</v>
      </c>
      <c r="L628" t="s">
        <v>67</v>
      </c>
      <c r="M628" t="s">
        <v>67</v>
      </c>
      <c r="N628" s="1">
        <v>0.41666666666666669</v>
      </c>
      <c r="O628" s="1">
        <v>0.5</v>
      </c>
      <c r="P628" s="3">
        <v>4000111412</v>
      </c>
      <c r="Q628">
        <v>10051778</v>
      </c>
      <c r="R628" t="s">
        <v>36</v>
      </c>
      <c r="S628" t="s">
        <v>70</v>
      </c>
    </row>
    <row r="629" spans="3:19" x14ac:dyDescent="0.25">
      <c r="C629">
        <v>3134181</v>
      </c>
      <c r="D629" s="3" t="s">
        <v>28</v>
      </c>
      <c r="E629" s="3">
        <v>1</v>
      </c>
      <c r="F629" s="3" t="s">
        <v>34</v>
      </c>
      <c r="G629" s="3" t="s">
        <v>207</v>
      </c>
      <c r="H629" s="3">
        <v>25</v>
      </c>
      <c r="I629" s="3" t="s">
        <v>19</v>
      </c>
      <c r="J629" s="3">
        <f t="shared" si="9"/>
        <v>0.41666666666666669</v>
      </c>
      <c r="K629" s="3" t="s">
        <v>20</v>
      </c>
      <c r="L629" t="s">
        <v>67</v>
      </c>
      <c r="M629" t="s">
        <v>67</v>
      </c>
      <c r="N629" s="1">
        <v>0.89930555555555547</v>
      </c>
      <c r="O629" s="1">
        <v>0.90972222222222221</v>
      </c>
      <c r="P629" s="3">
        <v>4000114930</v>
      </c>
      <c r="Q629">
        <v>10051329</v>
      </c>
      <c r="R629" t="s">
        <v>54</v>
      </c>
      <c r="S629" t="s">
        <v>218</v>
      </c>
    </row>
    <row r="630" spans="3:19" x14ac:dyDescent="0.25">
      <c r="C630">
        <v>3134204</v>
      </c>
      <c r="D630" s="3" t="s">
        <v>28</v>
      </c>
      <c r="E630" s="3">
        <v>1</v>
      </c>
      <c r="F630" s="3" t="s">
        <v>34</v>
      </c>
      <c r="G630" s="3" t="s">
        <v>207</v>
      </c>
      <c r="H630" s="3">
        <v>60</v>
      </c>
      <c r="I630" s="3" t="s">
        <v>19</v>
      </c>
      <c r="J630" s="3">
        <f t="shared" si="9"/>
        <v>1</v>
      </c>
      <c r="K630" s="3" t="s">
        <v>20</v>
      </c>
      <c r="L630" t="s">
        <v>67</v>
      </c>
      <c r="M630" t="s">
        <v>67</v>
      </c>
      <c r="N630" s="1">
        <v>0.91666666666666663</v>
      </c>
      <c r="O630" s="1">
        <v>0.95833333333333337</v>
      </c>
      <c r="P630" s="3">
        <v>4000114953</v>
      </c>
      <c r="Q630">
        <v>10049688</v>
      </c>
      <c r="R630" t="s">
        <v>54</v>
      </c>
      <c r="S630" t="s">
        <v>218</v>
      </c>
    </row>
    <row r="631" spans="3:19" x14ac:dyDescent="0.25">
      <c r="C631">
        <v>3122104</v>
      </c>
      <c r="D631" s="3" t="s">
        <v>22</v>
      </c>
      <c r="E631" s="3">
        <v>1</v>
      </c>
      <c r="F631" s="3" t="s">
        <v>18</v>
      </c>
      <c r="G631" s="3" t="s">
        <v>219</v>
      </c>
      <c r="H631" s="3">
        <v>60</v>
      </c>
      <c r="I631" s="3" t="s">
        <v>19</v>
      </c>
      <c r="J631" s="3">
        <f t="shared" si="9"/>
        <v>1</v>
      </c>
      <c r="K631" s="3" t="s">
        <v>20</v>
      </c>
      <c r="L631" t="s">
        <v>51</v>
      </c>
      <c r="M631" t="s">
        <v>51</v>
      </c>
      <c r="N631" s="1">
        <v>0.91666666666666663</v>
      </c>
      <c r="O631" s="1">
        <v>0.95833333333333337</v>
      </c>
      <c r="P631" s="3">
        <v>4000112800</v>
      </c>
      <c r="Q631">
        <v>10049997</v>
      </c>
      <c r="R631" t="s">
        <v>104</v>
      </c>
      <c r="S631" t="s">
        <v>163</v>
      </c>
    </row>
    <row r="632" spans="3:19" x14ac:dyDescent="0.25">
      <c r="C632">
        <v>3122049</v>
      </c>
      <c r="D632" s="3" t="s">
        <v>17</v>
      </c>
      <c r="E632" s="3">
        <v>1</v>
      </c>
      <c r="F632" s="3" t="s">
        <v>18</v>
      </c>
      <c r="G632" s="3" t="s">
        <v>219</v>
      </c>
      <c r="H632" s="3">
        <v>60</v>
      </c>
      <c r="I632" s="3" t="s">
        <v>19</v>
      </c>
      <c r="J632" s="3">
        <f t="shared" si="9"/>
        <v>1</v>
      </c>
      <c r="K632" s="3" t="s">
        <v>20</v>
      </c>
      <c r="L632" t="s">
        <v>24</v>
      </c>
      <c r="M632" t="s">
        <v>24</v>
      </c>
      <c r="N632" s="1">
        <v>0.41666666666666669</v>
      </c>
      <c r="O632" s="1">
        <v>0.45833333333333331</v>
      </c>
      <c r="P632" s="3">
        <v>4000112745</v>
      </c>
      <c r="Q632">
        <v>10070544</v>
      </c>
      <c r="R632" t="s">
        <v>104</v>
      </c>
      <c r="S632" t="s">
        <v>164</v>
      </c>
    </row>
    <row r="633" spans="3:19" x14ac:dyDescent="0.25">
      <c r="C633">
        <v>3122083</v>
      </c>
      <c r="D633" s="3" t="s">
        <v>17</v>
      </c>
      <c r="E633" s="3">
        <v>3</v>
      </c>
      <c r="F633" s="3" t="s">
        <v>18</v>
      </c>
      <c r="G633" s="3" t="s">
        <v>219</v>
      </c>
      <c r="H633" s="3">
        <v>60</v>
      </c>
      <c r="I633" s="3" t="s">
        <v>19</v>
      </c>
      <c r="J633" s="3">
        <f t="shared" si="9"/>
        <v>1</v>
      </c>
      <c r="K633" s="3" t="s">
        <v>20</v>
      </c>
      <c r="L633" t="s">
        <v>24</v>
      </c>
      <c r="M633" t="s">
        <v>24</v>
      </c>
      <c r="N633" s="1">
        <v>0.375</v>
      </c>
      <c r="O633" s="1">
        <v>0.41666666666666669</v>
      </c>
      <c r="P633" s="3">
        <v>4000112779</v>
      </c>
      <c r="Q633">
        <v>10052565</v>
      </c>
      <c r="R633" t="s">
        <v>104</v>
      </c>
      <c r="S633" t="s">
        <v>164</v>
      </c>
    </row>
    <row r="634" spans="3:19" x14ac:dyDescent="0.25">
      <c r="C634">
        <v>3122098</v>
      </c>
      <c r="D634" s="3" t="s">
        <v>17</v>
      </c>
      <c r="E634" s="3">
        <v>1</v>
      </c>
      <c r="F634" s="3" t="s">
        <v>18</v>
      </c>
      <c r="G634" s="3" t="s">
        <v>219</v>
      </c>
      <c r="H634" s="3">
        <v>60</v>
      </c>
      <c r="I634" s="3" t="s">
        <v>19</v>
      </c>
      <c r="J634" s="3">
        <f t="shared" si="9"/>
        <v>1</v>
      </c>
      <c r="K634" s="3" t="s">
        <v>20</v>
      </c>
      <c r="L634" t="s">
        <v>24</v>
      </c>
      <c r="M634" t="s">
        <v>24</v>
      </c>
      <c r="N634" s="1">
        <v>0.33333333333333331</v>
      </c>
      <c r="O634" s="1">
        <v>0.375</v>
      </c>
      <c r="P634" s="3">
        <v>4000112794</v>
      </c>
      <c r="Q634">
        <v>10049998</v>
      </c>
      <c r="R634" t="s">
        <v>104</v>
      </c>
      <c r="S634" t="s">
        <v>164</v>
      </c>
    </row>
    <row r="635" spans="3:19" x14ac:dyDescent="0.25">
      <c r="C635">
        <v>3118333</v>
      </c>
      <c r="D635" s="3" t="s">
        <v>33</v>
      </c>
      <c r="E635" s="3">
        <v>1</v>
      </c>
      <c r="F635" s="3" t="s">
        <v>29</v>
      </c>
      <c r="G635" s="3" t="s">
        <v>219</v>
      </c>
      <c r="H635" s="3">
        <v>60</v>
      </c>
      <c r="I635" s="3" t="s">
        <v>19</v>
      </c>
      <c r="J635" s="3">
        <f t="shared" ref="J635:J698" si="10">H635/60</f>
        <v>1</v>
      </c>
      <c r="K635" s="3" t="s">
        <v>20</v>
      </c>
      <c r="L635" t="s">
        <v>165</v>
      </c>
      <c r="M635" t="s">
        <v>165</v>
      </c>
      <c r="N635" s="1">
        <v>0.79166666666666663</v>
      </c>
      <c r="O635" s="1">
        <v>0.83333333333333337</v>
      </c>
      <c r="P635" s="3">
        <v>4000111357</v>
      </c>
      <c r="Q635">
        <v>10051481</v>
      </c>
      <c r="R635" t="s">
        <v>53</v>
      </c>
      <c r="S635" t="s">
        <v>166</v>
      </c>
    </row>
    <row r="636" spans="3:19" x14ac:dyDescent="0.25">
      <c r="C636">
        <v>3118357</v>
      </c>
      <c r="D636" s="3" t="s">
        <v>33</v>
      </c>
      <c r="E636" s="3">
        <v>2</v>
      </c>
      <c r="F636" s="3" t="s">
        <v>29</v>
      </c>
      <c r="G636" s="3" t="s">
        <v>219</v>
      </c>
      <c r="H636" s="3">
        <v>1.5</v>
      </c>
      <c r="I636" s="3" t="s">
        <v>129</v>
      </c>
      <c r="J636" s="3">
        <f>H636*60</f>
        <v>90</v>
      </c>
      <c r="K636" s="3" t="s">
        <v>20</v>
      </c>
      <c r="L636" t="s">
        <v>165</v>
      </c>
      <c r="M636" t="s">
        <v>165</v>
      </c>
      <c r="N636" s="1">
        <v>0.875</v>
      </c>
      <c r="O636" s="1">
        <v>0.9375</v>
      </c>
      <c r="P636" s="3">
        <v>4000111381</v>
      </c>
      <c r="Q636">
        <v>10051481</v>
      </c>
      <c r="R636" t="s">
        <v>53</v>
      </c>
      <c r="S636" t="s">
        <v>37</v>
      </c>
    </row>
    <row r="637" spans="3:19" x14ac:dyDescent="0.25">
      <c r="C637">
        <v>3119952</v>
      </c>
      <c r="D637" s="3" t="s">
        <v>33</v>
      </c>
      <c r="E637" s="3">
        <v>2</v>
      </c>
      <c r="F637" s="3" t="s">
        <v>29</v>
      </c>
      <c r="G637" s="3" t="s">
        <v>219</v>
      </c>
      <c r="H637" s="3">
        <v>60</v>
      </c>
      <c r="I637" s="3" t="s">
        <v>19</v>
      </c>
      <c r="J637" s="3">
        <f t="shared" si="10"/>
        <v>1</v>
      </c>
      <c r="K637" s="3" t="s">
        <v>20</v>
      </c>
      <c r="L637" t="s">
        <v>73</v>
      </c>
      <c r="M637" t="s">
        <v>73</v>
      </c>
      <c r="N637" s="1">
        <v>0.8125</v>
      </c>
      <c r="O637" s="1">
        <v>0.85416666666666663</v>
      </c>
      <c r="P637" s="3">
        <v>4000112026</v>
      </c>
      <c r="Q637">
        <v>10049399</v>
      </c>
      <c r="R637" t="s">
        <v>53</v>
      </c>
      <c r="S637" t="s">
        <v>37</v>
      </c>
    </row>
    <row r="638" spans="3:19" x14ac:dyDescent="0.25">
      <c r="C638">
        <v>3122760</v>
      </c>
      <c r="D638" s="3" t="s">
        <v>33</v>
      </c>
      <c r="E638" s="3">
        <v>1</v>
      </c>
      <c r="F638" s="3" t="s">
        <v>29</v>
      </c>
      <c r="G638" s="3" t="s">
        <v>219</v>
      </c>
      <c r="H638" s="3">
        <v>30</v>
      </c>
      <c r="I638" s="3" t="s">
        <v>19</v>
      </c>
      <c r="J638" s="3">
        <f t="shared" si="10"/>
        <v>0.5</v>
      </c>
      <c r="K638" s="3" t="s">
        <v>20</v>
      </c>
      <c r="L638" t="s">
        <v>73</v>
      </c>
      <c r="M638" t="s">
        <v>73</v>
      </c>
      <c r="N638" s="1">
        <v>0.91666666666666663</v>
      </c>
      <c r="O638" s="1">
        <v>0.9375</v>
      </c>
      <c r="P638" s="3">
        <v>4000113362</v>
      </c>
      <c r="Q638">
        <v>10049436</v>
      </c>
      <c r="R638" t="s">
        <v>53</v>
      </c>
      <c r="S638" t="s">
        <v>167</v>
      </c>
    </row>
    <row r="639" spans="3:19" x14ac:dyDescent="0.25">
      <c r="C639">
        <v>3122761</v>
      </c>
      <c r="D639" s="3" t="s">
        <v>33</v>
      </c>
      <c r="E639" s="3">
        <v>1</v>
      </c>
      <c r="F639" s="3" t="s">
        <v>29</v>
      </c>
      <c r="G639" s="3" t="s">
        <v>219</v>
      </c>
      <c r="H639" s="3">
        <v>60</v>
      </c>
      <c r="I639" s="3" t="s">
        <v>19</v>
      </c>
      <c r="J639" s="3">
        <f t="shared" si="10"/>
        <v>1</v>
      </c>
      <c r="K639" s="3" t="s">
        <v>20</v>
      </c>
      <c r="L639" t="s">
        <v>73</v>
      </c>
      <c r="M639" t="s">
        <v>73</v>
      </c>
      <c r="N639" s="1">
        <v>0.85416666666666663</v>
      </c>
      <c r="O639" s="1">
        <v>0.89583333333333337</v>
      </c>
      <c r="P639" s="3">
        <v>4000113363</v>
      </c>
      <c r="Q639">
        <v>10049416</v>
      </c>
      <c r="R639" t="s">
        <v>53</v>
      </c>
      <c r="S639" t="s">
        <v>123</v>
      </c>
    </row>
    <row r="640" spans="3:19" x14ac:dyDescent="0.25">
      <c r="C640">
        <v>3122766</v>
      </c>
      <c r="D640" s="3" t="s">
        <v>33</v>
      </c>
      <c r="E640" s="3">
        <v>1</v>
      </c>
      <c r="F640" s="3" t="s">
        <v>29</v>
      </c>
      <c r="G640" s="3" t="s">
        <v>219</v>
      </c>
      <c r="H640" s="3">
        <v>30</v>
      </c>
      <c r="I640" s="3" t="s">
        <v>19</v>
      </c>
      <c r="J640" s="3">
        <f t="shared" si="10"/>
        <v>0.5</v>
      </c>
      <c r="K640" s="3" t="s">
        <v>20</v>
      </c>
      <c r="L640" t="s">
        <v>73</v>
      </c>
      <c r="M640" t="s">
        <v>73</v>
      </c>
      <c r="N640" s="1">
        <v>4.1666666666666664E-2</v>
      </c>
      <c r="O640" s="1">
        <v>6.25E-2</v>
      </c>
      <c r="P640" s="3">
        <v>4000113368</v>
      </c>
      <c r="Q640">
        <v>10051337</v>
      </c>
      <c r="R640" t="s">
        <v>54</v>
      </c>
      <c r="S640" t="s">
        <v>123</v>
      </c>
    </row>
    <row r="641" spans="3:19" x14ac:dyDescent="0.25">
      <c r="C641">
        <v>3120249</v>
      </c>
      <c r="D641" s="3" t="s">
        <v>33</v>
      </c>
      <c r="E641" s="3">
        <v>1</v>
      </c>
      <c r="F641" s="3" t="s">
        <v>29</v>
      </c>
      <c r="G641" s="3" t="s">
        <v>219</v>
      </c>
      <c r="H641" s="3">
        <v>30</v>
      </c>
      <c r="I641" s="3" t="s">
        <v>19</v>
      </c>
      <c r="J641" s="3">
        <f t="shared" si="10"/>
        <v>0.5</v>
      </c>
      <c r="K641" s="3" t="s">
        <v>20</v>
      </c>
      <c r="L641" t="s">
        <v>109</v>
      </c>
      <c r="M641" t="s">
        <v>109</v>
      </c>
      <c r="N641" s="1">
        <v>0.9375</v>
      </c>
      <c r="O641" s="1">
        <v>0.95833333333333337</v>
      </c>
      <c r="P641" s="3">
        <v>4000112116</v>
      </c>
      <c r="Q641">
        <v>10051481</v>
      </c>
      <c r="R641" t="s">
        <v>53</v>
      </c>
      <c r="S641" t="s">
        <v>220</v>
      </c>
    </row>
    <row r="642" spans="3:19" x14ac:dyDescent="0.25">
      <c r="C642">
        <v>3119953</v>
      </c>
      <c r="D642" s="3" t="s">
        <v>22</v>
      </c>
      <c r="E642" s="3">
        <v>1</v>
      </c>
      <c r="F642" s="3" t="s">
        <v>29</v>
      </c>
      <c r="G642" s="3" t="s">
        <v>219</v>
      </c>
      <c r="H642" s="3">
        <v>60</v>
      </c>
      <c r="I642" s="3" t="s">
        <v>19</v>
      </c>
      <c r="J642" s="3">
        <f t="shared" si="10"/>
        <v>1</v>
      </c>
      <c r="K642" s="3" t="s">
        <v>20</v>
      </c>
      <c r="L642" t="s">
        <v>51</v>
      </c>
      <c r="M642" t="s">
        <v>51</v>
      </c>
      <c r="N642" s="1">
        <v>0.83333333333333337</v>
      </c>
      <c r="O642" s="1">
        <v>0.875</v>
      </c>
      <c r="P642" s="3">
        <v>4000112027</v>
      </c>
      <c r="Q642">
        <v>10049399</v>
      </c>
      <c r="R642" t="s">
        <v>53</v>
      </c>
      <c r="S642" t="s">
        <v>65</v>
      </c>
    </row>
    <row r="643" spans="3:19" x14ac:dyDescent="0.25">
      <c r="C643">
        <v>3120240</v>
      </c>
      <c r="D643" s="3" t="s">
        <v>22</v>
      </c>
      <c r="E643" s="3">
        <v>1</v>
      </c>
      <c r="F643" s="3" t="s">
        <v>29</v>
      </c>
      <c r="G643" s="3" t="s">
        <v>219</v>
      </c>
      <c r="H643" s="3">
        <v>60</v>
      </c>
      <c r="I643" s="3" t="s">
        <v>19</v>
      </c>
      <c r="J643" s="3">
        <f t="shared" si="10"/>
        <v>1</v>
      </c>
      <c r="K643" s="3" t="s">
        <v>20</v>
      </c>
      <c r="L643" t="s">
        <v>51</v>
      </c>
      <c r="M643" t="s">
        <v>51</v>
      </c>
      <c r="N643" s="1">
        <v>0.875</v>
      </c>
      <c r="O643" s="1">
        <v>0.91666666666666663</v>
      </c>
      <c r="P643" s="3">
        <v>4000112107</v>
      </c>
      <c r="Q643">
        <v>10049399</v>
      </c>
      <c r="R643" t="s">
        <v>53</v>
      </c>
      <c r="S643" t="s">
        <v>169</v>
      </c>
    </row>
    <row r="644" spans="3:19" x14ac:dyDescent="0.25">
      <c r="C644">
        <v>3120241</v>
      </c>
      <c r="D644" s="3" t="s">
        <v>22</v>
      </c>
      <c r="E644" s="3">
        <v>1</v>
      </c>
      <c r="F644" s="3" t="s">
        <v>29</v>
      </c>
      <c r="G644" s="3" t="s">
        <v>219</v>
      </c>
      <c r="H644" s="3">
        <v>240</v>
      </c>
      <c r="I644" s="3" t="s">
        <v>19</v>
      </c>
      <c r="J644" s="3">
        <f t="shared" si="10"/>
        <v>4</v>
      </c>
      <c r="K644" s="3" t="s">
        <v>20</v>
      </c>
      <c r="L644" t="s">
        <v>24</v>
      </c>
      <c r="M644" t="s">
        <v>24</v>
      </c>
      <c r="N644" s="1">
        <v>0.375</v>
      </c>
      <c r="O644" s="1">
        <v>0.5</v>
      </c>
      <c r="P644" s="3">
        <v>4000112108</v>
      </c>
      <c r="Q644">
        <v>10051396</v>
      </c>
      <c r="R644" t="s">
        <v>36</v>
      </c>
      <c r="S644" t="s">
        <v>198</v>
      </c>
    </row>
    <row r="645" spans="3:19" x14ac:dyDescent="0.25">
      <c r="C645">
        <v>3122736</v>
      </c>
      <c r="D645" s="3" t="s">
        <v>17</v>
      </c>
      <c r="E645" s="3">
        <v>1</v>
      </c>
      <c r="F645" s="3" t="s">
        <v>29</v>
      </c>
      <c r="G645" s="3" t="s">
        <v>219</v>
      </c>
      <c r="H645" s="3">
        <v>60</v>
      </c>
      <c r="I645" s="3" t="s">
        <v>19</v>
      </c>
      <c r="J645" s="3">
        <f t="shared" si="10"/>
        <v>1</v>
      </c>
      <c r="K645" s="3" t="s">
        <v>20</v>
      </c>
      <c r="L645" t="s">
        <v>33</v>
      </c>
      <c r="M645" t="s">
        <v>33</v>
      </c>
      <c r="N645" s="1">
        <v>0.64583333333333337</v>
      </c>
      <c r="O645" s="1">
        <v>0.6875</v>
      </c>
      <c r="P645" s="3">
        <v>4000113341</v>
      </c>
      <c r="Q645">
        <v>10051493</v>
      </c>
      <c r="R645" t="s">
        <v>53</v>
      </c>
      <c r="S645" t="s">
        <v>136</v>
      </c>
    </row>
    <row r="646" spans="3:19" x14ac:dyDescent="0.25">
      <c r="C646">
        <v>3122784</v>
      </c>
      <c r="D646" s="3" t="s">
        <v>17</v>
      </c>
      <c r="E646" s="3">
        <v>2</v>
      </c>
      <c r="F646" s="3" t="s">
        <v>29</v>
      </c>
      <c r="G646" s="3" t="s">
        <v>219</v>
      </c>
      <c r="H646" s="3">
        <v>1.5</v>
      </c>
      <c r="I646" s="3" t="s">
        <v>129</v>
      </c>
      <c r="J646" s="3">
        <f>H646*60</f>
        <v>90</v>
      </c>
      <c r="K646" s="3" t="s">
        <v>20</v>
      </c>
      <c r="L646" t="s">
        <v>33</v>
      </c>
      <c r="M646" t="s">
        <v>33</v>
      </c>
      <c r="N646" s="1">
        <v>0.58333333333333337</v>
      </c>
      <c r="O646" s="1">
        <v>0.64583333333333337</v>
      </c>
      <c r="P646" s="3">
        <v>4000113386</v>
      </c>
      <c r="Q646">
        <v>10049416</v>
      </c>
      <c r="R646" t="s">
        <v>53</v>
      </c>
      <c r="S646" t="s">
        <v>170</v>
      </c>
    </row>
    <row r="647" spans="3:19" x14ac:dyDescent="0.25">
      <c r="C647">
        <v>3122796</v>
      </c>
      <c r="D647" s="3" t="s">
        <v>17</v>
      </c>
      <c r="E647" s="3">
        <v>1</v>
      </c>
      <c r="F647" s="3" t="s">
        <v>29</v>
      </c>
      <c r="G647" s="3" t="s">
        <v>219</v>
      </c>
      <c r="H647" s="3">
        <v>30</v>
      </c>
      <c r="I647" s="3" t="s">
        <v>19</v>
      </c>
      <c r="J647" s="3">
        <f t="shared" si="10"/>
        <v>0.5</v>
      </c>
      <c r="K647" s="3" t="s">
        <v>20</v>
      </c>
      <c r="L647" t="s">
        <v>33</v>
      </c>
      <c r="M647" t="s">
        <v>33</v>
      </c>
      <c r="N647" s="1">
        <v>0.54166666666666663</v>
      </c>
      <c r="O647" s="1">
        <v>0.5625</v>
      </c>
      <c r="P647" s="3">
        <v>4000113398</v>
      </c>
      <c r="Q647">
        <v>10049399</v>
      </c>
      <c r="R647" t="s">
        <v>53</v>
      </c>
      <c r="S647" t="s">
        <v>171</v>
      </c>
    </row>
    <row r="648" spans="3:19" x14ac:dyDescent="0.25">
      <c r="C648">
        <v>3132473</v>
      </c>
      <c r="D648" s="3" t="s">
        <v>17</v>
      </c>
      <c r="E648" s="3">
        <v>2</v>
      </c>
      <c r="F648" s="3" t="s">
        <v>29</v>
      </c>
      <c r="G648" s="3" t="s">
        <v>219</v>
      </c>
      <c r="H648" s="3">
        <v>30</v>
      </c>
      <c r="I648" s="3" t="s">
        <v>19</v>
      </c>
      <c r="J648" s="3">
        <f t="shared" si="10"/>
        <v>0.5</v>
      </c>
      <c r="K648" s="3" t="s">
        <v>20</v>
      </c>
      <c r="L648" t="s">
        <v>33</v>
      </c>
      <c r="M648" t="s">
        <v>33</v>
      </c>
      <c r="N648" s="1">
        <v>0.54166666666666663</v>
      </c>
      <c r="O648" s="1">
        <v>0.5625</v>
      </c>
      <c r="P648" s="3">
        <v>4000114011</v>
      </c>
      <c r="Q648">
        <v>10049436</v>
      </c>
      <c r="R648" t="s">
        <v>53</v>
      </c>
      <c r="S648" t="s">
        <v>170</v>
      </c>
    </row>
    <row r="649" spans="3:19" x14ac:dyDescent="0.25">
      <c r="C649">
        <v>3133500</v>
      </c>
      <c r="D649" s="3" t="s">
        <v>28</v>
      </c>
      <c r="E649" s="3">
        <v>1</v>
      </c>
      <c r="F649" s="3" t="s">
        <v>29</v>
      </c>
      <c r="G649" s="3" t="s">
        <v>219</v>
      </c>
      <c r="H649" s="3">
        <v>60</v>
      </c>
      <c r="I649" s="3" t="s">
        <v>19</v>
      </c>
      <c r="J649" s="3">
        <f t="shared" si="10"/>
        <v>1</v>
      </c>
      <c r="K649" s="3" t="s">
        <v>20</v>
      </c>
      <c r="L649" t="s">
        <v>118</v>
      </c>
      <c r="M649" t="s">
        <v>118</v>
      </c>
      <c r="N649" s="1">
        <v>0.33333333333333331</v>
      </c>
      <c r="O649" s="1">
        <v>0.375</v>
      </c>
      <c r="P649" s="3">
        <v>4000114760</v>
      </c>
      <c r="Q649">
        <v>10049667</v>
      </c>
      <c r="R649" t="s">
        <v>54</v>
      </c>
      <c r="S649" t="s">
        <v>175</v>
      </c>
    </row>
    <row r="650" spans="3:19" x14ac:dyDescent="0.25">
      <c r="C650">
        <v>3134121</v>
      </c>
      <c r="D650" s="3" t="s">
        <v>28</v>
      </c>
      <c r="E650" s="3">
        <v>1</v>
      </c>
      <c r="F650" s="3" t="s">
        <v>29</v>
      </c>
      <c r="G650" s="3" t="s">
        <v>219</v>
      </c>
      <c r="H650" s="3">
        <v>60</v>
      </c>
      <c r="I650" s="3" t="s">
        <v>19</v>
      </c>
      <c r="J650" s="3">
        <f t="shared" si="10"/>
        <v>1</v>
      </c>
      <c r="K650" s="3" t="s">
        <v>20</v>
      </c>
      <c r="L650" t="s">
        <v>118</v>
      </c>
      <c r="M650" t="s">
        <v>118</v>
      </c>
      <c r="N650" s="1">
        <v>0.375</v>
      </c>
      <c r="O650" s="1">
        <v>0.41666666666666669</v>
      </c>
      <c r="P650" s="3">
        <v>4000114880</v>
      </c>
      <c r="Q650">
        <v>10049680</v>
      </c>
      <c r="R650" t="s">
        <v>54</v>
      </c>
      <c r="S650" t="s">
        <v>176</v>
      </c>
    </row>
    <row r="651" spans="3:19" x14ac:dyDescent="0.25">
      <c r="C651">
        <v>3134257</v>
      </c>
      <c r="D651" s="3" t="s">
        <v>28</v>
      </c>
      <c r="E651" s="3">
        <v>2</v>
      </c>
      <c r="F651" s="3" t="s">
        <v>29</v>
      </c>
      <c r="G651" s="3" t="s">
        <v>219</v>
      </c>
      <c r="H651" s="3">
        <v>30</v>
      </c>
      <c r="I651" s="3" t="s">
        <v>19</v>
      </c>
      <c r="J651" s="3">
        <f t="shared" si="10"/>
        <v>0.5</v>
      </c>
      <c r="K651" s="3" t="s">
        <v>20</v>
      </c>
      <c r="L651" t="s">
        <v>118</v>
      </c>
      <c r="M651" t="s">
        <v>118</v>
      </c>
      <c r="N651" s="1">
        <v>0.625</v>
      </c>
      <c r="O651" s="1">
        <v>0.64583333333333337</v>
      </c>
      <c r="P651" s="3">
        <v>4000115003</v>
      </c>
      <c r="Q651">
        <v>10051337</v>
      </c>
      <c r="R651" t="s">
        <v>54</v>
      </c>
      <c r="S651" t="s">
        <v>177</v>
      </c>
    </row>
    <row r="652" spans="3:19" x14ac:dyDescent="0.25">
      <c r="C652">
        <v>3122007</v>
      </c>
      <c r="D652" s="3" t="s">
        <v>17</v>
      </c>
      <c r="E652" s="3">
        <v>1</v>
      </c>
      <c r="F652" s="3" t="s">
        <v>34</v>
      </c>
      <c r="G652" s="3" t="s">
        <v>219</v>
      </c>
      <c r="H652" s="3">
        <v>30</v>
      </c>
      <c r="I652" s="3" t="s">
        <v>19</v>
      </c>
      <c r="J652" s="3">
        <f t="shared" si="10"/>
        <v>0.5</v>
      </c>
      <c r="K652" s="3" t="s">
        <v>20</v>
      </c>
      <c r="L652" t="s">
        <v>24</v>
      </c>
      <c r="M652" t="s">
        <v>24</v>
      </c>
      <c r="N652" s="1">
        <v>0.58333333333333337</v>
      </c>
      <c r="O652" s="1">
        <v>0.60416666666666663</v>
      </c>
      <c r="P652" s="3">
        <v>4000112704</v>
      </c>
      <c r="Q652">
        <v>10051541</v>
      </c>
      <c r="R652" t="s">
        <v>57</v>
      </c>
      <c r="S652" t="s">
        <v>123</v>
      </c>
    </row>
    <row r="653" spans="3:19" x14ac:dyDescent="0.25">
      <c r="C653">
        <v>3100485</v>
      </c>
      <c r="D653" s="3" t="s">
        <v>22</v>
      </c>
      <c r="E653" s="3">
        <v>1</v>
      </c>
      <c r="F653" s="3" t="s">
        <v>18</v>
      </c>
      <c r="G653" s="3" t="s">
        <v>221</v>
      </c>
      <c r="H653" s="3">
        <v>50</v>
      </c>
      <c r="I653" s="3" t="s">
        <v>19</v>
      </c>
      <c r="J653" s="3">
        <f t="shared" si="10"/>
        <v>0.83333333333333337</v>
      </c>
      <c r="K653" s="3" t="s">
        <v>20</v>
      </c>
      <c r="L653" t="s">
        <v>51</v>
      </c>
      <c r="M653" t="s">
        <v>51</v>
      </c>
      <c r="N653" s="1">
        <v>0.83333333333333337</v>
      </c>
      <c r="O653" s="1">
        <v>0.86805555555555547</v>
      </c>
      <c r="P653" s="3">
        <v>4000105442</v>
      </c>
      <c r="Q653">
        <v>10049730</v>
      </c>
      <c r="R653" t="s">
        <v>140</v>
      </c>
      <c r="S653" t="s">
        <v>157</v>
      </c>
    </row>
    <row r="654" spans="3:19" x14ac:dyDescent="0.25">
      <c r="C654">
        <v>3122047</v>
      </c>
      <c r="D654" s="3" t="s">
        <v>22</v>
      </c>
      <c r="E654" s="3">
        <v>2</v>
      </c>
      <c r="F654" s="3" t="s">
        <v>18</v>
      </c>
      <c r="G654" s="3" t="s">
        <v>221</v>
      </c>
      <c r="H654" s="3">
        <v>30</v>
      </c>
      <c r="I654" s="3" t="s">
        <v>19</v>
      </c>
      <c r="J654" s="3">
        <f t="shared" si="10"/>
        <v>0.5</v>
      </c>
      <c r="K654" s="3" t="s">
        <v>20</v>
      </c>
      <c r="L654" t="s">
        <v>51</v>
      </c>
      <c r="M654" t="s">
        <v>51</v>
      </c>
      <c r="N654" s="1">
        <v>0.9375</v>
      </c>
      <c r="O654" s="1">
        <v>0.95833333333333337</v>
      </c>
      <c r="P654" s="3">
        <v>4000112743</v>
      </c>
      <c r="Q654">
        <v>10055740</v>
      </c>
      <c r="R654" t="s">
        <v>26</v>
      </c>
      <c r="S654" t="s">
        <v>158</v>
      </c>
    </row>
    <row r="655" spans="3:19" x14ac:dyDescent="0.25">
      <c r="C655">
        <v>3122051</v>
      </c>
      <c r="D655" s="3" t="s">
        <v>22</v>
      </c>
      <c r="E655" s="3">
        <v>1</v>
      </c>
      <c r="F655" s="3" t="s">
        <v>18</v>
      </c>
      <c r="G655" s="3" t="s">
        <v>221</v>
      </c>
      <c r="H655" s="3">
        <v>30</v>
      </c>
      <c r="I655" s="3" t="s">
        <v>19</v>
      </c>
      <c r="J655" s="3">
        <f t="shared" si="10"/>
        <v>0.5</v>
      </c>
      <c r="K655" s="3" t="s">
        <v>20</v>
      </c>
      <c r="L655" t="s">
        <v>55</v>
      </c>
      <c r="M655" t="s">
        <v>55</v>
      </c>
      <c r="N655" s="1">
        <v>0.875</v>
      </c>
      <c r="O655" s="1">
        <v>0.89583333333333337</v>
      </c>
      <c r="P655" s="3">
        <v>4000112747</v>
      </c>
      <c r="Q655">
        <v>10051517</v>
      </c>
      <c r="R655" t="s">
        <v>26</v>
      </c>
      <c r="S655" t="s">
        <v>158</v>
      </c>
    </row>
    <row r="656" spans="3:19" x14ac:dyDescent="0.25">
      <c r="C656">
        <v>3122099</v>
      </c>
      <c r="D656" s="3" t="s">
        <v>22</v>
      </c>
      <c r="E656" s="3">
        <v>1</v>
      </c>
      <c r="F656" s="3" t="s">
        <v>18</v>
      </c>
      <c r="G656" s="3" t="s">
        <v>221</v>
      </c>
      <c r="H656" s="3">
        <v>120</v>
      </c>
      <c r="I656" s="3" t="s">
        <v>19</v>
      </c>
      <c r="J656" s="3">
        <f t="shared" si="10"/>
        <v>2</v>
      </c>
      <c r="K656" s="3" t="s">
        <v>20</v>
      </c>
      <c r="L656" t="s">
        <v>55</v>
      </c>
      <c r="M656" t="s">
        <v>55</v>
      </c>
      <c r="N656" s="1">
        <v>0.91666666666666663</v>
      </c>
      <c r="O656" s="1">
        <v>0.97916666666666663</v>
      </c>
      <c r="P656" s="3">
        <v>4000112795</v>
      </c>
      <c r="Q656">
        <v>10055739</v>
      </c>
      <c r="R656" t="s">
        <v>26</v>
      </c>
      <c r="S656" t="s">
        <v>160</v>
      </c>
    </row>
    <row r="657" spans="3:19" x14ac:dyDescent="0.25">
      <c r="C657">
        <v>3122127</v>
      </c>
      <c r="D657" s="3" t="s">
        <v>22</v>
      </c>
      <c r="E657" s="3">
        <v>1</v>
      </c>
      <c r="F657" s="3" t="s">
        <v>18</v>
      </c>
      <c r="G657" s="3" t="s">
        <v>221</v>
      </c>
      <c r="H657" s="3">
        <v>30</v>
      </c>
      <c r="I657" s="3" t="s">
        <v>19</v>
      </c>
      <c r="J657" s="3">
        <f t="shared" si="10"/>
        <v>0.5</v>
      </c>
      <c r="K657" s="3" t="s">
        <v>20</v>
      </c>
      <c r="L657" t="s">
        <v>55</v>
      </c>
      <c r="M657" t="s">
        <v>55</v>
      </c>
      <c r="N657" s="1">
        <v>0.89583333333333337</v>
      </c>
      <c r="O657" s="1">
        <v>0.91666666666666663</v>
      </c>
      <c r="P657" s="3">
        <v>4000112823</v>
      </c>
      <c r="Q657">
        <v>10051516</v>
      </c>
      <c r="R657" t="s">
        <v>26</v>
      </c>
      <c r="S657" t="s">
        <v>158</v>
      </c>
    </row>
    <row r="658" spans="3:19" x14ac:dyDescent="0.25">
      <c r="C658">
        <v>3118347</v>
      </c>
      <c r="D658" s="3" t="s">
        <v>33</v>
      </c>
      <c r="E658" s="3">
        <v>1</v>
      </c>
      <c r="F658" s="3" t="s">
        <v>29</v>
      </c>
      <c r="G658" s="3" t="s">
        <v>221</v>
      </c>
      <c r="H658" s="3">
        <v>20</v>
      </c>
      <c r="I658" s="3" t="s">
        <v>19</v>
      </c>
      <c r="J658" s="3">
        <f t="shared" si="10"/>
        <v>0.33333333333333331</v>
      </c>
      <c r="K658" s="3" t="s">
        <v>20</v>
      </c>
      <c r="L658" t="s">
        <v>30</v>
      </c>
      <c r="M658" t="s">
        <v>30</v>
      </c>
      <c r="N658" s="1">
        <v>0.89583333333333337</v>
      </c>
      <c r="O658" s="1">
        <v>0.90972222222222221</v>
      </c>
      <c r="P658" s="3">
        <v>4000111371</v>
      </c>
      <c r="Q658">
        <v>10049372</v>
      </c>
      <c r="R658" t="s">
        <v>36</v>
      </c>
      <c r="S658" t="s">
        <v>206</v>
      </c>
    </row>
    <row r="659" spans="3:19" x14ac:dyDescent="0.25">
      <c r="C659">
        <v>3120253</v>
      </c>
      <c r="D659" s="3" t="s">
        <v>33</v>
      </c>
      <c r="E659" s="3">
        <v>2</v>
      </c>
      <c r="F659" s="3" t="s">
        <v>29</v>
      </c>
      <c r="G659" s="3" t="s">
        <v>221</v>
      </c>
      <c r="H659" s="3">
        <v>30</v>
      </c>
      <c r="I659" s="3" t="s">
        <v>19</v>
      </c>
      <c r="J659" s="3">
        <f t="shared" si="10"/>
        <v>0.5</v>
      </c>
      <c r="K659" s="3" t="s">
        <v>20</v>
      </c>
      <c r="L659" t="s">
        <v>30</v>
      </c>
      <c r="M659" t="s">
        <v>30</v>
      </c>
      <c r="N659" s="1">
        <v>0.875</v>
      </c>
      <c r="O659" s="1">
        <v>0.89583333333333337</v>
      </c>
      <c r="P659" s="3">
        <v>4000112120</v>
      </c>
      <c r="Q659">
        <v>10051778</v>
      </c>
      <c r="R659" t="s">
        <v>36</v>
      </c>
      <c r="S659" t="s">
        <v>123</v>
      </c>
    </row>
    <row r="660" spans="3:19" x14ac:dyDescent="0.25">
      <c r="C660">
        <v>3119954</v>
      </c>
      <c r="D660" s="3" t="s">
        <v>22</v>
      </c>
      <c r="E660" s="3">
        <v>2</v>
      </c>
      <c r="F660" s="3" t="s">
        <v>29</v>
      </c>
      <c r="G660" s="3" t="s">
        <v>221</v>
      </c>
      <c r="H660" s="3">
        <v>30</v>
      </c>
      <c r="I660" s="3" t="s">
        <v>19</v>
      </c>
      <c r="J660" s="3">
        <f t="shared" si="10"/>
        <v>0.5</v>
      </c>
      <c r="K660" s="3" t="s">
        <v>20</v>
      </c>
      <c r="L660" t="s">
        <v>24</v>
      </c>
      <c r="M660" t="s">
        <v>24</v>
      </c>
      <c r="N660" s="1">
        <v>0.41666666666666669</v>
      </c>
      <c r="O660" s="1">
        <v>0.43055555555555558</v>
      </c>
      <c r="P660" s="3">
        <v>4000112028</v>
      </c>
      <c r="Q660">
        <v>10051386</v>
      </c>
      <c r="R660" t="s">
        <v>36</v>
      </c>
      <c r="S660" t="s">
        <v>185</v>
      </c>
    </row>
    <row r="661" spans="3:19" x14ac:dyDescent="0.25">
      <c r="C661">
        <v>3120241</v>
      </c>
      <c r="D661" s="3" t="s">
        <v>22</v>
      </c>
      <c r="E661" s="3">
        <v>2</v>
      </c>
      <c r="F661" s="3" t="s">
        <v>29</v>
      </c>
      <c r="G661" s="3" t="s">
        <v>221</v>
      </c>
      <c r="H661" s="3">
        <v>240</v>
      </c>
      <c r="I661" s="3" t="s">
        <v>19</v>
      </c>
      <c r="J661" s="3">
        <f t="shared" si="10"/>
        <v>4</v>
      </c>
      <c r="K661" s="3" t="s">
        <v>20</v>
      </c>
      <c r="L661" t="s">
        <v>24</v>
      </c>
      <c r="M661" t="s">
        <v>24</v>
      </c>
      <c r="N661" s="1">
        <v>0.375</v>
      </c>
      <c r="O661" s="1">
        <v>0.5</v>
      </c>
      <c r="P661" s="3">
        <v>4000112108</v>
      </c>
      <c r="Q661">
        <v>10051396</v>
      </c>
      <c r="R661" t="s">
        <v>36</v>
      </c>
      <c r="S661" t="s">
        <v>198</v>
      </c>
    </row>
    <row r="662" spans="3:19" x14ac:dyDescent="0.25">
      <c r="C662">
        <v>3122737</v>
      </c>
      <c r="D662" s="3" t="s">
        <v>22</v>
      </c>
      <c r="E662" s="3">
        <v>2</v>
      </c>
      <c r="F662" s="3" t="s">
        <v>29</v>
      </c>
      <c r="G662" s="3" t="s">
        <v>221</v>
      </c>
      <c r="H662" s="3">
        <v>30</v>
      </c>
      <c r="I662" s="3" t="s">
        <v>19</v>
      </c>
      <c r="J662" s="3">
        <f t="shared" si="10"/>
        <v>0.5</v>
      </c>
      <c r="K662" s="3" t="s">
        <v>20</v>
      </c>
      <c r="L662" t="s">
        <v>24</v>
      </c>
      <c r="M662" t="s">
        <v>24</v>
      </c>
      <c r="N662" s="1">
        <v>0.70833333333333337</v>
      </c>
      <c r="O662" s="1">
        <v>0.72916666666666663</v>
      </c>
      <c r="P662" s="3">
        <v>4000113342</v>
      </c>
      <c r="Q662">
        <v>10051386</v>
      </c>
      <c r="R662" t="s">
        <v>36</v>
      </c>
      <c r="S662" t="s">
        <v>185</v>
      </c>
    </row>
    <row r="663" spans="3:19" x14ac:dyDescent="0.25">
      <c r="C663">
        <v>3122757</v>
      </c>
      <c r="D663" s="3" t="s">
        <v>22</v>
      </c>
      <c r="E663" s="3">
        <v>1</v>
      </c>
      <c r="F663" s="3" t="s">
        <v>29</v>
      </c>
      <c r="G663" s="3" t="s">
        <v>221</v>
      </c>
      <c r="H663" s="3">
        <v>30</v>
      </c>
      <c r="I663" s="3" t="s">
        <v>19</v>
      </c>
      <c r="J663" s="3">
        <f t="shared" si="10"/>
        <v>0.5</v>
      </c>
      <c r="K663" s="3" t="s">
        <v>20</v>
      </c>
      <c r="L663" t="s">
        <v>24</v>
      </c>
      <c r="M663" t="s">
        <v>24</v>
      </c>
      <c r="N663" s="1">
        <v>0.35416666666666669</v>
      </c>
      <c r="O663" s="1">
        <v>0.375</v>
      </c>
      <c r="P663" s="3">
        <v>4000113359</v>
      </c>
      <c r="Q663">
        <v>10049350</v>
      </c>
      <c r="R663" t="s">
        <v>36</v>
      </c>
      <c r="S663" t="s">
        <v>222</v>
      </c>
    </row>
    <row r="664" spans="3:19" x14ac:dyDescent="0.25">
      <c r="C664">
        <v>3122800</v>
      </c>
      <c r="D664" s="3" t="s">
        <v>22</v>
      </c>
      <c r="E664" s="3">
        <v>2</v>
      </c>
      <c r="F664" s="3" t="s">
        <v>29</v>
      </c>
      <c r="G664" s="3" t="s">
        <v>221</v>
      </c>
      <c r="H664" s="3">
        <v>30</v>
      </c>
      <c r="I664" s="3" t="s">
        <v>19</v>
      </c>
      <c r="J664" s="3">
        <f t="shared" si="10"/>
        <v>0.5</v>
      </c>
      <c r="K664" s="3" t="s">
        <v>20</v>
      </c>
      <c r="L664" t="s">
        <v>24</v>
      </c>
      <c r="M664" t="s">
        <v>24</v>
      </c>
      <c r="N664" s="1">
        <v>0.72916666666666663</v>
      </c>
      <c r="O664" s="1">
        <v>0.75</v>
      </c>
      <c r="P664" s="3">
        <v>4000113402</v>
      </c>
      <c r="Q664">
        <v>10051778</v>
      </c>
      <c r="R664" t="s">
        <v>36</v>
      </c>
      <c r="S664" t="s">
        <v>86</v>
      </c>
    </row>
    <row r="665" spans="3:19" x14ac:dyDescent="0.25">
      <c r="C665">
        <v>3122045</v>
      </c>
      <c r="D665" s="3" t="s">
        <v>28</v>
      </c>
      <c r="E665" s="3">
        <v>2</v>
      </c>
      <c r="F665" s="3" t="s">
        <v>29</v>
      </c>
      <c r="G665" s="3" t="s">
        <v>221</v>
      </c>
      <c r="H665" s="3">
        <v>120</v>
      </c>
      <c r="I665" s="3" t="s">
        <v>19</v>
      </c>
      <c r="J665" s="3">
        <f t="shared" si="10"/>
        <v>2</v>
      </c>
      <c r="K665" s="3" t="s">
        <v>20</v>
      </c>
      <c r="L665" t="s">
        <v>67</v>
      </c>
      <c r="M665" t="s">
        <v>67</v>
      </c>
      <c r="N665" s="1">
        <v>0.375</v>
      </c>
      <c r="O665" s="1">
        <v>0.45833333333333331</v>
      </c>
      <c r="P665" s="3">
        <v>4000112741</v>
      </c>
      <c r="Q665">
        <v>10051541</v>
      </c>
      <c r="R665" t="s">
        <v>57</v>
      </c>
      <c r="S665" t="s">
        <v>202</v>
      </c>
    </row>
    <row r="666" spans="3:19" x14ac:dyDescent="0.25">
      <c r="C666">
        <v>3122045</v>
      </c>
      <c r="D666" s="3" t="s">
        <v>28</v>
      </c>
      <c r="E666" s="3">
        <v>3</v>
      </c>
      <c r="F666" s="3" t="s">
        <v>29</v>
      </c>
      <c r="G666" s="3" t="s">
        <v>221</v>
      </c>
      <c r="H666" s="3">
        <v>110</v>
      </c>
      <c r="I666" s="3" t="s">
        <v>19</v>
      </c>
      <c r="J666" s="3">
        <f t="shared" si="10"/>
        <v>1.8333333333333333</v>
      </c>
      <c r="K666" s="3" t="s">
        <v>20</v>
      </c>
      <c r="L666" t="s">
        <v>67</v>
      </c>
      <c r="M666" t="s">
        <v>67</v>
      </c>
      <c r="N666" s="1">
        <v>0.54166666666666663</v>
      </c>
      <c r="O666" s="1">
        <v>0.57291666666666663</v>
      </c>
      <c r="P666" s="3">
        <v>4000112741</v>
      </c>
      <c r="Q666">
        <v>10051541</v>
      </c>
      <c r="R666" t="s">
        <v>57</v>
      </c>
      <c r="S666" t="s">
        <v>202</v>
      </c>
    </row>
    <row r="667" spans="3:19" x14ac:dyDescent="0.25">
      <c r="C667">
        <v>3134250</v>
      </c>
      <c r="D667" s="3" t="s">
        <v>28</v>
      </c>
      <c r="E667" s="3">
        <v>1</v>
      </c>
      <c r="F667" s="3" t="s">
        <v>29</v>
      </c>
      <c r="G667" s="3" t="s">
        <v>221</v>
      </c>
      <c r="H667" s="3">
        <v>50</v>
      </c>
      <c r="I667" s="3" t="s">
        <v>19</v>
      </c>
      <c r="J667" s="3">
        <f t="shared" si="10"/>
        <v>0.83333333333333337</v>
      </c>
      <c r="K667" s="3" t="s">
        <v>20</v>
      </c>
      <c r="L667" t="s">
        <v>67</v>
      </c>
      <c r="M667" t="s">
        <v>67</v>
      </c>
      <c r="N667" s="1">
        <v>0.33333333333333331</v>
      </c>
      <c r="O667" s="1">
        <v>0.36805555555555558</v>
      </c>
      <c r="P667" s="3">
        <v>4000114996</v>
      </c>
      <c r="Q667">
        <v>10049465</v>
      </c>
      <c r="R667" t="s">
        <v>57</v>
      </c>
      <c r="S667" t="s">
        <v>101</v>
      </c>
    </row>
    <row r="668" spans="3:19" x14ac:dyDescent="0.25">
      <c r="C668">
        <v>3112747</v>
      </c>
      <c r="D668" s="3" t="s">
        <v>33</v>
      </c>
      <c r="E668" s="3">
        <v>3</v>
      </c>
      <c r="F668" s="3" t="s">
        <v>18</v>
      </c>
      <c r="G668" s="3" t="s">
        <v>223</v>
      </c>
      <c r="H668" s="3">
        <v>40</v>
      </c>
      <c r="I668" s="3" t="s">
        <v>19</v>
      </c>
      <c r="J668" s="3">
        <f t="shared" si="10"/>
        <v>0.66666666666666663</v>
      </c>
      <c r="K668" s="3" t="s">
        <v>20</v>
      </c>
      <c r="L668" t="s">
        <v>51</v>
      </c>
      <c r="M668" t="s">
        <v>51</v>
      </c>
      <c r="N668" s="1">
        <v>0.70833333333333337</v>
      </c>
      <c r="O668" s="1">
        <v>0.73611111111111116</v>
      </c>
      <c r="P668" s="3">
        <v>4000108575</v>
      </c>
      <c r="Q668">
        <v>10051311</v>
      </c>
      <c r="R668" t="s">
        <v>138</v>
      </c>
      <c r="S668" t="s">
        <v>139</v>
      </c>
    </row>
    <row r="669" spans="3:19" x14ac:dyDescent="0.25">
      <c r="C669">
        <v>3112756</v>
      </c>
      <c r="D669" s="3" t="s">
        <v>33</v>
      </c>
      <c r="E669" s="3">
        <v>2</v>
      </c>
      <c r="F669" s="3" t="s">
        <v>18</v>
      </c>
      <c r="G669" s="3" t="s">
        <v>223</v>
      </c>
      <c r="H669" s="3">
        <v>1.5</v>
      </c>
      <c r="I669" s="3" t="s">
        <v>129</v>
      </c>
      <c r="J669" s="3">
        <f>H669*60</f>
        <v>90</v>
      </c>
      <c r="K669" s="3" t="s">
        <v>20</v>
      </c>
      <c r="L669" t="s">
        <v>51</v>
      </c>
      <c r="M669" t="s">
        <v>51</v>
      </c>
      <c r="N669" s="1">
        <v>0.70833333333333337</v>
      </c>
      <c r="O669" s="1">
        <v>0.72916666666666663</v>
      </c>
      <c r="P669" s="3">
        <v>4000108584</v>
      </c>
      <c r="Q669">
        <v>10051309</v>
      </c>
      <c r="R669" t="s">
        <v>138</v>
      </c>
      <c r="S669" t="s">
        <v>139</v>
      </c>
    </row>
    <row r="670" spans="3:19" x14ac:dyDescent="0.25">
      <c r="C670">
        <v>3112767</v>
      </c>
      <c r="D670" s="3" t="s">
        <v>33</v>
      </c>
      <c r="E670" s="3">
        <v>1</v>
      </c>
      <c r="F670" s="3" t="s">
        <v>18</v>
      </c>
      <c r="G670" s="3" t="s">
        <v>223</v>
      </c>
      <c r="H670" s="3">
        <v>20</v>
      </c>
      <c r="I670" s="3" t="s">
        <v>19</v>
      </c>
      <c r="J670" s="3">
        <f t="shared" si="10"/>
        <v>0.33333333333333331</v>
      </c>
      <c r="K670" s="3" t="s">
        <v>20</v>
      </c>
      <c r="L670" t="s">
        <v>51</v>
      </c>
      <c r="M670" t="s">
        <v>51</v>
      </c>
      <c r="N670" s="1">
        <v>0.69444444444444453</v>
      </c>
      <c r="O670" s="1">
        <v>0.70833333333333337</v>
      </c>
      <c r="P670" s="3">
        <v>4000108595</v>
      </c>
      <c r="Q670">
        <v>10051310</v>
      </c>
      <c r="R670" t="s">
        <v>138</v>
      </c>
      <c r="S670" t="s">
        <v>139</v>
      </c>
    </row>
    <row r="671" spans="3:19" x14ac:dyDescent="0.25">
      <c r="C671">
        <v>3134789</v>
      </c>
      <c r="D671" s="3" t="s">
        <v>25</v>
      </c>
      <c r="E671" s="3">
        <v>3</v>
      </c>
      <c r="F671" s="3" t="s">
        <v>122</v>
      </c>
      <c r="G671" s="3" t="s">
        <v>223</v>
      </c>
      <c r="H671" s="3">
        <v>2</v>
      </c>
      <c r="I671" s="3" t="s">
        <v>129</v>
      </c>
      <c r="J671" s="3">
        <f>H671*60</f>
        <v>120</v>
      </c>
      <c r="K671" s="3" t="s">
        <v>20</v>
      </c>
      <c r="L671" t="s">
        <v>51</v>
      </c>
      <c r="M671" t="s">
        <v>51</v>
      </c>
      <c r="N671" s="1">
        <v>0.45833333333333331</v>
      </c>
      <c r="O671" s="1">
        <v>0.54166666666666663</v>
      </c>
      <c r="P671" s="3">
        <v>4000115719</v>
      </c>
      <c r="Q671">
        <v>10049809</v>
      </c>
      <c r="R671" t="s">
        <v>130</v>
      </c>
      <c r="S671" t="s">
        <v>131</v>
      </c>
    </row>
    <row r="672" spans="3:19" x14ac:dyDescent="0.25">
      <c r="C672">
        <v>3122793</v>
      </c>
      <c r="D672" s="3" t="s">
        <v>17</v>
      </c>
      <c r="E672" s="3">
        <v>4</v>
      </c>
      <c r="F672" s="3" t="s">
        <v>106</v>
      </c>
      <c r="G672" s="3" t="s">
        <v>223</v>
      </c>
      <c r="H672" s="3">
        <v>40</v>
      </c>
      <c r="I672" s="3" t="s">
        <v>19</v>
      </c>
      <c r="J672" s="3">
        <f t="shared" si="10"/>
        <v>0.66666666666666663</v>
      </c>
      <c r="K672" s="3" t="s">
        <v>20</v>
      </c>
      <c r="L672" t="s">
        <v>33</v>
      </c>
      <c r="M672" t="s">
        <v>33</v>
      </c>
      <c r="N672" s="1">
        <v>0.88194444444444453</v>
      </c>
      <c r="O672" s="1">
        <v>0.90277777777777779</v>
      </c>
      <c r="P672" s="3">
        <v>4000113395</v>
      </c>
      <c r="Q672">
        <v>10051503</v>
      </c>
      <c r="R672" t="s">
        <v>53</v>
      </c>
      <c r="S672" t="s">
        <v>123</v>
      </c>
    </row>
    <row r="673" spans="3:19" x14ac:dyDescent="0.25">
      <c r="C673">
        <v>3132496</v>
      </c>
      <c r="D673" s="3" t="s">
        <v>55</v>
      </c>
      <c r="E673" s="3">
        <v>2</v>
      </c>
      <c r="F673" s="3" t="s">
        <v>106</v>
      </c>
      <c r="G673" s="3" t="s">
        <v>223</v>
      </c>
      <c r="H673" s="3">
        <v>0</v>
      </c>
      <c r="I673" s="3" t="s">
        <v>19</v>
      </c>
      <c r="J673" s="3">
        <f t="shared" si="10"/>
        <v>0</v>
      </c>
      <c r="K673" s="3" t="s">
        <v>20</v>
      </c>
      <c r="L673" t="s">
        <v>33</v>
      </c>
      <c r="M673" t="s">
        <v>33</v>
      </c>
      <c r="N673" s="1">
        <v>0.83333333333333337</v>
      </c>
      <c r="O673" s="1">
        <v>0.85416666666666663</v>
      </c>
      <c r="P673" s="3">
        <v>4000114053</v>
      </c>
      <c r="Q673">
        <v>10051738</v>
      </c>
      <c r="R673" t="s">
        <v>58</v>
      </c>
      <c r="S673" t="s">
        <v>185</v>
      </c>
    </row>
    <row r="674" spans="3:19" x14ac:dyDescent="0.25">
      <c r="C674">
        <v>3137637</v>
      </c>
      <c r="D674" s="3" t="s">
        <v>28</v>
      </c>
      <c r="E674" s="3">
        <v>2</v>
      </c>
      <c r="F674" s="3" t="s">
        <v>106</v>
      </c>
      <c r="G674" s="3" t="s">
        <v>223</v>
      </c>
      <c r="H674" s="3">
        <v>30</v>
      </c>
      <c r="I674" s="3" t="s">
        <v>19</v>
      </c>
      <c r="J674" s="3">
        <f t="shared" si="10"/>
        <v>0.5</v>
      </c>
      <c r="K674" s="3" t="s">
        <v>20</v>
      </c>
      <c r="L674" t="s">
        <v>118</v>
      </c>
      <c r="M674" t="s">
        <v>118</v>
      </c>
      <c r="N674" s="1">
        <v>0.70833333333333337</v>
      </c>
      <c r="O674" s="1">
        <v>0.72916666666666663</v>
      </c>
      <c r="P674" s="3">
        <v>4000116070</v>
      </c>
      <c r="Q674">
        <v>10051738</v>
      </c>
      <c r="R674" t="s">
        <v>58</v>
      </c>
      <c r="S674" t="s">
        <v>96</v>
      </c>
    </row>
    <row r="675" spans="3:19" x14ac:dyDescent="0.25">
      <c r="C675">
        <v>3134254</v>
      </c>
      <c r="D675" s="3" t="s">
        <v>28</v>
      </c>
      <c r="E675" s="3">
        <v>2</v>
      </c>
      <c r="F675" s="3" t="s">
        <v>106</v>
      </c>
      <c r="G675" s="3" t="s">
        <v>223</v>
      </c>
      <c r="H675" s="3">
        <v>20</v>
      </c>
      <c r="I675" s="3" t="s">
        <v>19</v>
      </c>
      <c r="J675" s="3">
        <f t="shared" si="10"/>
        <v>0.33333333333333331</v>
      </c>
      <c r="K675" s="3" t="s">
        <v>20</v>
      </c>
      <c r="L675" t="s">
        <v>67</v>
      </c>
      <c r="M675" t="s">
        <v>67</v>
      </c>
      <c r="N675" s="1">
        <v>0.47222222222222227</v>
      </c>
      <c r="O675" s="1">
        <v>0.4861111111111111</v>
      </c>
      <c r="P675" s="3">
        <v>4000115000</v>
      </c>
      <c r="Q675">
        <v>10051503</v>
      </c>
      <c r="R675" t="s">
        <v>53</v>
      </c>
      <c r="S675" t="s">
        <v>143</v>
      </c>
    </row>
    <row r="676" spans="3:19" x14ac:dyDescent="0.25">
      <c r="C676">
        <v>3119992</v>
      </c>
      <c r="D676" s="3" t="s">
        <v>33</v>
      </c>
      <c r="E676" s="3">
        <v>1</v>
      </c>
      <c r="F676" s="3" t="s">
        <v>29</v>
      </c>
      <c r="G676" s="3" t="s">
        <v>223</v>
      </c>
      <c r="H676" s="3">
        <v>10</v>
      </c>
      <c r="I676" s="3" t="s">
        <v>19</v>
      </c>
      <c r="J676" s="3">
        <f t="shared" si="10"/>
        <v>0.16666666666666666</v>
      </c>
      <c r="K676" s="3" t="s">
        <v>20</v>
      </c>
      <c r="L676" t="s">
        <v>30</v>
      </c>
      <c r="M676" t="s">
        <v>30</v>
      </c>
      <c r="N676" s="1">
        <v>0.40972222222222227</v>
      </c>
      <c r="O676" s="1">
        <v>0.41666666666666669</v>
      </c>
      <c r="P676" s="3">
        <v>4000112063</v>
      </c>
      <c r="Q676">
        <v>10049399</v>
      </c>
      <c r="R676" t="s">
        <v>53</v>
      </c>
      <c r="S676" t="s">
        <v>146</v>
      </c>
    </row>
    <row r="677" spans="3:19" x14ac:dyDescent="0.25">
      <c r="C677">
        <v>3112661</v>
      </c>
      <c r="D677" s="3" t="s">
        <v>22</v>
      </c>
      <c r="E677" s="3">
        <v>1</v>
      </c>
      <c r="F677" s="3" t="s">
        <v>29</v>
      </c>
      <c r="G677" s="3" t="s">
        <v>223</v>
      </c>
      <c r="H677" s="3">
        <v>120</v>
      </c>
      <c r="I677" s="3" t="s">
        <v>19</v>
      </c>
      <c r="J677" s="3">
        <f t="shared" si="10"/>
        <v>2</v>
      </c>
      <c r="K677" s="3" t="s">
        <v>20</v>
      </c>
      <c r="L677" t="s">
        <v>24</v>
      </c>
      <c r="M677" t="s">
        <v>24</v>
      </c>
      <c r="N677" s="1">
        <v>0.625</v>
      </c>
      <c r="O677" s="1">
        <v>0.70833333333333337</v>
      </c>
      <c r="P677" s="3">
        <v>4000108490</v>
      </c>
      <c r="Q677">
        <v>10051386</v>
      </c>
      <c r="R677" t="s">
        <v>36</v>
      </c>
      <c r="S677" t="s">
        <v>135</v>
      </c>
    </row>
    <row r="678" spans="3:19" x14ac:dyDescent="0.25">
      <c r="C678">
        <v>3119954</v>
      </c>
      <c r="D678" s="3" t="s">
        <v>22</v>
      </c>
      <c r="E678" s="3">
        <v>1</v>
      </c>
      <c r="F678" s="3" t="s">
        <v>29</v>
      </c>
      <c r="G678" s="3" t="s">
        <v>223</v>
      </c>
      <c r="H678" s="3">
        <v>30</v>
      </c>
      <c r="I678" s="3" t="s">
        <v>19</v>
      </c>
      <c r="J678" s="3">
        <f t="shared" si="10"/>
        <v>0.5</v>
      </c>
      <c r="K678" s="3" t="s">
        <v>20</v>
      </c>
      <c r="L678" t="s">
        <v>24</v>
      </c>
      <c r="M678" t="s">
        <v>24</v>
      </c>
      <c r="N678" s="1">
        <v>0.41666666666666669</v>
      </c>
      <c r="O678" s="1">
        <v>0.43055555555555558</v>
      </c>
      <c r="P678" s="3">
        <v>4000112028</v>
      </c>
      <c r="Q678">
        <v>10051386</v>
      </c>
      <c r="R678" t="s">
        <v>36</v>
      </c>
      <c r="S678" t="s">
        <v>185</v>
      </c>
    </row>
    <row r="679" spans="3:19" x14ac:dyDescent="0.25">
      <c r="C679">
        <v>3120241</v>
      </c>
      <c r="D679" s="3" t="s">
        <v>22</v>
      </c>
      <c r="E679" s="3">
        <v>5</v>
      </c>
      <c r="F679" s="3" t="s">
        <v>29</v>
      </c>
      <c r="G679" s="3" t="s">
        <v>223</v>
      </c>
      <c r="H679" s="3">
        <v>240</v>
      </c>
      <c r="I679" s="3" t="s">
        <v>19</v>
      </c>
      <c r="J679" s="3">
        <f t="shared" si="10"/>
        <v>4</v>
      </c>
      <c r="K679" s="3" t="s">
        <v>20</v>
      </c>
      <c r="L679" t="s">
        <v>24</v>
      </c>
      <c r="M679" t="s">
        <v>24</v>
      </c>
      <c r="N679" s="1">
        <v>0.375</v>
      </c>
      <c r="O679" s="1">
        <v>0.5</v>
      </c>
      <c r="P679" s="3">
        <v>4000112108</v>
      </c>
      <c r="Q679">
        <v>10051396</v>
      </c>
      <c r="R679" t="s">
        <v>36</v>
      </c>
      <c r="S679" t="s">
        <v>198</v>
      </c>
    </row>
    <row r="680" spans="3:19" x14ac:dyDescent="0.25">
      <c r="C680">
        <v>3122005</v>
      </c>
      <c r="D680" s="3" t="s">
        <v>22</v>
      </c>
      <c r="E680" s="3">
        <v>6</v>
      </c>
      <c r="F680" s="3" t="s">
        <v>29</v>
      </c>
      <c r="G680" s="3" t="s">
        <v>223</v>
      </c>
      <c r="H680" s="3">
        <v>20</v>
      </c>
      <c r="I680" s="3" t="s">
        <v>19</v>
      </c>
      <c r="J680" s="3">
        <f t="shared" si="10"/>
        <v>0.33333333333333331</v>
      </c>
      <c r="K680" s="3" t="s">
        <v>20</v>
      </c>
      <c r="L680" t="s">
        <v>24</v>
      </c>
      <c r="M680" t="s">
        <v>24</v>
      </c>
      <c r="N680" s="1">
        <v>0.84722222222222221</v>
      </c>
      <c r="O680" s="1">
        <v>0.86111111111111116</v>
      </c>
      <c r="P680" s="3">
        <v>4000112702</v>
      </c>
      <c r="Q680">
        <v>10049427</v>
      </c>
      <c r="R680" t="s">
        <v>53</v>
      </c>
      <c r="S680" t="s">
        <v>147</v>
      </c>
    </row>
    <row r="681" spans="3:19" x14ac:dyDescent="0.25">
      <c r="C681">
        <v>3122737</v>
      </c>
      <c r="D681" s="3" t="s">
        <v>22</v>
      </c>
      <c r="E681" s="3">
        <v>1</v>
      </c>
      <c r="F681" s="3" t="s">
        <v>29</v>
      </c>
      <c r="G681" s="3" t="s">
        <v>223</v>
      </c>
      <c r="H681" s="3">
        <v>30</v>
      </c>
      <c r="I681" s="3" t="s">
        <v>19</v>
      </c>
      <c r="J681" s="3">
        <f t="shared" si="10"/>
        <v>0.5</v>
      </c>
      <c r="K681" s="3" t="s">
        <v>20</v>
      </c>
      <c r="L681" t="s">
        <v>24</v>
      </c>
      <c r="M681" t="s">
        <v>24</v>
      </c>
      <c r="N681" s="1">
        <v>0.70833333333333337</v>
      </c>
      <c r="O681" s="1">
        <v>0.72916666666666663</v>
      </c>
      <c r="P681" s="3">
        <v>4000113342</v>
      </c>
      <c r="Q681">
        <v>10051386</v>
      </c>
      <c r="R681" t="s">
        <v>36</v>
      </c>
      <c r="S681" t="s">
        <v>185</v>
      </c>
    </row>
    <row r="682" spans="3:19" x14ac:dyDescent="0.25">
      <c r="C682">
        <v>3122800</v>
      </c>
      <c r="D682" s="3" t="s">
        <v>22</v>
      </c>
      <c r="E682" s="3">
        <v>1</v>
      </c>
      <c r="F682" s="3" t="s">
        <v>29</v>
      </c>
      <c r="G682" s="3" t="s">
        <v>223</v>
      </c>
      <c r="H682" s="3">
        <v>30</v>
      </c>
      <c r="I682" s="3" t="s">
        <v>19</v>
      </c>
      <c r="J682" s="3">
        <f t="shared" si="10"/>
        <v>0.5</v>
      </c>
      <c r="K682" s="3" t="s">
        <v>20</v>
      </c>
      <c r="L682" t="s">
        <v>24</v>
      </c>
      <c r="M682" t="s">
        <v>24</v>
      </c>
      <c r="N682" s="1">
        <v>0.72916666666666663</v>
      </c>
      <c r="O682" s="1">
        <v>0.75</v>
      </c>
      <c r="P682" s="3">
        <v>4000113402</v>
      </c>
      <c r="Q682">
        <v>10051778</v>
      </c>
      <c r="R682" t="s">
        <v>36</v>
      </c>
      <c r="S682" t="s">
        <v>86</v>
      </c>
    </row>
    <row r="683" spans="3:19" x14ac:dyDescent="0.25">
      <c r="C683">
        <v>3120192</v>
      </c>
      <c r="D683" s="3" t="s">
        <v>17</v>
      </c>
      <c r="E683" s="3">
        <v>2</v>
      </c>
      <c r="F683" s="3" t="s">
        <v>29</v>
      </c>
      <c r="G683" s="3" t="s">
        <v>223</v>
      </c>
      <c r="H683" s="3">
        <v>30</v>
      </c>
      <c r="I683" s="3" t="s">
        <v>19</v>
      </c>
      <c r="J683" s="3">
        <f t="shared" si="10"/>
        <v>0.5</v>
      </c>
      <c r="K683" s="3" t="s">
        <v>20</v>
      </c>
      <c r="L683" t="s">
        <v>33</v>
      </c>
      <c r="M683" t="s">
        <v>33</v>
      </c>
      <c r="N683" s="1">
        <v>0.83333333333333337</v>
      </c>
      <c r="O683" s="1">
        <v>0.85416666666666663</v>
      </c>
      <c r="P683" s="3">
        <v>4000112669</v>
      </c>
      <c r="Q683">
        <v>10051488</v>
      </c>
      <c r="R683" t="s">
        <v>53</v>
      </c>
      <c r="S683" t="s">
        <v>133</v>
      </c>
    </row>
    <row r="684" spans="3:19" x14ac:dyDescent="0.25">
      <c r="C684">
        <v>3120198</v>
      </c>
      <c r="D684" s="3" t="s">
        <v>17</v>
      </c>
      <c r="E684" s="3">
        <v>2</v>
      </c>
      <c r="F684" s="3" t="s">
        <v>29</v>
      </c>
      <c r="G684" s="3" t="s">
        <v>223</v>
      </c>
      <c r="H684" s="3">
        <v>20</v>
      </c>
      <c r="I684" s="3" t="s">
        <v>19</v>
      </c>
      <c r="J684" s="3">
        <f t="shared" si="10"/>
        <v>0.33333333333333331</v>
      </c>
      <c r="K684" s="3" t="s">
        <v>20</v>
      </c>
      <c r="L684" t="s">
        <v>33</v>
      </c>
      <c r="M684" t="s">
        <v>33</v>
      </c>
      <c r="N684" s="1">
        <v>0.81944444444444453</v>
      </c>
      <c r="O684" s="1">
        <v>0.83333333333333337</v>
      </c>
      <c r="P684" s="3">
        <v>4000112675</v>
      </c>
      <c r="Q684">
        <v>10051481</v>
      </c>
      <c r="R684" t="s">
        <v>53</v>
      </c>
      <c r="S684" t="s">
        <v>133</v>
      </c>
    </row>
    <row r="685" spans="3:19" x14ac:dyDescent="0.25">
      <c r="C685">
        <v>3122005</v>
      </c>
      <c r="D685" s="3" t="s">
        <v>17</v>
      </c>
      <c r="E685" s="3">
        <v>2</v>
      </c>
      <c r="F685" s="3" t="s">
        <v>29</v>
      </c>
      <c r="G685" s="3" t="s">
        <v>223</v>
      </c>
      <c r="H685" s="3">
        <v>25</v>
      </c>
      <c r="I685" s="3" t="s">
        <v>19</v>
      </c>
      <c r="J685" s="3">
        <f t="shared" si="10"/>
        <v>0.41666666666666669</v>
      </c>
      <c r="K685" s="3" t="s">
        <v>20</v>
      </c>
      <c r="L685" t="s">
        <v>33</v>
      </c>
      <c r="M685" t="s">
        <v>33</v>
      </c>
      <c r="N685" s="1">
        <v>0.85416666666666663</v>
      </c>
      <c r="O685" s="1">
        <v>0.86458333333333337</v>
      </c>
      <c r="P685" s="3">
        <v>4000112702</v>
      </c>
      <c r="Q685">
        <v>10049427</v>
      </c>
      <c r="R685" t="s">
        <v>53</v>
      </c>
      <c r="S685" t="s">
        <v>123</v>
      </c>
    </row>
    <row r="686" spans="3:19" x14ac:dyDescent="0.25">
      <c r="C686">
        <v>3122787</v>
      </c>
      <c r="D686" s="3" t="s">
        <v>17</v>
      </c>
      <c r="E686" s="3">
        <v>2</v>
      </c>
      <c r="F686" s="3" t="s">
        <v>29</v>
      </c>
      <c r="G686" s="3" t="s">
        <v>223</v>
      </c>
      <c r="H686" s="3">
        <v>10</v>
      </c>
      <c r="I686" s="3" t="s">
        <v>19</v>
      </c>
      <c r="J686" s="3">
        <f t="shared" si="10"/>
        <v>0.16666666666666666</v>
      </c>
      <c r="K686" s="3" t="s">
        <v>20</v>
      </c>
      <c r="L686" t="s">
        <v>33</v>
      </c>
      <c r="M686" t="s">
        <v>33</v>
      </c>
      <c r="N686" s="1">
        <v>0.875</v>
      </c>
      <c r="O686" s="1">
        <v>0.90972222222222221</v>
      </c>
      <c r="P686" s="3">
        <v>4000113389</v>
      </c>
      <c r="Q686">
        <v>10051493</v>
      </c>
      <c r="R686" t="s">
        <v>53</v>
      </c>
      <c r="S686" t="s">
        <v>123</v>
      </c>
    </row>
    <row r="687" spans="3:19" x14ac:dyDescent="0.25">
      <c r="C687">
        <v>3132488</v>
      </c>
      <c r="D687" s="3" t="s">
        <v>55</v>
      </c>
      <c r="E687" s="3">
        <v>2</v>
      </c>
      <c r="F687" s="3" t="s">
        <v>29</v>
      </c>
      <c r="G687" s="3" t="s">
        <v>223</v>
      </c>
      <c r="H687" s="3">
        <v>30</v>
      </c>
      <c r="I687" s="3" t="s">
        <v>19</v>
      </c>
      <c r="J687" s="3">
        <f t="shared" si="10"/>
        <v>0.5</v>
      </c>
      <c r="K687" s="3" t="s">
        <v>20</v>
      </c>
      <c r="L687" t="s">
        <v>33</v>
      </c>
      <c r="M687" t="s">
        <v>33</v>
      </c>
      <c r="N687" s="1">
        <v>0.85416666666666663</v>
      </c>
      <c r="O687" s="1">
        <v>0.875</v>
      </c>
      <c r="P687" s="3">
        <v>4000114046</v>
      </c>
      <c r="Q687">
        <v>10051555</v>
      </c>
      <c r="R687" t="s">
        <v>57</v>
      </c>
      <c r="S687" t="s">
        <v>185</v>
      </c>
    </row>
    <row r="688" spans="3:19" x14ac:dyDescent="0.25">
      <c r="C688">
        <v>3132479</v>
      </c>
      <c r="D688" s="3" t="s">
        <v>22</v>
      </c>
      <c r="E688" s="3">
        <v>3</v>
      </c>
      <c r="F688" s="3" t="s">
        <v>29</v>
      </c>
      <c r="G688" s="3" t="s">
        <v>223</v>
      </c>
      <c r="H688" s="3">
        <v>10</v>
      </c>
      <c r="I688" s="3" t="s">
        <v>19</v>
      </c>
      <c r="J688" s="3">
        <f t="shared" si="10"/>
        <v>0.16666666666666666</v>
      </c>
      <c r="K688" s="3" t="s">
        <v>20</v>
      </c>
      <c r="L688" t="s">
        <v>55</v>
      </c>
      <c r="M688" t="s">
        <v>55</v>
      </c>
      <c r="N688" s="1">
        <v>0.83333333333333337</v>
      </c>
      <c r="O688" s="1">
        <v>0.84027777777777779</v>
      </c>
      <c r="P688" s="3">
        <v>4000114017</v>
      </c>
      <c r="Q688">
        <v>10049436</v>
      </c>
      <c r="R688" t="s">
        <v>53</v>
      </c>
      <c r="S688" t="s">
        <v>148</v>
      </c>
    </row>
    <row r="689" spans="3:19" x14ac:dyDescent="0.25">
      <c r="C689">
        <v>3132480</v>
      </c>
      <c r="D689" s="3" t="s">
        <v>22</v>
      </c>
      <c r="E689" s="3">
        <v>3</v>
      </c>
      <c r="F689" s="3" t="s">
        <v>29</v>
      </c>
      <c r="G689" s="3" t="s">
        <v>223</v>
      </c>
      <c r="H689" s="3">
        <v>10</v>
      </c>
      <c r="I689" s="3" t="s">
        <v>19</v>
      </c>
      <c r="J689" s="3">
        <f t="shared" si="10"/>
        <v>0.16666666666666666</v>
      </c>
      <c r="K689" s="3" t="s">
        <v>20</v>
      </c>
      <c r="L689" t="s">
        <v>55</v>
      </c>
      <c r="M689" t="s">
        <v>55</v>
      </c>
      <c r="N689" s="1">
        <v>0.82638888888888884</v>
      </c>
      <c r="O689" s="1">
        <v>0.83333333333333337</v>
      </c>
      <c r="P689" s="3">
        <v>4000114018</v>
      </c>
      <c r="Q689">
        <v>10049436</v>
      </c>
      <c r="R689" t="s">
        <v>53</v>
      </c>
      <c r="S689" t="s">
        <v>86</v>
      </c>
    </row>
    <row r="690" spans="3:19" x14ac:dyDescent="0.25">
      <c r="C690">
        <v>3132486</v>
      </c>
      <c r="D690" s="3" t="s">
        <v>22</v>
      </c>
      <c r="E690" s="3">
        <v>2</v>
      </c>
      <c r="F690" s="3" t="s">
        <v>29</v>
      </c>
      <c r="G690" s="3" t="s">
        <v>223</v>
      </c>
      <c r="H690" s="3">
        <v>10</v>
      </c>
      <c r="I690" s="3" t="s">
        <v>19</v>
      </c>
      <c r="J690" s="3">
        <f t="shared" si="10"/>
        <v>0.16666666666666666</v>
      </c>
      <c r="K690" s="3" t="s">
        <v>20</v>
      </c>
      <c r="L690" t="s">
        <v>55</v>
      </c>
      <c r="M690" t="s">
        <v>55</v>
      </c>
      <c r="N690" s="1">
        <v>0.84027777777777779</v>
      </c>
      <c r="O690" s="1">
        <v>0.84722222222222221</v>
      </c>
      <c r="P690" s="3">
        <v>4000114044</v>
      </c>
      <c r="Q690">
        <v>10049436</v>
      </c>
      <c r="R690" t="s">
        <v>53</v>
      </c>
      <c r="S690" t="s">
        <v>149</v>
      </c>
    </row>
    <row r="691" spans="3:19" x14ac:dyDescent="0.25">
      <c r="C691">
        <v>3120256</v>
      </c>
      <c r="D691" s="3" t="s">
        <v>22</v>
      </c>
      <c r="E691" s="3">
        <v>3</v>
      </c>
      <c r="F691" s="3" t="s">
        <v>29</v>
      </c>
      <c r="G691" s="3" t="s">
        <v>223</v>
      </c>
      <c r="H691" s="3">
        <v>20</v>
      </c>
      <c r="I691" s="3" t="s">
        <v>19</v>
      </c>
      <c r="J691" s="3">
        <f t="shared" si="10"/>
        <v>0.33333333333333331</v>
      </c>
      <c r="K691" s="3" t="s">
        <v>20</v>
      </c>
      <c r="L691" t="s">
        <v>25</v>
      </c>
      <c r="M691" t="s">
        <v>25</v>
      </c>
      <c r="N691" s="1">
        <v>0.86111111111111116</v>
      </c>
      <c r="O691" s="1">
        <v>0.875</v>
      </c>
      <c r="P691" s="3">
        <v>4000112123</v>
      </c>
      <c r="Q691">
        <v>10049540</v>
      </c>
      <c r="R691" t="s">
        <v>58</v>
      </c>
      <c r="S691" t="s">
        <v>86</v>
      </c>
    </row>
    <row r="692" spans="3:19" x14ac:dyDescent="0.25">
      <c r="C692">
        <v>3120257</v>
      </c>
      <c r="D692" s="3" t="s">
        <v>22</v>
      </c>
      <c r="E692" s="3">
        <v>2</v>
      </c>
      <c r="F692" s="3" t="s">
        <v>29</v>
      </c>
      <c r="G692" s="3" t="s">
        <v>223</v>
      </c>
      <c r="H692" s="3">
        <v>15</v>
      </c>
      <c r="I692" s="3" t="s">
        <v>19</v>
      </c>
      <c r="J692" s="3">
        <f t="shared" si="10"/>
        <v>0.25</v>
      </c>
      <c r="K692" s="3" t="s">
        <v>20</v>
      </c>
      <c r="L692" t="s">
        <v>25</v>
      </c>
      <c r="M692" t="s">
        <v>25</v>
      </c>
      <c r="N692" s="1">
        <v>0.84722222222222221</v>
      </c>
      <c r="O692" s="1">
        <v>0.85763888888888884</v>
      </c>
      <c r="P692" s="3">
        <v>4000112124</v>
      </c>
      <c r="Q692">
        <v>10049549</v>
      </c>
      <c r="R692" t="s">
        <v>58</v>
      </c>
      <c r="S692" t="s">
        <v>86</v>
      </c>
    </row>
    <row r="693" spans="3:19" x14ac:dyDescent="0.25">
      <c r="C693">
        <v>3132709</v>
      </c>
      <c r="D693" s="3" t="s">
        <v>22</v>
      </c>
      <c r="E693" s="3">
        <v>3</v>
      </c>
      <c r="F693" s="3" t="s">
        <v>29</v>
      </c>
      <c r="G693" s="3" t="s">
        <v>223</v>
      </c>
      <c r="H693" s="3">
        <v>10</v>
      </c>
      <c r="I693" s="3" t="s">
        <v>19</v>
      </c>
      <c r="J693" s="3">
        <f t="shared" si="10"/>
        <v>0.16666666666666666</v>
      </c>
      <c r="K693" s="3" t="s">
        <v>20</v>
      </c>
      <c r="L693" t="s">
        <v>25</v>
      </c>
      <c r="M693" t="s">
        <v>25</v>
      </c>
      <c r="N693" s="1">
        <v>0.84722222222222221</v>
      </c>
      <c r="O693" s="1">
        <v>0.85416666666666663</v>
      </c>
      <c r="P693" s="3">
        <v>4000114066</v>
      </c>
      <c r="Q693">
        <v>10049540</v>
      </c>
      <c r="R693" t="s">
        <v>58</v>
      </c>
      <c r="S693" t="s">
        <v>91</v>
      </c>
    </row>
    <row r="694" spans="3:19" x14ac:dyDescent="0.25">
      <c r="C694">
        <v>3132716</v>
      </c>
      <c r="D694" s="3" t="s">
        <v>22</v>
      </c>
      <c r="E694" s="3">
        <v>3</v>
      </c>
      <c r="F694" s="3" t="s">
        <v>29</v>
      </c>
      <c r="G694" s="3" t="s">
        <v>223</v>
      </c>
      <c r="H694" s="3">
        <v>30</v>
      </c>
      <c r="I694" s="3" t="s">
        <v>19</v>
      </c>
      <c r="J694" s="3">
        <f t="shared" si="10"/>
        <v>0.5</v>
      </c>
      <c r="K694" s="3" t="s">
        <v>20</v>
      </c>
      <c r="L694" t="s">
        <v>25</v>
      </c>
      <c r="M694" t="s">
        <v>25</v>
      </c>
      <c r="N694" s="1">
        <v>0.83333333333333337</v>
      </c>
      <c r="O694" s="1">
        <v>0.85416666666666663</v>
      </c>
      <c r="P694" s="3">
        <v>4000114073</v>
      </c>
      <c r="Q694">
        <v>10051704</v>
      </c>
      <c r="R694" t="s">
        <v>58</v>
      </c>
      <c r="S694" t="s">
        <v>92</v>
      </c>
    </row>
    <row r="695" spans="3:19" x14ac:dyDescent="0.25">
      <c r="C695">
        <v>3132717</v>
      </c>
      <c r="D695" s="3" t="s">
        <v>22</v>
      </c>
      <c r="E695" s="3">
        <v>3</v>
      </c>
      <c r="F695" s="3" t="s">
        <v>29</v>
      </c>
      <c r="G695" s="3" t="s">
        <v>223</v>
      </c>
      <c r="H695" s="3">
        <v>30</v>
      </c>
      <c r="I695" s="3" t="s">
        <v>19</v>
      </c>
      <c r="J695" s="3">
        <f t="shared" si="10"/>
        <v>0.5</v>
      </c>
      <c r="K695" s="3" t="s">
        <v>20</v>
      </c>
      <c r="L695" t="s">
        <v>25</v>
      </c>
      <c r="M695" t="s">
        <v>25</v>
      </c>
      <c r="N695" s="1">
        <v>0.83333333333333337</v>
      </c>
      <c r="O695" s="1">
        <v>0.85416666666666663</v>
      </c>
      <c r="P695" s="3">
        <v>4000114074</v>
      </c>
      <c r="Q695">
        <v>10051704</v>
      </c>
      <c r="R695" t="s">
        <v>58</v>
      </c>
      <c r="S695" t="s">
        <v>86</v>
      </c>
    </row>
    <row r="696" spans="3:19" x14ac:dyDescent="0.25">
      <c r="C696">
        <v>3134276</v>
      </c>
      <c r="D696" s="3" t="s">
        <v>22</v>
      </c>
      <c r="E696" s="3">
        <v>3</v>
      </c>
      <c r="F696" s="3" t="s">
        <v>29</v>
      </c>
      <c r="G696" s="3" t="s">
        <v>223</v>
      </c>
      <c r="H696" s="3">
        <v>20</v>
      </c>
      <c r="I696" s="3" t="s">
        <v>19</v>
      </c>
      <c r="J696" s="3">
        <f t="shared" si="10"/>
        <v>0.33333333333333331</v>
      </c>
      <c r="K696" s="3" t="s">
        <v>20</v>
      </c>
      <c r="L696" t="s">
        <v>25</v>
      </c>
      <c r="M696" t="s">
        <v>25</v>
      </c>
      <c r="N696" s="1">
        <v>0.875</v>
      </c>
      <c r="O696" s="1">
        <v>0.88888888888888884</v>
      </c>
      <c r="P696" s="3">
        <v>4000115022</v>
      </c>
      <c r="Q696">
        <v>10049578</v>
      </c>
      <c r="R696" t="s">
        <v>58</v>
      </c>
      <c r="S696" t="s">
        <v>86</v>
      </c>
    </row>
    <row r="697" spans="3:19" x14ac:dyDescent="0.25">
      <c r="C697">
        <v>3134299</v>
      </c>
      <c r="D697" s="3" t="s">
        <v>22</v>
      </c>
      <c r="E697" s="3">
        <v>3</v>
      </c>
      <c r="F697" s="3" t="s">
        <v>29</v>
      </c>
      <c r="G697" s="3" t="s">
        <v>223</v>
      </c>
      <c r="H697" s="3">
        <v>20</v>
      </c>
      <c r="I697" s="3" t="s">
        <v>19</v>
      </c>
      <c r="J697" s="3">
        <f t="shared" si="10"/>
        <v>0.33333333333333331</v>
      </c>
      <c r="K697" s="3" t="s">
        <v>20</v>
      </c>
      <c r="L697" t="s">
        <v>25</v>
      </c>
      <c r="M697" t="s">
        <v>25</v>
      </c>
      <c r="N697" s="1">
        <v>0.88888888888888884</v>
      </c>
      <c r="O697" s="1">
        <v>0.90277777777777779</v>
      </c>
      <c r="P697" s="3">
        <v>4000115045</v>
      </c>
      <c r="Q697">
        <v>10049565</v>
      </c>
      <c r="R697" t="s">
        <v>58</v>
      </c>
      <c r="S697" t="s">
        <v>86</v>
      </c>
    </row>
    <row r="698" spans="3:19" x14ac:dyDescent="0.25">
      <c r="C698">
        <v>3134300</v>
      </c>
      <c r="D698" s="3" t="s">
        <v>22</v>
      </c>
      <c r="E698" s="3">
        <v>2</v>
      </c>
      <c r="F698" s="3" t="s">
        <v>29</v>
      </c>
      <c r="G698" s="3" t="s">
        <v>223</v>
      </c>
      <c r="H698" s="3">
        <v>10</v>
      </c>
      <c r="I698" s="3" t="s">
        <v>19</v>
      </c>
      <c r="J698" s="3">
        <f t="shared" si="10"/>
        <v>0.16666666666666666</v>
      </c>
      <c r="K698" s="3" t="s">
        <v>20</v>
      </c>
      <c r="L698" t="s">
        <v>25</v>
      </c>
      <c r="M698" t="s">
        <v>25</v>
      </c>
      <c r="N698" s="1">
        <v>0.88194444444444453</v>
      </c>
      <c r="O698" s="1">
        <v>0.88888888888888884</v>
      </c>
      <c r="P698" s="3">
        <v>4000115046</v>
      </c>
      <c r="Q698">
        <v>10049540</v>
      </c>
      <c r="R698" t="s">
        <v>58</v>
      </c>
      <c r="S698" t="s">
        <v>93</v>
      </c>
    </row>
    <row r="699" spans="3:19" x14ac:dyDescent="0.25">
      <c r="C699">
        <v>3134305</v>
      </c>
      <c r="D699" s="3" t="s">
        <v>22</v>
      </c>
      <c r="E699" s="3">
        <v>1</v>
      </c>
      <c r="F699" s="3" t="s">
        <v>29</v>
      </c>
      <c r="G699" s="3" t="s">
        <v>223</v>
      </c>
      <c r="H699" s="3">
        <v>25</v>
      </c>
      <c r="I699" s="3" t="s">
        <v>19</v>
      </c>
      <c r="J699" s="3">
        <f t="shared" ref="J699:J709" si="11">H699/60</f>
        <v>0.41666666666666669</v>
      </c>
      <c r="K699" s="3" t="s">
        <v>20</v>
      </c>
      <c r="L699" t="s">
        <v>25</v>
      </c>
      <c r="M699" t="s">
        <v>25</v>
      </c>
      <c r="N699" s="1">
        <v>0.85763888888888884</v>
      </c>
      <c r="O699" s="1">
        <v>0.875</v>
      </c>
      <c r="P699" s="3">
        <v>4000115051</v>
      </c>
      <c r="Q699">
        <v>10051174</v>
      </c>
      <c r="R699" t="s">
        <v>58</v>
      </c>
      <c r="S699" t="s">
        <v>86</v>
      </c>
    </row>
    <row r="700" spans="3:19" x14ac:dyDescent="0.25">
      <c r="C700">
        <v>3134306</v>
      </c>
      <c r="D700" s="3" t="s">
        <v>22</v>
      </c>
      <c r="E700" s="3">
        <v>2</v>
      </c>
      <c r="F700" s="3" t="s">
        <v>29</v>
      </c>
      <c r="G700" s="3" t="s">
        <v>223</v>
      </c>
      <c r="H700" s="3">
        <v>10</v>
      </c>
      <c r="I700" s="3" t="s">
        <v>19</v>
      </c>
      <c r="J700" s="3">
        <f t="shared" si="11"/>
        <v>0.16666666666666666</v>
      </c>
      <c r="K700" s="3" t="s">
        <v>20</v>
      </c>
      <c r="L700" t="s">
        <v>25</v>
      </c>
      <c r="M700" t="s">
        <v>25</v>
      </c>
      <c r="N700" s="1">
        <v>0.84027777777777779</v>
      </c>
      <c r="O700" s="1">
        <v>0.84722222222222221</v>
      </c>
      <c r="P700" s="3">
        <v>4000115052</v>
      </c>
      <c r="Q700">
        <v>10051704</v>
      </c>
      <c r="R700" t="s">
        <v>58</v>
      </c>
      <c r="S700" t="s">
        <v>94</v>
      </c>
    </row>
    <row r="701" spans="3:19" x14ac:dyDescent="0.25">
      <c r="C701">
        <v>3134307</v>
      </c>
      <c r="D701" s="3" t="s">
        <v>22</v>
      </c>
      <c r="E701" s="3">
        <v>3</v>
      </c>
      <c r="F701" s="3" t="s">
        <v>29</v>
      </c>
      <c r="G701" s="3" t="s">
        <v>223</v>
      </c>
      <c r="H701" s="3">
        <v>20</v>
      </c>
      <c r="I701" s="3" t="s">
        <v>19</v>
      </c>
      <c r="J701" s="3">
        <f t="shared" si="11"/>
        <v>0.33333333333333331</v>
      </c>
      <c r="K701" s="3" t="s">
        <v>20</v>
      </c>
      <c r="L701" t="s">
        <v>25</v>
      </c>
      <c r="M701" t="s">
        <v>25</v>
      </c>
      <c r="N701" s="1">
        <v>0.875</v>
      </c>
      <c r="O701" s="1">
        <v>0.88888888888888884</v>
      </c>
      <c r="P701" s="3">
        <v>4000115053</v>
      </c>
      <c r="Q701">
        <v>10049549</v>
      </c>
      <c r="R701" t="s">
        <v>58</v>
      </c>
      <c r="S701" t="s">
        <v>94</v>
      </c>
    </row>
    <row r="702" spans="3:19" x14ac:dyDescent="0.25">
      <c r="C702">
        <v>3134310</v>
      </c>
      <c r="D702" s="3" t="s">
        <v>22</v>
      </c>
      <c r="E702" s="3">
        <v>2</v>
      </c>
      <c r="F702" s="3" t="s">
        <v>29</v>
      </c>
      <c r="G702" s="3" t="s">
        <v>223</v>
      </c>
      <c r="H702" s="3">
        <v>10</v>
      </c>
      <c r="I702" s="3" t="s">
        <v>19</v>
      </c>
      <c r="J702" s="3">
        <f t="shared" si="11"/>
        <v>0.16666666666666666</v>
      </c>
      <c r="K702" s="3" t="s">
        <v>20</v>
      </c>
      <c r="L702" t="s">
        <v>25</v>
      </c>
      <c r="M702" t="s">
        <v>25</v>
      </c>
      <c r="N702" s="1">
        <v>0.88888888888888884</v>
      </c>
      <c r="O702" s="1">
        <v>0.89583333333333337</v>
      </c>
      <c r="P702" s="3">
        <v>4000115056</v>
      </c>
      <c r="Q702">
        <v>10049549</v>
      </c>
      <c r="R702" t="s">
        <v>58</v>
      </c>
      <c r="S702" t="s">
        <v>95</v>
      </c>
    </row>
    <row r="703" spans="3:19" x14ac:dyDescent="0.25">
      <c r="C703">
        <v>3134184</v>
      </c>
      <c r="D703" s="3" t="s">
        <v>22</v>
      </c>
      <c r="E703" s="3">
        <v>2</v>
      </c>
      <c r="F703" s="3" t="s">
        <v>29</v>
      </c>
      <c r="G703" s="3" t="s">
        <v>223</v>
      </c>
      <c r="H703" s="3">
        <v>10</v>
      </c>
      <c r="I703" s="3" t="s">
        <v>19</v>
      </c>
      <c r="J703" s="3">
        <f t="shared" si="11"/>
        <v>0.16666666666666666</v>
      </c>
      <c r="K703" s="3" t="s">
        <v>20</v>
      </c>
      <c r="L703" t="s">
        <v>22</v>
      </c>
      <c r="M703" t="s">
        <v>22</v>
      </c>
      <c r="N703" s="1">
        <v>0.1875</v>
      </c>
      <c r="O703" s="1">
        <v>0.19444444444444445</v>
      </c>
      <c r="P703" s="3">
        <v>4000114933</v>
      </c>
      <c r="Q703">
        <v>10049436</v>
      </c>
      <c r="R703" t="s">
        <v>53</v>
      </c>
      <c r="S703" t="s">
        <v>151</v>
      </c>
    </row>
    <row r="704" spans="3:19" x14ac:dyDescent="0.25">
      <c r="C704">
        <v>3134185</v>
      </c>
      <c r="D704" s="3" t="s">
        <v>22</v>
      </c>
      <c r="E704" s="3">
        <v>3</v>
      </c>
      <c r="F704" s="3" t="s">
        <v>29</v>
      </c>
      <c r="G704" s="3" t="s">
        <v>223</v>
      </c>
      <c r="H704" s="3">
        <v>30</v>
      </c>
      <c r="I704" s="3" t="s">
        <v>19</v>
      </c>
      <c r="J704" s="3">
        <f t="shared" si="11"/>
        <v>0.5</v>
      </c>
      <c r="K704" s="3" t="s">
        <v>20</v>
      </c>
      <c r="L704" t="s">
        <v>22</v>
      </c>
      <c r="M704" t="s">
        <v>22</v>
      </c>
      <c r="N704" s="1">
        <v>0.16666666666666666</v>
      </c>
      <c r="O704" s="1">
        <v>0.1875</v>
      </c>
      <c r="P704" s="3">
        <v>4000114934</v>
      </c>
      <c r="Q704">
        <v>10049416</v>
      </c>
      <c r="R704" t="s">
        <v>53</v>
      </c>
      <c r="S704" t="s">
        <v>27</v>
      </c>
    </row>
    <row r="705" spans="3:19" x14ac:dyDescent="0.25">
      <c r="C705">
        <v>3132472</v>
      </c>
      <c r="D705" s="3" t="s">
        <v>28</v>
      </c>
      <c r="E705" s="3">
        <v>2</v>
      </c>
      <c r="F705" s="3" t="s">
        <v>29</v>
      </c>
      <c r="G705" s="3" t="s">
        <v>223</v>
      </c>
      <c r="H705" s="3">
        <v>20</v>
      </c>
      <c r="I705" s="3" t="s">
        <v>19</v>
      </c>
      <c r="J705" s="3">
        <f t="shared" si="11"/>
        <v>0.33333333333333331</v>
      </c>
      <c r="K705" s="3" t="s">
        <v>20</v>
      </c>
      <c r="L705" t="s">
        <v>67</v>
      </c>
      <c r="M705" t="s">
        <v>67</v>
      </c>
      <c r="N705" s="1">
        <v>0.4513888888888889</v>
      </c>
      <c r="O705" s="1">
        <v>0.46527777777777773</v>
      </c>
      <c r="P705" s="3">
        <v>4000114010</v>
      </c>
      <c r="Q705">
        <v>10051503</v>
      </c>
      <c r="R705" t="s">
        <v>53</v>
      </c>
      <c r="S705" t="s">
        <v>152</v>
      </c>
    </row>
    <row r="706" spans="3:19" x14ac:dyDescent="0.25">
      <c r="C706">
        <v>3132484</v>
      </c>
      <c r="D706" s="3" t="s">
        <v>28</v>
      </c>
      <c r="E706" s="3">
        <v>2</v>
      </c>
      <c r="F706" s="3" t="s">
        <v>29</v>
      </c>
      <c r="G706" s="3" t="s">
        <v>223</v>
      </c>
      <c r="H706" s="3">
        <v>20</v>
      </c>
      <c r="I706" s="3" t="s">
        <v>19</v>
      </c>
      <c r="J706" s="3">
        <f t="shared" si="11"/>
        <v>0.33333333333333331</v>
      </c>
      <c r="K706" s="3" t="s">
        <v>20</v>
      </c>
      <c r="L706" t="s">
        <v>67</v>
      </c>
      <c r="M706" t="s">
        <v>67</v>
      </c>
      <c r="N706" s="1">
        <v>0.46527777777777773</v>
      </c>
      <c r="O706" s="1">
        <v>0.47916666666666669</v>
      </c>
      <c r="P706" s="3">
        <v>4000114042</v>
      </c>
      <c r="Q706">
        <v>10051503</v>
      </c>
      <c r="R706" t="s">
        <v>53</v>
      </c>
      <c r="S706" t="s">
        <v>96</v>
      </c>
    </row>
    <row r="707" spans="3:19" x14ac:dyDescent="0.25">
      <c r="C707">
        <v>3134174</v>
      </c>
      <c r="D707" s="3" t="s">
        <v>28</v>
      </c>
      <c r="E707" s="3">
        <v>2</v>
      </c>
      <c r="F707" s="3" t="s">
        <v>29</v>
      </c>
      <c r="G707" s="3" t="s">
        <v>223</v>
      </c>
      <c r="H707" s="3">
        <v>1.5</v>
      </c>
      <c r="I707" s="3" t="s">
        <v>129</v>
      </c>
      <c r="J707" s="3">
        <f>H707*60</f>
        <v>90</v>
      </c>
      <c r="K707" s="3" t="s">
        <v>20</v>
      </c>
      <c r="L707" t="s">
        <v>67</v>
      </c>
      <c r="M707" t="s">
        <v>67</v>
      </c>
      <c r="N707" s="1">
        <v>0.59722222222222221</v>
      </c>
      <c r="O707" s="1">
        <v>0.65625</v>
      </c>
      <c r="P707" s="3">
        <v>4000114923</v>
      </c>
      <c r="Q707">
        <v>10049416</v>
      </c>
      <c r="R707" t="s">
        <v>53</v>
      </c>
      <c r="S707" t="s">
        <v>153</v>
      </c>
    </row>
    <row r="708" spans="3:19" x14ac:dyDescent="0.25">
      <c r="C708">
        <v>3134256</v>
      </c>
      <c r="D708" s="3" t="s">
        <v>28</v>
      </c>
      <c r="E708" s="3">
        <v>2</v>
      </c>
      <c r="F708" s="3" t="s">
        <v>29</v>
      </c>
      <c r="G708" s="3" t="s">
        <v>223</v>
      </c>
      <c r="H708" s="3">
        <v>20</v>
      </c>
      <c r="I708" s="3" t="s">
        <v>19</v>
      </c>
      <c r="J708" s="3">
        <f t="shared" si="11"/>
        <v>0.33333333333333331</v>
      </c>
      <c r="K708" s="3" t="s">
        <v>20</v>
      </c>
      <c r="L708" t="s">
        <v>67</v>
      </c>
      <c r="M708" t="s">
        <v>67</v>
      </c>
      <c r="N708" s="1">
        <v>0.34375</v>
      </c>
      <c r="O708" s="1">
        <v>0.35416666666666669</v>
      </c>
      <c r="P708" s="3">
        <v>4000115002</v>
      </c>
      <c r="Q708">
        <v>10051481</v>
      </c>
      <c r="R708" t="s">
        <v>53</v>
      </c>
      <c r="S708" t="s">
        <v>154</v>
      </c>
    </row>
    <row r="709" spans="3:19" x14ac:dyDescent="0.25">
      <c r="C709">
        <v>3137177</v>
      </c>
      <c r="D709" s="3" t="s">
        <v>28</v>
      </c>
      <c r="E709" s="3">
        <v>2</v>
      </c>
      <c r="F709" s="3" t="s">
        <v>29</v>
      </c>
      <c r="G709" s="3" t="s">
        <v>223</v>
      </c>
      <c r="H709" s="3">
        <v>20</v>
      </c>
      <c r="I709" s="3" t="s">
        <v>19</v>
      </c>
      <c r="J709" s="3">
        <f t="shared" si="11"/>
        <v>0.33333333333333331</v>
      </c>
      <c r="K709" s="3" t="s">
        <v>20</v>
      </c>
      <c r="L709" t="s">
        <v>67</v>
      </c>
      <c r="M709" t="s">
        <v>67</v>
      </c>
      <c r="N709" s="1">
        <v>0.4236111111111111</v>
      </c>
      <c r="O709" s="1">
        <v>0.4375</v>
      </c>
      <c r="P709" s="3">
        <v>4000115998</v>
      </c>
      <c r="Q709">
        <v>10051503</v>
      </c>
      <c r="R709" t="s">
        <v>53</v>
      </c>
      <c r="S709" t="s">
        <v>155</v>
      </c>
    </row>
    <row r="710" spans="3:19" x14ac:dyDescent="0.25">
      <c r="C710">
        <v>3132480</v>
      </c>
      <c r="D710" s="3" t="s">
        <v>22</v>
      </c>
      <c r="E710" s="3">
        <v>2</v>
      </c>
      <c r="F710" s="3" t="s">
        <v>29</v>
      </c>
      <c r="G710" s="3" t="s">
        <v>224</v>
      </c>
      <c r="H710" s="3">
        <v>10</v>
      </c>
      <c r="I710" s="3" t="s">
        <v>19</v>
      </c>
      <c r="J710" s="3">
        <f t="shared" ref="J710:J754" si="12">H710/60</f>
        <v>0.16666666666666666</v>
      </c>
      <c r="K710" s="3" t="s">
        <v>20</v>
      </c>
      <c r="L710" t="s">
        <v>55</v>
      </c>
      <c r="M710" t="s">
        <v>55</v>
      </c>
      <c r="N710" s="1">
        <v>0.82638888888888884</v>
      </c>
      <c r="O710" s="1">
        <v>0.83333333333333337</v>
      </c>
      <c r="P710" s="3">
        <v>4000114018</v>
      </c>
      <c r="Q710">
        <v>10049436</v>
      </c>
      <c r="R710" t="s">
        <v>53</v>
      </c>
      <c r="S710" t="s">
        <v>86</v>
      </c>
    </row>
    <row r="711" spans="3:19" x14ac:dyDescent="0.25">
      <c r="C711">
        <v>3112636</v>
      </c>
      <c r="D711" s="3" t="s">
        <v>17</v>
      </c>
      <c r="E711" s="3">
        <v>4</v>
      </c>
      <c r="F711" s="3" t="s">
        <v>34</v>
      </c>
      <c r="G711" s="3" t="s">
        <v>224</v>
      </c>
      <c r="H711" s="3">
        <v>240</v>
      </c>
      <c r="I711" s="3" t="s">
        <v>19</v>
      </c>
      <c r="J711" s="3">
        <f t="shared" si="12"/>
        <v>4</v>
      </c>
      <c r="K711" s="3" t="s">
        <v>20</v>
      </c>
      <c r="L711" t="s">
        <v>40</v>
      </c>
      <c r="M711" t="s">
        <v>40</v>
      </c>
      <c r="N711" s="1">
        <v>0.33333333333333331</v>
      </c>
      <c r="O711" s="1">
        <v>0.5</v>
      </c>
      <c r="P711" s="3">
        <v>4000108465</v>
      </c>
      <c r="Q711">
        <v>10051386</v>
      </c>
      <c r="R711" t="s">
        <v>36</v>
      </c>
      <c r="S711" t="s">
        <v>41</v>
      </c>
    </row>
    <row r="712" spans="3:19" x14ac:dyDescent="0.25">
      <c r="C712">
        <v>3119989</v>
      </c>
      <c r="D712" s="3" t="s">
        <v>33</v>
      </c>
      <c r="E712" s="3">
        <v>2</v>
      </c>
      <c r="F712" s="3" t="s">
        <v>34</v>
      </c>
      <c r="G712" s="3" t="s">
        <v>224</v>
      </c>
      <c r="H712" s="3">
        <v>25</v>
      </c>
      <c r="I712" s="3" t="s">
        <v>19</v>
      </c>
      <c r="J712" s="3">
        <f t="shared" si="12"/>
        <v>0.41666666666666669</v>
      </c>
      <c r="K712" s="3" t="s">
        <v>20</v>
      </c>
      <c r="L712" t="s">
        <v>51</v>
      </c>
      <c r="M712" t="s">
        <v>51</v>
      </c>
      <c r="N712" s="1">
        <v>0.70138888888888884</v>
      </c>
      <c r="O712" s="1">
        <v>0.72222222222222221</v>
      </c>
      <c r="P712" s="3">
        <v>4000112060</v>
      </c>
      <c r="Q712">
        <v>10051481</v>
      </c>
      <c r="R712" t="s">
        <v>53</v>
      </c>
      <c r="S712" t="s">
        <v>194</v>
      </c>
    </row>
    <row r="713" spans="3:19" x14ac:dyDescent="0.25">
      <c r="C713">
        <v>3114077</v>
      </c>
      <c r="D713" s="3" t="s">
        <v>55</v>
      </c>
      <c r="E713" s="3">
        <v>4</v>
      </c>
      <c r="F713" s="3" t="s">
        <v>34</v>
      </c>
      <c r="G713" s="3" t="s">
        <v>224</v>
      </c>
      <c r="H713" s="3">
        <v>60</v>
      </c>
      <c r="I713" s="3" t="s">
        <v>19</v>
      </c>
      <c r="J713" s="3">
        <f t="shared" si="12"/>
        <v>1</v>
      </c>
      <c r="K713" s="3" t="s">
        <v>20</v>
      </c>
      <c r="L713" t="s">
        <v>56</v>
      </c>
      <c r="M713" t="s">
        <v>56</v>
      </c>
      <c r="N713" s="1">
        <v>0.375</v>
      </c>
      <c r="O713" s="1">
        <v>0.39583333333333331</v>
      </c>
      <c r="P713" s="3">
        <v>4000109505</v>
      </c>
      <c r="Q713">
        <v>10049451</v>
      </c>
      <c r="R713" t="s">
        <v>57</v>
      </c>
      <c r="S713" t="s">
        <v>32</v>
      </c>
    </row>
    <row r="714" spans="3:19" x14ac:dyDescent="0.25">
      <c r="C714">
        <v>3114084</v>
      </c>
      <c r="D714" s="3" t="s">
        <v>17</v>
      </c>
      <c r="E714" s="3">
        <v>4</v>
      </c>
      <c r="F714" s="3" t="s">
        <v>34</v>
      </c>
      <c r="G714" s="3" t="s">
        <v>224</v>
      </c>
      <c r="H714" s="3">
        <v>30</v>
      </c>
      <c r="I714" s="3" t="s">
        <v>19</v>
      </c>
      <c r="J714" s="3">
        <f t="shared" si="12"/>
        <v>0.5</v>
      </c>
      <c r="K714" s="3" t="s">
        <v>20</v>
      </c>
      <c r="L714" t="s">
        <v>56</v>
      </c>
      <c r="M714" t="s">
        <v>56</v>
      </c>
      <c r="N714" s="1">
        <v>0.91666666666666663</v>
      </c>
      <c r="O714" s="1">
        <v>0.9375</v>
      </c>
      <c r="P714" s="3">
        <v>4000109512</v>
      </c>
      <c r="Q714">
        <v>10051747</v>
      </c>
      <c r="R714" t="s">
        <v>58</v>
      </c>
      <c r="S714" t="s">
        <v>59</v>
      </c>
    </row>
    <row r="715" spans="3:19" x14ac:dyDescent="0.25">
      <c r="C715">
        <v>3112655</v>
      </c>
      <c r="D715" s="3" t="s">
        <v>17</v>
      </c>
      <c r="E715" s="3">
        <v>4</v>
      </c>
      <c r="F715" s="3" t="s">
        <v>34</v>
      </c>
      <c r="G715" s="3" t="s">
        <v>224</v>
      </c>
      <c r="H715" s="3">
        <v>60</v>
      </c>
      <c r="I715" s="3" t="s">
        <v>19</v>
      </c>
      <c r="J715" s="3">
        <f t="shared" si="12"/>
        <v>1</v>
      </c>
      <c r="K715" s="3" t="s">
        <v>20</v>
      </c>
      <c r="L715" t="s">
        <v>24</v>
      </c>
      <c r="M715" t="s">
        <v>24</v>
      </c>
      <c r="N715" s="1">
        <v>0.54166666666666663</v>
      </c>
      <c r="O715" s="1">
        <v>0.58333333333333337</v>
      </c>
      <c r="P715" s="3">
        <v>4000108484</v>
      </c>
      <c r="Q715">
        <v>10051769</v>
      </c>
      <c r="R715" t="s">
        <v>36</v>
      </c>
      <c r="S715" t="s">
        <v>60</v>
      </c>
    </row>
    <row r="716" spans="3:19" x14ac:dyDescent="0.25">
      <c r="C716">
        <v>3118354</v>
      </c>
      <c r="D716" s="3" t="s">
        <v>17</v>
      </c>
      <c r="E716" s="3">
        <v>4</v>
      </c>
      <c r="F716" s="3" t="s">
        <v>34</v>
      </c>
      <c r="G716" s="3" t="s">
        <v>224</v>
      </c>
      <c r="H716" s="3">
        <v>60</v>
      </c>
      <c r="I716" s="3" t="s">
        <v>19</v>
      </c>
      <c r="J716" s="3">
        <f t="shared" si="12"/>
        <v>1</v>
      </c>
      <c r="K716" s="3" t="s">
        <v>20</v>
      </c>
      <c r="L716" t="s">
        <v>24</v>
      </c>
      <c r="M716" t="s">
        <v>24</v>
      </c>
      <c r="N716" s="1">
        <v>0.58333333333333337</v>
      </c>
      <c r="O716" s="1">
        <v>0.625</v>
      </c>
      <c r="P716" s="3">
        <v>4000111378</v>
      </c>
      <c r="Q716">
        <v>10049372</v>
      </c>
      <c r="R716" t="s">
        <v>36</v>
      </c>
      <c r="S716" t="s">
        <v>61</v>
      </c>
    </row>
    <row r="717" spans="3:19" x14ac:dyDescent="0.25">
      <c r="C717">
        <v>3119958</v>
      </c>
      <c r="D717" s="3" t="s">
        <v>17</v>
      </c>
      <c r="E717" s="3">
        <v>4</v>
      </c>
      <c r="F717" s="3" t="s">
        <v>34</v>
      </c>
      <c r="G717" s="3" t="s">
        <v>224</v>
      </c>
      <c r="H717" s="3">
        <v>60</v>
      </c>
      <c r="I717" s="3" t="s">
        <v>19</v>
      </c>
      <c r="J717" s="3">
        <f t="shared" si="12"/>
        <v>1</v>
      </c>
      <c r="K717" s="3" t="s">
        <v>20</v>
      </c>
      <c r="L717" t="s">
        <v>24</v>
      </c>
      <c r="M717" t="s">
        <v>24</v>
      </c>
      <c r="N717" s="1">
        <v>0.45833333333333331</v>
      </c>
      <c r="O717" s="1">
        <v>0.5</v>
      </c>
      <c r="P717" s="3">
        <v>4000112032</v>
      </c>
      <c r="Q717">
        <v>10051481</v>
      </c>
      <c r="R717" t="s">
        <v>53</v>
      </c>
      <c r="S717" t="s">
        <v>62</v>
      </c>
    </row>
    <row r="718" spans="3:19" x14ac:dyDescent="0.25">
      <c r="C718">
        <v>3120191</v>
      </c>
      <c r="D718" s="3" t="s">
        <v>17</v>
      </c>
      <c r="E718" s="3">
        <v>4</v>
      </c>
      <c r="F718" s="3" t="s">
        <v>34</v>
      </c>
      <c r="G718" s="3" t="s">
        <v>224</v>
      </c>
      <c r="H718" s="3">
        <v>60</v>
      </c>
      <c r="I718" s="3" t="s">
        <v>19</v>
      </c>
      <c r="J718" s="3">
        <f t="shared" si="12"/>
        <v>1</v>
      </c>
      <c r="K718" s="3" t="s">
        <v>20</v>
      </c>
      <c r="L718" t="s">
        <v>24</v>
      </c>
      <c r="M718" t="s">
        <v>24</v>
      </c>
      <c r="N718" s="1">
        <v>0.66666666666666663</v>
      </c>
      <c r="O718" s="1">
        <v>0.70833333333333337</v>
      </c>
      <c r="P718" s="3">
        <v>4000112668</v>
      </c>
      <c r="Q718">
        <v>10051396</v>
      </c>
      <c r="R718" t="s">
        <v>36</v>
      </c>
      <c r="S718" t="s">
        <v>62</v>
      </c>
    </row>
    <row r="719" spans="3:19" x14ac:dyDescent="0.25">
      <c r="C719">
        <v>3120195</v>
      </c>
      <c r="D719" s="3" t="s">
        <v>17</v>
      </c>
      <c r="E719" s="3">
        <v>4</v>
      </c>
      <c r="F719" s="3" t="s">
        <v>34</v>
      </c>
      <c r="G719" s="3" t="s">
        <v>224</v>
      </c>
      <c r="H719" s="3">
        <v>120</v>
      </c>
      <c r="I719" s="3" t="s">
        <v>19</v>
      </c>
      <c r="J719" s="3">
        <f t="shared" si="12"/>
        <v>2</v>
      </c>
      <c r="K719" s="3" t="s">
        <v>20</v>
      </c>
      <c r="L719" t="s">
        <v>24</v>
      </c>
      <c r="M719" t="s">
        <v>24</v>
      </c>
      <c r="N719" s="1">
        <v>0.33333333333333331</v>
      </c>
      <c r="O719" s="1">
        <v>0.41666666666666669</v>
      </c>
      <c r="P719" s="3">
        <v>4000112672</v>
      </c>
      <c r="Q719">
        <v>10049436</v>
      </c>
      <c r="R719" t="s">
        <v>53</v>
      </c>
      <c r="S719" t="s">
        <v>63</v>
      </c>
    </row>
    <row r="720" spans="3:19" x14ac:dyDescent="0.25">
      <c r="C720">
        <v>3120200</v>
      </c>
      <c r="D720" s="3" t="s">
        <v>17</v>
      </c>
      <c r="E720" s="3">
        <v>4</v>
      </c>
      <c r="F720" s="3" t="s">
        <v>34</v>
      </c>
      <c r="G720" s="3" t="s">
        <v>224</v>
      </c>
      <c r="H720" s="3">
        <v>60</v>
      </c>
      <c r="I720" s="3" t="s">
        <v>19</v>
      </c>
      <c r="J720" s="3">
        <f t="shared" si="12"/>
        <v>1</v>
      </c>
      <c r="K720" s="3" t="s">
        <v>20</v>
      </c>
      <c r="L720" t="s">
        <v>24</v>
      </c>
      <c r="M720" t="s">
        <v>24</v>
      </c>
      <c r="N720" s="1">
        <v>0.41666666666666669</v>
      </c>
      <c r="O720" s="1">
        <v>0.45833333333333331</v>
      </c>
      <c r="P720" s="3">
        <v>4000112677</v>
      </c>
      <c r="Q720">
        <v>10049399</v>
      </c>
      <c r="R720" t="s">
        <v>53</v>
      </c>
      <c r="S720" t="s">
        <v>62</v>
      </c>
    </row>
    <row r="721" spans="3:19" x14ac:dyDescent="0.25">
      <c r="C721">
        <v>3122016</v>
      </c>
      <c r="D721" s="3" t="s">
        <v>17</v>
      </c>
      <c r="E721" s="3">
        <v>4</v>
      </c>
      <c r="F721" s="3" t="s">
        <v>34</v>
      </c>
      <c r="G721" s="3" t="s">
        <v>224</v>
      </c>
      <c r="H721" s="3">
        <v>60</v>
      </c>
      <c r="I721" s="3" t="s">
        <v>19</v>
      </c>
      <c r="J721" s="3">
        <f t="shared" si="12"/>
        <v>1</v>
      </c>
      <c r="K721" s="3" t="s">
        <v>20</v>
      </c>
      <c r="L721" t="s">
        <v>24</v>
      </c>
      <c r="M721" t="s">
        <v>24</v>
      </c>
      <c r="N721" s="1">
        <v>0.625</v>
      </c>
      <c r="O721" s="1">
        <v>0.66666666666666663</v>
      </c>
      <c r="P721" s="3">
        <v>4000112713</v>
      </c>
      <c r="Q721">
        <v>10051386</v>
      </c>
      <c r="R721" t="s">
        <v>36</v>
      </c>
      <c r="S721" t="s">
        <v>62</v>
      </c>
    </row>
    <row r="722" spans="3:19" x14ac:dyDescent="0.25">
      <c r="C722">
        <v>3122018</v>
      </c>
      <c r="D722" s="3" t="s">
        <v>17</v>
      </c>
      <c r="E722" s="3">
        <v>4</v>
      </c>
      <c r="F722" s="3" t="s">
        <v>34</v>
      </c>
      <c r="G722" s="3" t="s">
        <v>224</v>
      </c>
      <c r="H722" s="3">
        <v>60</v>
      </c>
      <c r="I722" s="3" t="s">
        <v>19</v>
      </c>
      <c r="J722" s="3">
        <f t="shared" si="12"/>
        <v>1</v>
      </c>
      <c r="K722" s="3" t="s">
        <v>20</v>
      </c>
      <c r="L722" t="s">
        <v>24</v>
      </c>
      <c r="M722" t="s">
        <v>24</v>
      </c>
      <c r="N722" s="1">
        <v>0.58333333333333337</v>
      </c>
      <c r="O722" s="1">
        <v>0.625</v>
      </c>
      <c r="P722" s="3">
        <v>4000112715</v>
      </c>
      <c r="Q722">
        <v>10051443</v>
      </c>
      <c r="R722" t="s">
        <v>36</v>
      </c>
      <c r="S722" t="s">
        <v>62</v>
      </c>
    </row>
    <row r="723" spans="3:19" x14ac:dyDescent="0.25">
      <c r="C723">
        <v>3122752</v>
      </c>
      <c r="D723" s="3" t="s">
        <v>17</v>
      </c>
      <c r="E723" s="3">
        <v>4</v>
      </c>
      <c r="F723" s="3" t="s">
        <v>34</v>
      </c>
      <c r="G723" s="3" t="s">
        <v>224</v>
      </c>
      <c r="H723" s="3">
        <v>30</v>
      </c>
      <c r="I723" s="3" t="s">
        <v>19</v>
      </c>
      <c r="J723" s="3">
        <f t="shared" si="12"/>
        <v>0.5</v>
      </c>
      <c r="K723" s="3" t="s">
        <v>20</v>
      </c>
      <c r="L723" t="s">
        <v>24</v>
      </c>
      <c r="M723" t="s">
        <v>24</v>
      </c>
      <c r="N723" s="1">
        <v>0.5</v>
      </c>
      <c r="O723" s="1">
        <v>0.52083333333333337</v>
      </c>
      <c r="P723" s="3">
        <v>4000113354</v>
      </c>
      <c r="Q723">
        <v>10051443</v>
      </c>
      <c r="R723" t="s">
        <v>36</v>
      </c>
      <c r="S723" t="s">
        <v>62</v>
      </c>
    </row>
    <row r="724" spans="3:19" x14ac:dyDescent="0.25">
      <c r="C724">
        <v>3122756</v>
      </c>
      <c r="D724" s="3" t="s">
        <v>17</v>
      </c>
      <c r="E724" s="3">
        <v>4</v>
      </c>
      <c r="F724" s="3" t="s">
        <v>34</v>
      </c>
      <c r="G724" s="3" t="s">
        <v>224</v>
      </c>
      <c r="H724" s="3">
        <v>30</v>
      </c>
      <c r="I724" s="3" t="s">
        <v>19</v>
      </c>
      <c r="J724" s="3">
        <f t="shared" si="12"/>
        <v>0.5</v>
      </c>
      <c r="K724" s="3" t="s">
        <v>20</v>
      </c>
      <c r="L724" t="s">
        <v>24</v>
      </c>
      <c r="M724" t="s">
        <v>24</v>
      </c>
      <c r="N724" s="1">
        <v>0.39583333333333331</v>
      </c>
      <c r="O724" s="1">
        <v>0.41666666666666669</v>
      </c>
      <c r="P724" s="3">
        <v>4000113358</v>
      </c>
      <c r="Q724">
        <v>10049427</v>
      </c>
      <c r="R724" t="s">
        <v>53</v>
      </c>
      <c r="S724" t="s">
        <v>63</v>
      </c>
    </row>
    <row r="725" spans="3:19" x14ac:dyDescent="0.25">
      <c r="C725">
        <v>3122767</v>
      </c>
      <c r="D725" s="3" t="s">
        <v>55</v>
      </c>
      <c r="E725" s="3">
        <v>4</v>
      </c>
      <c r="F725" s="3" t="s">
        <v>34</v>
      </c>
      <c r="G725" s="3" t="s">
        <v>224</v>
      </c>
      <c r="H725" s="3">
        <v>60</v>
      </c>
      <c r="I725" s="3" t="s">
        <v>19</v>
      </c>
      <c r="J725" s="3">
        <f t="shared" si="12"/>
        <v>1</v>
      </c>
      <c r="K725" s="3" t="s">
        <v>20</v>
      </c>
      <c r="L725" t="s">
        <v>24</v>
      </c>
      <c r="M725" t="s">
        <v>24</v>
      </c>
      <c r="N725" s="1">
        <v>0.33333333333333331</v>
      </c>
      <c r="O725" s="1">
        <v>0.375</v>
      </c>
      <c r="P725" s="3">
        <v>4000113369</v>
      </c>
      <c r="Q725">
        <v>10049451</v>
      </c>
      <c r="R725" t="s">
        <v>57</v>
      </c>
      <c r="S725" t="s">
        <v>32</v>
      </c>
    </row>
    <row r="726" spans="3:19" x14ac:dyDescent="0.25">
      <c r="C726">
        <v>3122785</v>
      </c>
      <c r="D726" s="3" t="s">
        <v>17</v>
      </c>
      <c r="E726" s="3">
        <v>4</v>
      </c>
      <c r="F726" s="3" t="s">
        <v>34</v>
      </c>
      <c r="G726" s="3" t="s">
        <v>224</v>
      </c>
      <c r="H726" s="3">
        <v>30</v>
      </c>
      <c r="I726" s="3" t="s">
        <v>19</v>
      </c>
      <c r="J726" s="3">
        <f t="shared" si="12"/>
        <v>0.5</v>
      </c>
      <c r="K726" s="3" t="s">
        <v>20</v>
      </c>
      <c r="L726" t="s">
        <v>24</v>
      </c>
      <c r="M726" t="s">
        <v>24</v>
      </c>
      <c r="N726" s="1">
        <v>0.58333333333333337</v>
      </c>
      <c r="O726" s="1">
        <v>0.60416666666666663</v>
      </c>
      <c r="P726" s="3">
        <v>4000113387</v>
      </c>
      <c r="Q726">
        <v>10051769</v>
      </c>
      <c r="R726" t="s">
        <v>36</v>
      </c>
      <c r="S726" t="s">
        <v>62</v>
      </c>
    </row>
    <row r="727" spans="3:19" x14ac:dyDescent="0.25">
      <c r="C727">
        <v>3122789</v>
      </c>
      <c r="D727" s="3" t="s">
        <v>17</v>
      </c>
      <c r="E727" s="3">
        <v>4</v>
      </c>
      <c r="F727" s="3" t="s">
        <v>34</v>
      </c>
      <c r="G727" s="3" t="s">
        <v>224</v>
      </c>
      <c r="H727" s="3">
        <v>20</v>
      </c>
      <c r="I727" s="3" t="s">
        <v>19</v>
      </c>
      <c r="J727" s="3">
        <f t="shared" si="12"/>
        <v>0.33333333333333331</v>
      </c>
      <c r="K727" s="3" t="s">
        <v>20</v>
      </c>
      <c r="L727" t="s">
        <v>24</v>
      </c>
      <c r="M727" t="s">
        <v>24</v>
      </c>
      <c r="N727" s="1">
        <v>0.58333333333333337</v>
      </c>
      <c r="O727" s="1">
        <v>0.59722222222222221</v>
      </c>
      <c r="P727" s="3">
        <v>4000113391</v>
      </c>
      <c r="Q727">
        <v>10049361</v>
      </c>
      <c r="R727" t="s">
        <v>36</v>
      </c>
      <c r="S727" t="s">
        <v>62</v>
      </c>
    </row>
    <row r="728" spans="3:19" x14ac:dyDescent="0.25">
      <c r="C728">
        <v>3117024</v>
      </c>
      <c r="D728" s="3" t="s">
        <v>28</v>
      </c>
      <c r="E728" s="3">
        <v>2</v>
      </c>
      <c r="F728" s="3" t="s">
        <v>34</v>
      </c>
      <c r="G728" s="3" t="s">
        <v>224</v>
      </c>
      <c r="H728" s="3">
        <v>60</v>
      </c>
      <c r="I728" s="3" t="s">
        <v>19</v>
      </c>
      <c r="J728" s="3">
        <f t="shared" si="12"/>
        <v>1</v>
      </c>
      <c r="K728" s="3" t="s">
        <v>20</v>
      </c>
      <c r="L728" t="s">
        <v>17</v>
      </c>
      <c r="M728" t="s">
        <v>17</v>
      </c>
      <c r="N728" s="1">
        <v>0.41666666666666669</v>
      </c>
      <c r="O728" s="1">
        <v>0.45833333333333331</v>
      </c>
      <c r="P728" s="3">
        <v>4000110414</v>
      </c>
      <c r="Q728">
        <v>10049372</v>
      </c>
      <c r="R728" t="s">
        <v>36</v>
      </c>
      <c r="S728" t="s">
        <v>215</v>
      </c>
    </row>
    <row r="729" spans="3:19" x14ac:dyDescent="0.25">
      <c r="C729">
        <v>3132475</v>
      </c>
      <c r="D729" s="3" t="s">
        <v>22</v>
      </c>
      <c r="E729" s="3">
        <v>1</v>
      </c>
      <c r="F729" s="3" t="s">
        <v>34</v>
      </c>
      <c r="G729" s="3" t="s">
        <v>224</v>
      </c>
      <c r="H729" s="3">
        <v>10</v>
      </c>
      <c r="I729" s="3" t="s">
        <v>19</v>
      </c>
      <c r="J729" s="3">
        <f t="shared" si="12"/>
        <v>0.16666666666666666</v>
      </c>
      <c r="K729" s="3" t="s">
        <v>20</v>
      </c>
      <c r="L729" t="s">
        <v>55</v>
      </c>
      <c r="M729" t="s">
        <v>55</v>
      </c>
      <c r="N729" s="1">
        <v>0.82638888888888884</v>
      </c>
      <c r="O729" s="1">
        <v>0.83333333333333337</v>
      </c>
      <c r="P729" s="3">
        <v>4000114013</v>
      </c>
      <c r="Q729">
        <v>10051581</v>
      </c>
      <c r="R729" t="s">
        <v>57</v>
      </c>
      <c r="S729" t="s">
        <v>50</v>
      </c>
    </row>
    <row r="730" spans="3:19" x14ac:dyDescent="0.25">
      <c r="C730">
        <v>3132712</v>
      </c>
      <c r="D730" s="3" t="s">
        <v>25</v>
      </c>
      <c r="E730" s="3">
        <v>1</v>
      </c>
      <c r="F730" s="3" t="s">
        <v>34</v>
      </c>
      <c r="G730" s="3" t="s">
        <v>224</v>
      </c>
      <c r="H730" s="3">
        <v>15</v>
      </c>
      <c r="I730" s="3" t="s">
        <v>19</v>
      </c>
      <c r="J730" s="3">
        <f t="shared" si="12"/>
        <v>0.25</v>
      </c>
      <c r="K730" s="3" t="s">
        <v>20</v>
      </c>
      <c r="L730" t="s">
        <v>55</v>
      </c>
      <c r="M730" t="s">
        <v>55</v>
      </c>
      <c r="N730" s="1">
        <v>0.81944444444444453</v>
      </c>
      <c r="O730" s="1">
        <v>0.82291666666666663</v>
      </c>
      <c r="P730" s="3">
        <v>4000114069</v>
      </c>
      <c r="Q730">
        <v>10051704</v>
      </c>
      <c r="R730" t="s">
        <v>58</v>
      </c>
      <c r="S730" t="s">
        <v>43</v>
      </c>
    </row>
    <row r="731" spans="3:19" x14ac:dyDescent="0.25">
      <c r="C731">
        <v>3132715</v>
      </c>
      <c r="D731" s="3" t="s">
        <v>25</v>
      </c>
      <c r="E731" s="3">
        <v>1</v>
      </c>
      <c r="F731" s="3" t="s">
        <v>34</v>
      </c>
      <c r="G731" s="3" t="s">
        <v>224</v>
      </c>
      <c r="H731" s="3">
        <v>5</v>
      </c>
      <c r="I731" s="3" t="s">
        <v>19</v>
      </c>
      <c r="J731" s="3">
        <f t="shared" si="12"/>
        <v>8.3333333333333329E-2</v>
      </c>
      <c r="K731" s="3" t="s">
        <v>20</v>
      </c>
      <c r="L731" t="s">
        <v>55</v>
      </c>
      <c r="M731" t="s">
        <v>55</v>
      </c>
      <c r="N731" s="1">
        <v>0.81944444444444453</v>
      </c>
      <c r="O731" s="1">
        <v>0.82291666666666663</v>
      </c>
      <c r="P731" s="3">
        <v>4000114072</v>
      </c>
      <c r="Q731">
        <v>10049540</v>
      </c>
      <c r="R731" t="s">
        <v>58</v>
      </c>
      <c r="S731" t="s">
        <v>43</v>
      </c>
    </row>
    <row r="732" spans="3:19" x14ac:dyDescent="0.25">
      <c r="C732">
        <v>3132719</v>
      </c>
      <c r="D732" s="3" t="s">
        <v>25</v>
      </c>
      <c r="E732" s="3">
        <v>1</v>
      </c>
      <c r="F732" s="3" t="s">
        <v>34</v>
      </c>
      <c r="G732" s="3" t="s">
        <v>224</v>
      </c>
      <c r="H732" s="3">
        <v>5</v>
      </c>
      <c r="I732" s="3" t="s">
        <v>19</v>
      </c>
      <c r="J732" s="3">
        <f t="shared" si="12"/>
        <v>8.3333333333333329E-2</v>
      </c>
      <c r="K732" s="3" t="s">
        <v>20</v>
      </c>
      <c r="L732" t="s">
        <v>55</v>
      </c>
      <c r="M732" t="s">
        <v>55</v>
      </c>
      <c r="N732" s="1">
        <v>0.81597222222222221</v>
      </c>
      <c r="O732" s="1">
        <v>0.81944444444444453</v>
      </c>
      <c r="P732" s="3">
        <v>4000114076</v>
      </c>
      <c r="Q732">
        <v>10051747</v>
      </c>
      <c r="R732" t="s">
        <v>58</v>
      </c>
      <c r="S732" t="s">
        <v>43</v>
      </c>
    </row>
    <row r="733" spans="3:19" x14ac:dyDescent="0.25">
      <c r="C733">
        <v>3134283</v>
      </c>
      <c r="D733" s="3" t="s">
        <v>25</v>
      </c>
      <c r="E733" s="3">
        <v>1</v>
      </c>
      <c r="F733" s="3" t="s">
        <v>34</v>
      </c>
      <c r="G733" s="3" t="s">
        <v>224</v>
      </c>
      <c r="H733" s="3">
        <v>10</v>
      </c>
      <c r="I733" s="3" t="s">
        <v>19</v>
      </c>
      <c r="J733" s="3">
        <f t="shared" si="12"/>
        <v>0.16666666666666666</v>
      </c>
      <c r="K733" s="3" t="s">
        <v>20</v>
      </c>
      <c r="L733" t="s">
        <v>55</v>
      </c>
      <c r="M733" t="s">
        <v>55</v>
      </c>
      <c r="N733" s="1">
        <v>0.82638888888888884</v>
      </c>
      <c r="O733" s="1">
        <v>0.83333333333333337</v>
      </c>
      <c r="P733" s="3">
        <v>4000115029</v>
      </c>
      <c r="Q733">
        <v>10049540</v>
      </c>
      <c r="R733" t="s">
        <v>58</v>
      </c>
      <c r="S733" t="s">
        <v>43</v>
      </c>
    </row>
    <row r="734" spans="3:19" x14ac:dyDescent="0.25">
      <c r="C734">
        <v>3122036</v>
      </c>
      <c r="D734" s="3" t="s">
        <v>22</v>
      </c>
      <c r="E734" s="3">
        <v>1</v>
      </c>
      <c r="F734" s="3" t="s">
        <v>34</v>
      </c>
      <c r="G734" s="3" t="s">
        <v>224</v>
      </c>
      <c r="H734" s="3">
        <v>35</v>
      </c>
      <c r="I734" s="3" t="s">
        <v>19</v>
      </c>
      <c r="J734" s="3">
        <f t="shared" si="12"/>
        <v>0.58333333333333337</v>
      </c>
      <c r="K734" s="3" t="s">
        <v>20</v>
      </c>
      <c r="L734" t="s">
        <v>25</v>
      </c>
      <c r="M734" t="s">
        <v>25</v>
      </c>
      <c r="N734" s="1">
        <v>0.83680555555555547</v>
      </c>
      <c r="O734" s="1">
        <v>0.85763888888888884</v>
      </c>
      <c r="P734" s="3">
        <v>4000112732</v>
      </c>
      <c r="Q734">
        <v>10051704</v>
      </c>
      <c r="R734" t="s">
        <v>58</v>
      </c>
      <c r="S734" t="s">
        <v>50</v>
      </c>
    </row>
    <row r="735" spans="3:19" x14ac:dyDescent="0.25">
      <c r="C735">
        <v>3132494</v>
      </c>
      <c r="D735" s="3" t="s">
        <v>28</v>
      </c>
      <c r="E735" s="3">
        <v>2</v>
      </c>
      <c r="F735" s="3" t="s">
        <v>34</v>
      </c>
      <c r="G735" s="3" t="s">
        <v>224</v>
      </c>
      <c r="H735" s="3">
        <v>30</v>
      </c>
      <c r="I735" s="3" t="s">
        <v>19</v>
      </c>
      <c r="J735" s="3">
        <f t="shared" si="12"/>
        <v>0.5</v>
      </c>
      <c r="K735" s="3" t="s">
        <v>20</v>
      </c>
      <c r="L735" t="s">
        <v>25</v>
      </c>
      <c r="M735" t="s">
        <v>25</v>
      </c>
      <c r="N735" s="1">
        <v>0.375</v>
      </c>
      <c r="O735" s="1">
        <v>0.39583333333333331</v>
      </c>
      <c r="P735" s="3">
        <v>4000114051</v>
      </c>
      <c r="Q735">
        <v>10051396</v>
      </c>
      <c r="R735" t="s">
        <v>36</v>
      </c>
      <c r="S735" t="s">
        <v>216</v>
      </c>
    </row>
    <row r="736" spans="3:19" x14ac:dyDescent="0.25">
      <c r="C736">
        <v>3132722</v>
      </c>
      <c r="D736" s="3" t="s">
        <v>22</v>
      </c>
      <c r="E736" s="3">
        <v>1</v>
      </c>
      <c r="F736" s="3" t="s">
        <v>34</v>
      </c>
      <c r="G736" s="3" t="s">
        <v>224</v>
      </c>
      <c r="H736" s="3">
        <v>30</v>
      </c>
      <c r="I736" s="3" t="s">
        <v>19</v>
      </c>
      <c r="J736" s="3">
        <f t="shared" si="12"/>
        <v>0.5</v>
      </c>
      <c r="K736" s="3" t="s">
        <v>20</v>
      </c>
      <c r="L736" t="s">
        <v>25</v>
      </c>
      <c r="M736" t="s">
        <v>25</v>
      </c>
      <c r="N736" s="1">
        <v>0.86805555555555547</v>
      </c>
      <c r="O736" s="1">
        <v>0.88888888888888884</v>
      </c>
      <c r="P736" s="3">
        <v>4000114079</v>
      </c>
      <c r="Q736">
        <v>10049549</v>
      </c>
      <c r="R736" t="s">
        <v>58</v>
      </c>
      <c r="S736" t="s">
        <v>217</v>
      </c>
    </row>
    <row r="737" spans="3:19" x14ac:dyDescent="0.25">
      <c r="C737">
        <v>3134262</v>
      </c>
      <c r="D737" s="3" t="s">
        <v>22</v>
      </c>
      <c r="E737" s="3">
        <v>1</v>
      </c>
      <c r="F737" s="3" t="s">
        <v>34</v>
      </c>
      <c r="G737" s="3" t="s">
        <v>224</v>
      </c>
      <c r="H737" s="3">
        <v>15</v>
      </c>
      <c r="I737" s="3" t="s">
        <v>19</v>
      </c>
      <c r="J737" s="3">
        <f t="shared" si="12"/>
        <v>0.25</v>
      </c>
      <c r="K737" s="3" t="s">
        <v>20</v>
      </c>
      <c r="L737" t="s">
        <v>25</v>
      </c>
      <c r="M737" t="s">
        <v>25</v>
      </c>
      <c r="N737" s="1">
        <v>0.82986111111111116</v>
      </c>
      <c r="O737" s="1">
        <v>0.83680555555555547</v>
      </c>
      <c r="P737" s="3">
        <v>4000115008</v>
      </c>
      <c r="Q737">
        <v>10051747</v>
      </c>
      <c r="R737" t="s">
        <v>58</v>
      </c>
      <c r="S737" t="s">
        <v>50</v>
      </c>
    </row>
    <row r="738" spans="3:19" x14ac:dyDescent="0.25">
      <c r="C738">
        <v>3134267</v>
      </c>
      <c r="D738" s="3" t="s">
        <v>22</v>
      </c>
      <c r="E738" s="3">
        <v>1</v>
      </c>
      <c r="F738" s="3" t="s">
        <v>34</v>
      </c>
      <c r="G738" s="3" t="s">
        <v>224</v>
      </c>
      <c r="H738" s="3">
        <v>10</v>
      </c>
      <c r="I738" s="3" t="s">
        <v>19</v>
      </c>
      <c r="J738" s="3">
        <f t="shared" si="12"/>
        <v>0.16666666666666666</v>
      </c>
      <c r="K738" s="3" t="s">
        <v>20</v>
      </c>
      <c r="L738" t="s">
        <v>25</v>
      </c>
      <c r="M738" t="s">
        <v>25</v>
      </c>
      <c r="N738" s="1">
        <v>0.82291666666666663</v>
      </c>
      <c r="O738" s="1">
        <v>0.82986111111111116</v>
      </c>
      <c r="P738" s="3">
        <v>4000115013</v>
      </c>
      <c r="Q738">
        <v>10049565</v>
      </c>
      <c r="R738" t="s">
        <v>58</v>
      </c>
      <c r="S738" t="s">
        <v>50</v>
      </c>
    </row>
    <row r="739" spans="3:19" x14ac:dyDescent="0.25">
      <c r="C739">
        <v>3134268</v>
      </c>
      <c r="D739" s="3" t="s">
        <v>22</v>
      </c>
      <c r="E739" s="3">
        <v>2</v>
      </c>
      <c r="F739" s="3" t="s">
        <v>34</v>
      </c>
      <c r="G739" s="3" t="s">
        <v>224</v>
      </c>
      <c r="H739" s="3">
        <v>10</v>
      </c>
      <c r="I739" s="3" t="s">
        <v>19</v>
      </c>
      <c r="J739" s="3">
        <f t="shared" si="12"/>
        <v>0.16666666666666666</v>
      </c>
      <c r="K739" s="3" t="s">
        <v>20</v>
      </c>
      <c r="L739" t="s">
        <v>25</v>
      </c>
      <c r="M739" t="s">
        <v>25</v>
      </c>
      <c r="N739" s="1">
        <v>0.81944444444444453</v>
      </c>
      <c r="O739" s="1">
        <v>0.82638888888888884</v>
      </c>
      <c r="P739" s="3">
        <v>4000115014</v>
      </c>
      <c r="Q739">
        <v>10051174</v>
      </c>
      <c r="R739" t="s">
        <v>58</v>
      </c>
      <c r="S739" t="s">
        <v>50</v>
      </c>
    </row>
    <row r="740" spans="3:19" x14ac:dyDescent="0.25">
      <c r="C740">
        <v>3134284</v>
      </c>
      <c r="D740" s="3" t="s">
        <v>22</v>
      </c>
      <c r="E740" s="3">
        <v>1</v>
      </c>
      <c r="F740" s="3" t="s">
        <v>34</v>
      </c>
      <c r="G740" s="3" t="s">
        <v>224</v>
      </c>
      <c r="H740" s="3">
        <v>20</v>
      </c>
      <c r="I740" s="3" t="s">
        <v>19</v>
      </c>
      <c r="J740" s="3">
        <f t="shared" si="12"/>
        <v>0.33333333333333331</v>
      </c>
      <c r="K740" s="3" t="s">
        <v>20</v>
      </c>
      <c r="L740" t="s">
        <v>25</v>
      </c>
      <c r="M740" t="s">
        <v>25</v>
      </c>
      <c r="N740" s="1">
        <v>0.80555555555555547</v>
      </c>
      <c r="O740" s="1">
        <v>0.81944444444444453</v>
      </c>
      <c r="P740" s="3">
        <v>4000115030</v>
      </c>
      <c r="Q740">
        <v>10051738</v>
      </c>
      <c r="R740" t="s">
        <v>58</v>
      </c>
      <c r="S740" t="s">
        <v>50</v>
      </c>
    </row>
    <row r="741" spans="3:19" x14ac:dyDescent="0.25">
      <c r="C741">
        <v>3132498</v>
      </c>
      <c r="D741" s="3" t="s">
        <v>28</v>
      </c>
      <c r="E741" s="3">
        <v>2</v>
      </c>
      <c r="F741" s="3" t="s">
        <v>34</v>
      </c>
      <c r="G741" s="3" t="s">
        <v>224</v>
      </c>
      <c r="H741" s="3">
        <v>15</v>
      </c>
      <c r="I741" s="3" t="s">
        <v>19</v>
      </c>
      <c r="J741" s="3">
        <f t="shared" si="12"/>
        <v>0.25</v>
      </c>
      <c r="K741" s="3" t="s">
        <v>20</v>
      </c>
      <c r="L741" t="s">
        <v>22</v>
      </c>
      <c r="M741" t="s">
        <v>22</v>
      </c>
      <c r="N741" s="1">
        <v>0.84722222222222221</v>
      </c>
      <c r="O741" s="1">
        <v>0.85763888888888884</v>
      </c>
      <c r="P741" s="3">
        <v>4000114055</v>
      </c>
      <c r="Q741">
        <v>10049549</v>
      </c>
      <c r="R741" t="s">
        <v>58</v>
      </c>
      <c r="S741" t="s">
        <v>72</v>
      </c>
    </row>
    <row r="742" spans="3:19" x14ac:dyDescent="0.25">
      <c r="C742">
        <v>3132499</v>
      </c>
      <c r="D742" s="3" t="s">
        <v>28</v>
      </c>
      <c r="E742" s="3">
        <v>2</v>
      </c>
      <c r="F742" s="3" t="s">
        <v>34</v>
      </c>
      <c r="G742" s="3" t="s">
        <v>224</v>
      </c>
      <c r="H742" s="3">
        <v>25</v>
      </c>
      <c r="I742" s="3" t="s">
        <v>19</v>
      </c>
      <c r="J742" s="3">
        <f t="shared" si="12"/>
        <v>0.41666666666666669</v>
      </c>
      <c r="K742" s="3" t="s">
        <v>20</v>
      </c>
      <c r="L742" t="s">
        <v>22</v>
      </c>
      <c r="M742" t="s">
        <v>22</v>
      </c>
      <c r="N742" s="1">
        <v>0.85763888888888884</v>
      </c>
      <c r="O742" s="1">
        <v>0.86805555555555547</v>
      </c>
      <c r="P742" s="3">
        <v>4000114056</v>
      </c>
      <c r="Q742">
        <v>10049534</v>
      </c>
      <c r="R742" t="s">
        <v>58</v>
      </c>
      <c r="S742" t="s">
        <v>72</v>
      </c>
    </row>
    <row r="743" spans="3:19" x14ac:dyDescent="0.25">
      <c r="C743">
        <v>3134105</v>
      </c>
      <c r="D743" s="3" t="s">
        <v>28</v>
      </c>
      <c r="E743" s="3">
        <v>2</v>
      </c>
      <c r="F743" s="3" t="s">
        <v>34</v>
      </c>
      <c r="G743" s="3" t="s">
        <v>224</v>
      </c>
      <c r="H743" s="3">
        <v>20</v>
      </c>
      <c r="I743" s="3" t="s">
        <v>19</v>
      </c>
      <c r="J743" s="3">
        <f t="shared" si="12"/>
        <v>0.33333333333333331</v>
      </c>
      <c r="K743" s="3" t="s">
        <v>20</v>
      </c>
      <c r="L743" t="s">
        <v>22</v>
      </c>
      <c r="M743" t="s">
        <v>22</v>
      </c>
      <c r="N743" s="1">
        <v>0.92361111111111116</v>
      </c>
      <c r="O743" s="1">
        <v>0.9375</v>
      </c>
      <c r="P743" s="3">
        <v>4000114864</v>
      </c>
      <c r="Q743">
        <v>10051337</v>
      </c>
      <c r="R743" t="s">
        <v>54</v>
      </c>
      <c r="S743" t="s">
        <v>218</v>
      </c>
    </row>
    <row r="744" spans="3:19" x14ac:dyDescent="0.25">
      <c r="C744">
        <v>3134114</v>
      </c>
      <c r="D744" s="3" t="s">
        <v>28</v>
      </c>
      <c r="E744" s="3">
        <v>2</v>
      </c>
      <c r="F744" s="3" t="s">
        <v>34</v>
      </c>
      <c r="G744" s="3" t="s">
        <v>224</v>
      </c>
      <c r="H744" s="3">
        <v>5</v>
      </c>
      <c r="I744" s="3" t="s">
        <v>19</v>
      </c>
      <c r="J744" s="3">
        <f t="shared" si="12"/>
        <v>8.3333333333333329E-2</v>
      </c>
      <c r="K744" s="3" t="s">
        <v>20</v>
      </c>
      <c r="L744" t="s">
        <v>22</v>
      </c>
      <c r="M744" t="s">
        <v>22</v>
      </c>
      <c r="N744" s="1">
        <v>0.92013888888888884</v>
      </c>
      <c r="O744" s="1">
        <v>0.92361111111111116</v>
      </c>
      <c r="P744" s="3">
        <v>4000114873</v>
      </c>
      <c r="Q744">
        <v>10049680</v>
      </c>
      <c r="R744" t="s">
        <v>54</v>
      </c>
      <c r="S744" t="s">
        <v>218</v>
      </c>
    </row>
    <row r="745" spans="3:19" x14ac:dyDescent="0.25">
      <c r="C745">
        <v>3134126</v>
      </c>
      <c r="D745" s="3" t="s">
        <v>28</v>
      </c>
      <c r="E745" s="3">
        <v>2</v>
      </c>
      <c r="F745" s="3" t="s">
        <v>34</v>
      </c>
      <c r="G745" s="3" t="s">
        <v>224</v>
      </c>
      <c r="H745" s="3">
        <v>25</v>
      </c>
      <c r="I745" s="3" t="s">
        <v>19</v>
      </c>
      <c r="J745" s="3">
        <f t="shared" si="12"/>
        <v>0.41666666666666669</v>
      </c>
      <c r="K745" s="3" t="s">
        <v>20</v>
      </c>
      <c r="L745" t="s">
        <v>22</v>
      </c>
      <c r="M745" t="s">
        <v>22</v>
      </c>
      <c r="N745" s="1">
        <v>0.88541666666666663</v>
      </c>
      <c r="O745" s="1">
        <v>0.89583333333333337</v>
      </c>
      <c r="P745" s="3">
        <v>4000114882</v>
      </c>
      <c r="Q745">
        <v>10049667</v>
      </c>
      <c r="R745" t="s">
        <v>54</v>
      </c>
      <c r="S745" t="s">
        <v>218</v>
      </c>
    </row>
    <row r="746" spans="3:19" x14ac:dyDescent="0.25">
      <c r="C746">
        <v>3134205</v>
      </c>
      <c r="D746" s="3" t="s">
        <v>28</v>
      </c>
      <c r="E746" s="3">
        <v>2</v>
      </c>
      <c r="F746" s="3" t="s">
        <v>34</v>
      </c>
      <c r="G746" s="3" t="s">
        <v>224</v>
      </c>
      <c r="H746" s="3">
        <v>10</v>
      </c>
      <c r="I746" s="3" t="s">
        <v>19</v>
      </c>
      <c r="J746" s="3">
        <f t="shared" si="12"/>
        <v>0.16666666666666666</v>
      </c>
      <c r="K746" s="3" t="s">
        <v>20</v>
      </c>
      <c r="L746" t="s">
        <v>22</v>
      </c>
      <c r="M746" t="s">
        <v>22</v>
      </c>
      <c r="N746" s="1">
        <v>0.90972222222222221</v>
      </c>
      <c r="O746" s="1">
        <v>0.91666666666666663</v>
      </c>
      <c r="P746" s="3">
        <v>4000114954</v>
      </c>
      <c r="Q746">
        <v>10051408</v>
      </c>
      <c r="R746" t="s">
        <v>54</v>
      </c>
      <c r="S746" t="s">
        <v>218</v>
      </c>
    </row>
    <row r="747" spans="3:19" x14ac:dyDescent="0.25">
      <c r="C747">
        <v>3134209</v>
      </c>
      <c r="D747" s="3" t="s">
        <v>28</v>
      </c>
      <c r="E747" s="3">
        <v>2</v>
      </c>
      <c r="F747" s="3" t="s">
        <v>34</v>
      </c>
      <c r="G747" s="3" t="s">
        <v>224</v>
      </c>
      <c r="H747" s="3">
        <v>10</v>
      </c>
      <c r="I747" s="3" t="s">
        <v>19</v>
      </c>
      <c r="J747" s="3">
        <f t="shared" si="12"/>
        <v>0.16666666666666666</v>
      </c>
      <c r="K747" s="3" t="s">
        <v>20</v>
      </c>
      <c r="L747" t="s">
        <v>22</v>
      </c>
      <c r="M747" t="s">
        <v>22</v>
      </c>
      <c r="N747" s="1">
        <v>0.89583333333333337</v>
      </c>
      <c r="O747" s="1">
        <v>0.89930555555555547</v>
      </c>
      <c r="P747" s="3">
        <v>4000114958</v>
      </c>
      <c r="Q747">
        <v>10051347</v>
      </c>
      <c r="R747" t="s">
        <v>54</v>
      </c>
      <c r="S747" t="s">
        <v>218</v>
      </c>
    </row>
    <row r="748" spans="3:19" x14ac:dyDescent="0.25">
      <c r="C748">
        <v>3134308</v>
      </c>
      <c r="D748" s="3" t="s">
        <v>28</v>
      </c>
      <c r="E748" s="3">
        <v>2</v>
      </c>
      <c r="F748" s="3" t="s">
        <v>34</v>
      </c>
      <c r="G748" s="3" t="s">
        <v>224</v>
      </c>
      <c r="H748" s="3">
        <v>55</v>
      </c>
      <c r="I748" s="3" t="s">
        <v>19</v>
      </c>
      <c r="J748" s="3">
        <f t="shared" si="12"/>
        <v>0.91666666666666663</v>
      </c>
      <c r="K748" s="3" t="s">
        <v>20</v>
      </c>
      <c r="L748" t="s">
        <v>22</v>
      </c>
      <c r="M748" t="s">
        <v>22</v>
      </c>
      <c r="N748" s="1">
        <v>0.86805555555555547</v>
      </c>
      <c r="O748" s="1">
        <v>0.88888888888888884</v>
      </c>
      <c r="P748" s="3">
        <v>4000115054</v>
      </c>
      <c r="Q748">
        <v>10051759</v>
      </c>
      <c r="R748" t="s">
        <v>58</v>
      </c>
      <c r="S748" t="s">
        <v>72</v>
      </c>
    </row>
    <row r="749" spans="3:19" x14ac:dyDescent="0.25">
      <c r="C749">
        <v>3112706</v>
      </c>
      <c r="D749" s="3" t="s">
        <v>28</v>
      </c>
      <c r="E749" s="3">
        <v>4</v>
      </c>
      <c r="F749" s="3" t="s">
        <v>34</v>
      </c>
      <c r="G749" s="3" t="s">
        <v>224</v>
      </c>
      <c r="H749" s="3">
        <v>120</v>
      </c>
      <c r="I749" s="3" t="s">
        <v>19</v>
      </c>
      <c r="J749" s="3">
        <f t="shared" si="12"/>
        <v>2</v>
      </c>
      <c r="K749" s="3" t="s">
        <v>20</v>
      </c>
      <c r="L749" t="s">
        <v>67</v>
      </c>
      <c r="M749" t="s">
        <v>67</v>
      </c>
      <c r="N749" s="1">
        <v>0.33333333333333331</v>
      </c>
      <c r="O749" s="1">
        <v>0.41666666666666669</v>
      </c>
      <c r="P749" s="3">
        <v>4000108534</v>
      </c>
      <c r="Q749">
        <v>10049361</v>
      </c>
      <c r="R749" t="s">
        <v>36</v>
      </c>
      <c r="S749" t="s">
        <v>68</v>
      </c>
    </row>
    <row r="750" spans="3:19" x14ac:dyDescent="0.25">
      <c r="C750">
        <v>3114091</v>
      </c>
      <c r="D750" s="3" t="s">
        <v>28</v>
      </c>
      <c r="E750" s="3">
        <v>4</v>
      </c>
      <c r="F750" s="3" t="s">
        <v>34</v>
      </c>
      <c r="G750" s="3" t="s">
        <v>224</v>
      </c>
      <c r="H750" s="3">
        <v>120</v>
      </c>
      <c r="I750" s="3" t="s">
        <v>19</v>
      </c>
      <c r="J750" s="3">
        <f t="shared" si="12"/>
        <v>2</v>
      </c>
      <c r="K750" s="3" t="s">
        <v>20</v>
      </c>
      <c r="L750" t="s">
        <v>67</v>
      </c>
      <c r="M750" t="s">
        <v>67</v>
      </c>
      <c r="N750" s="1">
        <v>0.54166666666666663</v>
      </c>
      <c r="O750" s="1">
        <v>0.625</v>
      </c>
      <c r="P750" s="3">
        <v>4000109519</v>
      </c>
      <c r="Q750">
        <v>10051443</v>
      </c>
      <c r="R750" t="s">
        <v>36</v>
      </c>
      <c r="S750" t="s">
        <v>69</v>
      </c>
    </row>
    <row r="751" spans="3:19" x14ac:dyDescent="0.25">
      <c r="C751">
        <v>3118388</v>
      </c>
      <c r="D751" s="3" t="s">
        <v>28</v>
      </c>
      <c r="E751" s="3">
        <v>4</v>
      </c>
      <c r="F751" s="3" t="s">
        <v>34</v>
      </c>
      <c r="G751" s="3" t="s">
        <v>224</v>
      </c>
      <c r="H751" s="3">
        <v>120</v>
      </c>
      <c r="I751" s="3" t="s">
        <v>19</v>
      </c>
      <c r="J751" s="3">
        <f t="shared" si="12"/>
        <v>2</v>
      </c>
      <c r="K751" s="3" t="s">
        <v>20</v>
      </c>
      <c r="L751" t="s">
        <v>67</v>
      </c>
      <c r="M751" t="s">
        <v>67</v>
      </c>
      <c r="N751" s="1">
        <v>0.41666666666666669</v>
      </c>
      <c r="O751" s="1">
        <v>0.5</v>
      </c>
      <c r="P751" s="3">
        <v>4000111412</v>
      </c>
      <c r="Q751">
        <v>10051778</v>
      </c>
      <c r="R751" t="s">
        <v>36</v>
      </c>
      <c r="S751" t="s">
        <v>70</v>
      </c>
    </row>
    <row r="752" spans="3:19" x14ac:dyDescent="0.25">
      <c r="C752">
        <v>3134132</v>
      </c>
      <c r="D752" s="3" t="s">
        <v>28</v>
      </c>
      <c r="E752" s="3">
        <v>3</v>
      </c>
      <c r="F752" s="3" t="s">
        <v>34</v>
      </c>
      <c r="G752" s="3" t="s">
        <v>224</v>
      </c>
      <c r="H752" s="3">
        <v>60</v>
      </c>
      <c r="I752" s="3" t="s">
        <v>19</v>
      </c>
      <c r="J752" s="3">
        <f t="shared" si="12"/>
        <v>1</v>
      </c>
      <c r="K752" s="3" t="s">
        <v>20</v>
      </c>
      <c r="L752" t="s">
        <v>67</v>
      </c>
      <c r="M752" t="s">
        <v>67</v>
      </c>
      <c r="N752" s="1">
        <v>0.33333333333333331</v>
      </c>
      <c r="O752" s="1">
        <v>0.375</v>
      </c>
      <c r="P752" s="3">
        <v>4000114888</v>
      </c>
      <c r="Q752">
        <v>10051548</v>
      </c>
      <c r="R752" t="s">
        <v>57</v>
      </c>
      <c r="S752" t="s">
        <v>32</v>
      </c>
    </row>
    <row r="753" spans="3:19" x14ac:dyDescent="0.25">
      <c r="C753">
        <v>3134181</v>
      </c>
      <c r="D753" s="3" t="s">
        <v>28</v>
      </c>
      <c r="E753" s="3">
        <v>2</v>
      </c>
      <c r="F753" s="3" t="s">
        <v>34</v>
      </c>
      <c r="G753" s="3" t="s">
        <v>224</v>
      </c>
      <c r="H753" s="3">
        <v>25</v>
      </c>
      <c r="I753" s="3" t="s">
        <v>19</v>
      </c>
      <c r="J753" s="3">
        <f t="shared" si="12"/>
        <v>0.41666666666666669</v>
      </c>
      <c r="K753" s="3" t="s">
        <v>20</v>
      </c>
      <c r="L753" t="s">
        <v>67</v>
      </c>
      <c r="M753" t="s">
        <v>67</v>
      </c>
      <c r="N753" s="1">
        <v>0.89930555555555547</v>
      </c>
      <c r="O753" s="1">
        <v>0.90972222222222221</v>
      </c>
      <c r="P753" s="3">
        <v>4000114930</v>
      </c>
      <c r="Q753">
        <v>10051329</v>
      </c>
      <c r="R753" t="s">
        <v>54</v>
      </c>
      <c r="S753" t="s">
        <v>218</v>
      </c>
    </row>
    <row r="754" spans="3:19" x14ac:dyDescent="0.25">
      <c r="C754">
        <v>3134204</v>
      </c>
      <c r="D754" s="3" t="s">
        <v>28</v>
      </c>
      <c r="E754" s="3">
        <v>2</v>
      </c>
      <c r="F754" s="3" t="s">
        <v>34</v>
      </c>
      <c r="G754" s="3" t="s">
        <v>224</v>
      </c>
      <c r="H754" s="3">
        <v>60</v>
      </c>
      <c r="I754" s="3" t="s">
        <v>19</v>
      </c>
      <c r="J754" s="3">
        <f t="shared" si="12"/>
        <v>1</v>
      </c>
      <c r="K754" s="3" t="s">
        <v>20</v>
      </c>
      <c r="L754" t="s">
        <v>67</v>
      </c>
      <c r="M754" t="s">
        <v>67</v>
      </c>
      <c r="N754" s="1">
        <v>0.91666666666666663</v>
      </c>
      <c r="O754" s="1">
        <v>0.95833333333333337</v>
      </c>
      <c r="P754" s="3">
        <v>4000114953</v>
      </c>
      <c r="Q754">
        <v>10049688</v>
      </c>
      <c r="R754" t="s">
        <v>54</v>
      </c>
      <c r="S754" t="s">
        <v>218</v>
      </c>
    </row>
    <row r="755" spans="3:19" x14ac:dyDescent="0.25">
      <c r="G755" s="3" t="s">
        <v>23</v>
      </c>
      <c r="H755" s="3">
        <v>2</v>
      </c>
      <c r="I755" s="3" t="s">
        <v>129</v>
      </c>
      <c r="J755" s="3">
        <f>H755*60</f>
        <v>120</v>
      </c>
      <c r="K755" s="3" t="s">
        <v>226</v>
      </c>
      <c r="P755" s="3">
        <v>4000116225</v>
      </c>
    </row>
    <row r="756" spans="3:19" x14ac:dyDescent="0.25">
      <c r="G756" s="3" t="s">
        <v>23</v>
      </c>
      <c r="H756" s="3">
        <v>30</v>
      </c>
      <c r="I756" s="3" t="s">
        <v>19</v>
      </c>
      <c r="J756" s="3">
        <f>H756/60</f>
        <v>0.5</v>
      </c>
      <c r="K756" s="3" t="s">
        <v>226</v>
      </c>
      <c r="P756" s="3">
        <v>4000116573</v>
      </c>
    </row>
    <row r="757" spans="3:19" x14ac:dyDescent="0.25">
      <c r="G757" s="3" t="s">
        <v>74</v>
      </c>
      <c r="H757" s="3">
        <v>30</v>
      </c>
      <c r="I757" s="3" t="s">
        <v>19</v>
      </c>
      <c r="J757" s="3">
        <f t="shared" ref="J757:J818" si="13">H757/60</f>
        <v>0.5</v>
      </c>
      <c r="K757" s="3" t="s">
        <v>226</v>
      </c>
      <c r="P757" s="3">
        <v>4000114708</v>
      </c>
    </row>
    <row r="758" spans="3:19" x14ac:dyDescent="0.25">
      <c r="G758" s="3" t="s">
        <v>74</v>
      </c>
      <c r="H758" s="3">
        <v>30</v>
      </c>
      <c r="I758" s="3" t="s">
        <v>19</v>
      </c>
      <c r="J758" s="3">
        <f t="shared" si="13"/>
        <v>0.5</v>
      </c>
      <c r="K758" s="3" t="s">
        <v>226</v>
      </c>
      <c r="P758" s="3">
        <v>4000116550</v>
      </c>
    </row>
    <row r="759" spans="3:19" x14ac:dyDescent="0.25">
      <c r="G759" s="3" t="s">
        <v>74</v>
      </c>
      <c r="H759" s="3">
        <v>30</v>
      </c>
      <c r="I759" s="3" t="s">
        <v>19</v>
      </c>
      <c r="J759" s="3">
        <f t="shared" si="13"/>
        <v>0.5</v>
      </c>
      <c r="K759" s="3" t="s">
        <v>226</v>
      </c>
      <c r="P759" s="3">
        <v>4000117771</v>
      </c>
    </row>
    <row r="760" spans="3:19" x14ac:dyDescent="0.25">
      <c r="G760" s="3" t="s">
        <v>103</v>
      </c>
      <c r="H760" s="3">
        <v>1.5</v>
      </c>
      <c r="I760" s="3" t="s">
        <v>129</v>
      </c>
      <c r="J760" s="3">
        <f>H760*60</f>
        <v>90</v>
      </c>
      <c r="K760" s="3" t="s">
        <v>226</v>
      </c>
      <c r="P760" s="3">
        <v>4000113945</v>
      </c>
    </row>
    <row r="761" spans="3:19" x14ac:dyDescent="0.25">
      <c r="G761" s="3" t="s">
        <v>103</v>
      </c>
      <c r="H761" s="3">
        <v>30</v>
      </c>
      <c r="I761" s="3" t="s">
        <v>19</v>
      </c>
      <c r="J761" s="3">
        <f>H761/60</f>
        <v>0.5</v>
      </c>
      <c r="K761" s="3" t="s">
        <v>226</v>
      </c>
      <c r="P761" s="3">
        <v>4000115985</v>
      </c>
    </row>
    <row r="762" spans="3:19" x14ac:dyDescent="0.25">
      <c r="G762" s="3" t="s">
        <v>103</v>
      </c>
      <c r="H762" s="3">
        <v>1</v>
      </c>
      <c r="I762" s="3" t="s">
        <v>129</v>
      </c>
      <c r="J762" s="3">
        <f>H762*60</f>
        <v>60</v>
      </c>
      <c r="K762" s="3" t="s">
        <v>226</v>
      </c>
      <c r="P762" s="3">
        <v>4000114823</v>
      </c>
    </row>
    <row r="763" spans="3:19" x14ac:dyDescent="0.25">
      <c r="G763" s="3" t="s">
        <v>103</v>
      </c>
      <c r="H763" s="3">
        <v>20</v>
      </c>
      <c r="I763" s="3" t="s">
        <v>19</v>
      </c>
      <c r="J763" s="3">
        <f t="shared" si="13"/>
        <v>0.33333333333333331</v>
      </c>
      <c r="K763" s="3" t="s">
        <v>226</v>
      </c>
      <c r="P763" s="3">
        <v>4000115309</v>
      </c>
    </row>
    <row r="764" spans="3:19" x14ac:dyDescent="0.25">
      <c r="G764" s="3" t="s">
        <v>103</v>
      </c>
      <c r="H764" s="3">
        <v>20</v>
      </c>
      <c r="I764" s="3" t="s">
        <v>19</v>
      </c>
      <c r="J764" s="3">
        <f t="shared" si="13"/>
        <v>0.33333333333333331</v>
      </c>
      <c r="K764" s="3" t="s">
        <v>226</v>
      </c>
      <c r="P764" s="3">
        <v>4000115472</v>
      </c>
    </row>
    <row r="765" spans="3:19" x14ac:dyDescent="0.25">
      <c r="G765" s="3" t="s">
        <v>103</v>
      </c>
      <c r="H765" s="3">
        <v>2</v>
      </c>
      <c r="I765" s="3" t="s">
        <v>129</v>
      </c>
      <c r="J765" s="3">
        <f>H765*60</f>
        <v>120</v>
      </c>
      <c r="K765" s="3" t="s">
        <v>226</v>
      </c>
      <c r="P765" s="3">
        <v>4000115488</v>
      </c>
    </row>
    <row r="766" spans="3:19" x14ac:dyDescent="0.25">
      <c r="G766" s="3" t="s">
        <v>103</v>
      </c>
      <c r="H766" s="3">
        <v>30</v>
      </c>
      <c r="I766" s="3" t="s">
        <v>19</v>
      </c>
      <c r="J766" s="3">
        <f t="shared" si="13"/>
        <v>0.5</v>
      </c>
      <c r="K766" s="3" t="s">
        <v>226</v>
      </c>
      <c r="P766" s="3">
        <v>4000116340</v>
      </c>
    </row>
    <row r="767" spans="3:19" x14ac:dyDescent="0.25">
      <c r="G767" s="3" t="s">
        <v>103</v>
      </c>
      <c r="H767" s="3">
        <v>30</v>
      </c>
      <c r="I767" s="3" t="s">
        <v>19</v>
      </c>
      <c r="J767" s="3">
        <f t="shared" si="13"/>
        <v>0.5</v>
      </c>
      <c r="K767" s="3" t="s">
        <v>226</v>
      </c>
      <c r="P767" s="3">
        <v>4000116260</v>
      </c>
    </row>
    <row r="768" spans="3:19" x14ac:dyDescent="0.25">
      <c r="G768" s="3" t="s">
        <v>103</v>
      </c>
      <c r="H768" s="3">
        <v>30</v>
      </c>
      <c r="I768" s="3" t="s">
        <v>19</v>
      </c>
      <c r="J768" s="3">
        <f t="shared" si="13"/>
        <v>0.5</v>
      </c>
      <c r="K768" s="3" t="s">
        <v>226</v>
      </c>
      <c r="P768" s="3">
        <v>4000116573</v>
      </c>
    </row>
    <row r="769" spans="7:16" x14ac:dyDescent="0.25">
      <c r="G769" s="3" t="s">
        <v>103</v>
      </c>
      <c r="H769" s="3">
        <v>20</v>
      </c>
      <c r="I769" s="3" t="s">
        <v>19</v>
      </c>
      <c r="J769" s="3">
        <f t="shared" si="13"/>
        <v>0.33333333333333331</v>
      </c>
      <c r="K769" s="3" t="s">
        <v>226</v>
      </c>
      <c r="P769" s="3">
        <v>4000116697</v>
      </c>
    </row>
    <row r="770" spans="7:16" x14ac:dyDescent="0.25">
      <c r="G770" s="3" t="s">
        <v>103</v>
      </c>
      <c r="H770" s="3">
        <v>40</v>
      </c>
      <c r="I770" s="3" t="s">
        <v>19</v>
      </c>
      <c r="J770" s="3">
        <f t="shared" si="13"/>
        <v>0.66666666666666663</v>
      </c>
      <c r="K770" s="3" t="s">
        <v>226</v>
      </c>
      <c r="P770" s="3">
        <v>4000116826</v>
      </c>
    </row>
    <row r="771" spans="7:16" x14ac:dyDescent="0.25">
      <c r="G771" s="3" t="s">
        <v>103</v>
      </c>
      <c r="H771" s="3">
        <v>1.5</v>
      </c>
      <c r="I771" s="3" t="s">
        <v>129</v>
      </c>
      <c r="J771" s="3">
        <f>H771*60</f>
        <v>90</v>
      </c>
      <c r="K771" s="3" t="s">
        <v>226</v>
      </c>
      <c r="P771" s="3">
        <v>4000117536</v>
      </c>
    </row>
    <row r="772" spans="7:16" x14ac:dyDescent="0.25">
      <c r="G772" s="3" t="s">
        <v>103</v>
      </c>
      <c r="H772" s="3">
        <v>20</v>
      </c>
      <c r="I772" s="3" t="s">
        <v>19</v>
      </c>
      <c r="J772" s="3">
        <f t="shared" si="13"/>
        <v>0.33333333333333331</v>
      </c>
      <c r="K772" s="3" t="s">
        <v>226</v>
      </c>
      <c r="P772" s="3">
        <v>4000118755</v>
      </c>
    </row>
    <row r="773" spans="7:16" x14ac:dyDescent="0.25">
      <c r="G773" s="3" t="s">
        <v>122</v>
      </c>
      <c r="H773" s="3">
        <v>3</v>
      </c>
      <c r="I773" s="3" t="s">
        <v>129</v>
      </c>
      <c r="J773" s="3">
        <f>H773*60</f>
        <v>180</v>
      </c>
      <c r="K773" s="3" t="s">
        <v>226</v>
      </c>
      <c r="P773" s="3">
        <v>4000113856</v>
      </c>
    </row>
    <row r="774" spans="7:16" x14ac:dyDescent="0.25">
      <c r="G774" s="3" t="s">
        <v>122</v>
      </c>
      <c r="H774" s="3">
        <v>40</v>
      </c>
      <c r="I774" s="3" t="s">
        <v>19</v>
      </c>
      <c r="J774" s="3">
        <f t="shared" si="13"/>
        <v>0.66666666666666663</v>
      </c>
      <c r="K774" s="3" t="s">
        <v>226</v>
      </c>
      <c r="P774" s="3">
        <v>4000114678</v>
      </c>
    </row>
    <row r="775" spans="7:16" x14ac:dyDescent="0.25">
      <c r="G775" s="3" t="s">
        <v>122</v>
      </c>
      <c r="H775" s="3">
        <v>40</v>
      </c>
      <c r="I775" s="3" t="s">
        <v>19</v>
      </c>
      <c r="J775" s="3">
        <f t="shared" si="13"/>
        <v>0.66666666666666663</v>
      </c>
      <c r="K775" s="3" t="s">
        <v>226</v>
      </c>
      <c r="P775" s="3">
        <v>4000114679</v>
      </c>
    </row>
    <row r="776" spans="7:16" x14ac:dyDescent="0.25">
      <c r="G776" s="3" t="s">
        <v>122</v>
      </c>
      <c r="H776" s="3">
        <v>30</v>
      </c>
      <c r="I776" s="3" t="s">
        <v>19</v>
      </c>
      <c r="J776" s="3">
        <f t="shared" si="13"/>
        <v>0.5</v>
      </c>
      <c r="K776" s="3" t="s">
        <v>226</v>
      </c>
      <c r="P776" s="3">
        <v>4000114753</v>
      </c>
    </row>
    <row r="777" spans="7:16" x14ac:dyDescent="0.25">
      <c r="G777" s="3" t="s">
        <v>122</v>
      </c>
      <c r="H777" s="3">
        <v>0</v>
      </c>
      <c r="I777" s="3" t="s">
        <v>129</v>
      </c>
      <c r="J777" s="3">
        <f>H777*60</f>
        <v>0</v>
      </c>
      <c r="K777" s="3" t="s">
        <v>226</v>
      </c>
      <c r="P777" s="3">
        <v>4000114753</v>
      </c>
    </row>
    <row r="778" spans="7:16" x14ac:dyDescent="0.25">
      <c r="G778" s="3" t="s">
        <v>122</v>
      </c>
      <c r="H778" s="3">
        <v>30</v>
      </c>
      <c r="I778" s="3" t="s">
        <v>19</v>
      </c>
      <c r="J778" s="3">
        <f t="shared" si="13"/>
        <v>0.5</v>
      </c>
      <c r="K778" s="3" t="s">
        <v>226</v>
      </c>
      <c r="P778" s="3">
        <v>4000116550</v>
      </c>
    </row>
    <row r="779" spans="7:16" x14ac:dyDescent="0.25">
      <c r="G779" s="3" t="s">
        <v>122</v>
      </c>
      <c r="H779" s="3">
        <v>30</v>
      </c>
      <c r="I779" s="3" t="s">
        <v>19</v>
      </c>
      <c r="J779" s="3">
        <f t="shared" si="13"/>
        <v>0.5</v>
      </c>
      <c r="K779" s="3" t="s">
        <v>226</v>
      </c>
      <c r="P779" s="3">
        <v>4000117771</v>
      </c>
    </row>
    <row r="780" spans="7:16" x14ac:dyDescent="0.25">
      <c r="G780" s="3" t="s">
        <v>137</v>
      </c>
      <c r="H780" s="3">
        <v>40</v>
      </c>
      <c r="I780" s="3" t="s">
        <v>19</v>
      </c>
      <c r="J780" s="3">
        <f t="shared" si="13"/>
        <v>0.66666666666666663</v>
      </c>
      <c r="K780" s="3" t="s">
        <v>226</v>
      </c>
      <c r="P780" s="3">
        <v>4000114678</v>
      </c>
    </row>
    <row r="781" spans="7:16" x14ac:dyDescent="0.25">
      <c r="G781" s="3" t="s">
        <v>137</v>
      </c>
      <c r="H781" s="3">
        <v>40</v>
      </c>
      <c r="I781" s="3" t="s">
        <v>19</v>
      </c>
      <c r="J781" s="3">
        <f t="shared" si="13"/>
        <v>0.66666666666666663</v>
      </c>
      <c r="K781" s="3" t="s">
        <v>226</v>
      </c>
      <c r="P781" s="3">
        <v>4000114679</v>
      </c>
    </row>
    <row r="782" spans="7:16" x14ac:dyDescent="0.25">
      <c r="G782" s="3" t="s">
        <v>137</v>
      </c>
      <c r="H782" s="3">
        <v>30</v>
      </c>
      <c r="I782" s="3" t="s">
        <v>19</v>
      </c>
      <c r="J782" s="3">
        <f t="shared" si="13"/>
        <v>0.5</v>
      </c>
      <c r="K782" s="3" t="s">
        <v>226</v>
      </c>
      <c r="P782" s="3">
        <v>4000114708</v>
      </c>
    </row>
    <row r="783" spans="7:16" x14ac:dyDescent="0.25">
      <c r="G783" s="3" t="s">
        <v>137</v>
      </c>
      <c r="H783" s="3">
        <v>20</v>
      </c>
      <c r="I783" s="3" t="s">
        <v>19</v>
      </c>
      <c r="J783" s="3">
        <f t="shared" si="13"/>
        <v>0.33333333333333331</v>
      </c>
      <c r="K783" s="3" t="s">
        <v>226</v>
      </c>
      <c r="P783" s="3">
        <v>4000115422</v>
      </c>
    </row>
    <row r="784" spans="7:16" x14ac:dyDescent="0.25">
      <c r="G784" s="3" t="s">
        <v>137</v>
      </c>
      <c r="H784" s="3">
        <v>30</v>
      </c>
      <c r="I784" s="3" t="s">
        <v>19</v>
      </c>
      <c r="J784" s="3">
        <f t="shared" si="13"/>
        <v>0.5</v>
      </c>
      <c r="K784" s="3" t="s">
        <v>226</v>
      </c>
      <c r="P784" s="3">
        <v>4000115989</v>
      </c>
    </row>
    <row r="785" spans="7:16" x14ac:dyDescent="0.25">
      <c r="G785" s="3" t="s">
        <v>137</v>
      </c>
      <c r="H785" s="3">
        <v>30</v>
      </c>
      <c r="I785" s="3" t="s">
        <v>19</v>
      </c>
      <c r="J785" s="3">
        <f t="shared" si="13"/>
        <v>0.5</v>
      </c>
      <c r="K785" s="3" t="s">
        <v>226</v>
      </c>
      <c r="P785" s="3">
        <v>4000116550</v>
      </c>
    </row>
    <row r="786" spans="7:16" x14ac:dyDescent="0.25">
      <c r="G786" s="3" t="s">
        <v>137</v>
      </c>
      <c r="H786" s="3">
        <v>40</v>
      </c>
      <c r="I786" s="3" t="s">
        <v>19</v>
      </c>
      <c r="J786" s="3">
        <f t="shared" si="13"/>
        <v>0.66666666666666663</v>
      </c>
      <c r="K786" s="3" t="s">
        <v>226</v>
      </c>
      <c r="P786" s="3">
        <v>4000117341</v>
      </c>
    </row>
    <row r="787" spans="7:16" x14ac:dyDescent="0.25">
      <c r="G787" s="3" t="s">
        <v>137</v>
      </c>
      <c r="H787" s="3">
        <v>30</v>
      </c>
      <c r="I787" s="3" t="s">
        <v>19</v>
      </c>
      <c r="J787" s="3">
        <f t="shared" si="13"/>
        <v>0.5</v>
      </c>
      <c r="K787" s="3" t="s">
        <v>226</v>
      </c>
      <c r="P787" s="3">
        <v>4000118141</v>
      </c>
    </row>
    <row r="788" spans="7:16" x14ac:dyDescent="0.25">
      <c r="G788" s="3" t="s">
        <v>137</v>
      </c>
      <c r="H788" s="3">
        <v>30</v>
      </c>
      <c r="I788" s="3" t="s">
        <v>19</v>
      </c>
      <c r="J788" s="3">
        <f t="shared" si="13"/>
        <v>0.5</v>
      </c>
      <c r="K788" s="3" t="s">
        <v>226</v>
      </c>
      <c r="P788" s="3">
        <v>4000117771</v>
      </c>
    </row>
    <row r="789" spans="7:16" x14ac:dyDescent="0.25">
      <c r="G789" s="3" t="s">
        <v>156</v>
      </c>
      <c r="H789" s="3">
        <v>1.5</v>
      </c>
      <c r="I789" s="3" t="s">
        <v>129</v>
      </c>
      <c r="J789" s="3">
        <f>H789*60</f>
        <v>90</v>
      </c>
      <c r="K789" s="3" t="s">
        <v>226</v>
      </c>
      <c r="P789" s="3">
        <v>4000113945</v>
      </c>
    </row>
    <row r="790" spans="7:16" x14ac:dyDescent="0.25">
      <c r="G790" s="3" t="s">
        <v>156</v>
      </c>
      <c r="H790" s="3">
        <v>30</v>
      </c>
      <c r="I790" s="3" t="s">
        <v>19</v>
      </c>
      <c r="J790" s="3">
        <f t="shared" si="13"/>
        <v>0.5</v>
      </c>
      <c r="K790" s="3" t="s">
        <v>226</v>
      </c>
      <c r="P790" s="3">
        <v>4000115985</v>
      </c>
    </row>
    <row r="791" spans="7:16" x14ac:dyDescent="0.25">
      <c r="G791" s="3" t="s">
        <v>156</v>
      </c>
      <c r="H791" s="3">
        <v>1</v>
      </c>
      <c r="I791" s="3" t="s">
        <v>129</v>
      </c>
      <c r="J791" s="3">
        <f>H791*60</f>
        <v>60</v>
      </c>
      <c r="K791" s="3" t="s">
        <v>226</v>
      </c>
      <c r="P791" s="3">
        <v>4000114823</v>
      </c>
    </row>
    <row r="792" spans="7:16" x14ac:dyDescent="0.25">
      <c r="G792" s="3" t="s">
        <v>156</v>
      </c>
      <c r="H792" s="3">
        <v>20</v>
      </c>
      <c r="I792" s="3" t="s">
        <v>19</v>
      </c>
      <c r="J792" s="3">
        <f t="shared" si="13"/>
        <v>0.33333333333333331</v>
      </c>
      <c r="K792" s="3" t="s">
        <v>226</v>
      </c>
      <c r="P792" s="3">
        <v>4000115472</v>
      </c>
    </row>
    <row r="793" spans="7:16" x14ac:dyDescent="0.25">
      <c r="G793" s="3" t="s">
        <v>156</v>
      </c>
      <c r="H793" s="3">
        <v>20</v>
      </c>
      <c r="I793" s="3" t="s">
        <v>19</v>
      </c>
      <c r="J793" s="3">
        <f t="shared" si="13"/>
        <v>0.33333333333333331</v>
      </c>
      <c r="K793" s="3" t="s">
        <v>226</v>
      </c>
      <c r="P793" s="3">
        <v>4000115860</v>
      </c>
    </row>
    <row r="794" spans="7:16" x14ac:dyDescent="0.25">
      <c r="G794" s="3" t="s">
        <v>156</v>
      </c>
      <c r="H794" s="3">
        <v>2</v>
      </c>
      <c r="I794" s="3" t="s">
        <v>129</v>
      </c>
      <c r="J794" s="3">
        <f>H794*60</f>
        <v>120</v>
      </c>
      <c r="K794" s="3" t="s">
        <v>226</v>
      </c>
      <c r="P794" s="3">
        <v>4000115488</v>
      </c>
    </row>
    <row r="795" spans="7:16" x14ac:dyDescent="0.25">
      <c r="G795" s="3" t="s">
        <v>156</v>
      </c>
      <c r="H795" s="3">
        <v>30</v>
      </c>
      <c r="I795" s="3" t="s">
        <v>19</v>
      </c>
      <c r="J795" s="3">
        <f t="shared" si="13"/>
        <v>0.5</v>
      </c>
      <c r="K795" s="3" t="s">
        <v>226</v>
      </c>
      <c r="P795" s="3">
        <v>4000116260</v>
      </c>
    </row>
    <row r="796" spans="7:16" x14ac:dyDescent="0.25">
      <c r="G796" s="3" t="s">
        <v>156</v>
      </c>
      <c r="H796" s="3">
        <v>30</v>
      </c>
      <c r="I796" s="3" t="s">
        <v>19</v>
      </c>
      <c r="J796" s="3">
        <f t="shared" si="13"/>
        <v>0.5</v>
      </c>
      <c r="K796" s="3" t="s">
        <v>226</v>
      </c>
      <c r="P796" s="3">
        <v>4000116573</v>
      </c>
    </row>
    <row r="797" spans="7:16" x14ac:dyDescent="0.25">
      <c r="G797" s="3" t="s">
        <v>156</v>
      </c>
      <c r="H797" s="3">
        <v>1.5</v>
      </c>
      <c r="I797" s="3" t="s">
        <v>129</v>
      </c>
      <c r="J797" s="3">
        <f>H797*60</f>
        <v>90</v>
      </c>
      <c r="K797" s="3" t="s">
        <v>226</v>
      </c>
      <c r="P797" s="3">
        <v>4000117536</v>
      </c>
    </row>
    <row r="798" spans="7:16" x14ac:dyDescent="0.25">
      <c r="G798" s="3" t="s">
        <v>156</v>
      </c>
      <c r="H798" s="3">
        <v>20</v>
      </c>
      <c r="I798" s="3" t="s">
        <v>19</v>
      </c>
      <c r="J798" s="3">
        <f t="shared" si="13"/>
        <v>0.33333333333333331</v>
      </c>
      <c r="K798" s="3" t="s">
        <v>226</v>
      </c>
      <c r="P798" s="3">
        <v>4000118755</v>
      </c>
    </row>
    <row r="799" spans="7:16" x14ac:dyDescent="0.25">
      <c r="G799" s="3" t="s">
        <v>162</v>
      </c>
      <c r="H799" s="3">
        <v>1</v>
      </c>
      <c r="I799" s="3" t="s">
        <v>129</v>
      </c>
      <c r="J799" s="3">
        <f>H799*60</f>
        <v>60</v>
      </c>
      <c r="K799" s="3" t="s">
        <v>226</v>
      </c>
      <c r="P799" s="3">
        <v>4000113895</v>
      </c>
    </row>
    <row r="800" spans="7:16" x14ac:dyDescent="0.25">
      <c r="G800" s="3" t="s">
        <v>162</v>
      </c>
      <c r="H800" s="3">
        <v>1.5</v>
      </c>
      <c r="I800" s="3" t="s">
        <v>129</v>
      </c>
      <c r="J800" s="3">
        <f>H800*60</f>
        <v>90</v>
      </c>
      <c r="K800" s="3" t="s">
        <v>226</v>
      </c>
      <c r="P800" s="3">
        <v>4000113945</v>
      </c>
    </row>
    <row r="801" spans="7:16" x14ac:dyDescent="0.25">
      <c r="G801" s="3" t="s">
        <v>162</v>
      </c>
      <c r="H801" s="3">
        <v>30</v>
      </c>
      <c r="I801" s="3" t="s">
        <v>19</v>
      </c>
      <c r="J801" s="3">
        <f t="shared" si="13"/>
        <v>0.5</v>
      </c>
      <c r="K801" s="3" t="s">
        <v>226</v>
      </c>
      <c r="P801" s="3">
        <v>4000115985</v>
      </c>
    </row>
    <row r="802" spans="7:16" x14ac:dyDescent="0.25">
      <c r="G802" s="3" t="s">
        <v>162</v>
      </c>
      <c r="H802" s="3">
        <v>1</v>
      </c>
      <c r="I802" s="3" t="s">
        <v>129</v>
      </c>
      <c r="J802" s="3">
        <f>H802*60</f>
        <v>60</v>
      </c>
      <c r="K802" s="3" t="s">
        <v>226</v>
      </c>
      <c r="P802" s="3">
        <v>4000114823</v>
      </c>
    </row>
    <row r="803" spans="7:16" x14ac:dyDescent="0.25">
      <c r="G803" s="3" t="s">
        <v>162</v>
      </c>
      <c r="H803" s="3">
        <v>20</v>
      </c>
      <c r="I803" s="3" t="s">
        <v>19</v>
      </c>
      <c r="J803" s="3">
        <f t="shared" si="13"/>
        <v>0.33333333333333331</v>
      </c>
      <c r="K803" s="3" t="s">
        <v>226</v>
      </c>
      <c r="P803" s="3">
        <v>4000115309</v>
      </c>
    </row>
    <row r="804" spans="7:16" x14ac:dyDescent="0.25">
      <c r="G804" s="3" t="s">
        <v>162</v>
      </c>
      <c r="H804" s="3">
        <v>1</v>
      </c>
      <c r="I804" s="3" t="s">
        <v>129</v>
      </c>
      <c r="J804" s="3">
        <f>H804*60</f>
        <v>60</v>
      </c>
      <c r="K804" s="3" t="s">
        <v>226</v>
      </c>
      <c r="P804" s="3">
        <v>4000115486</v>
      </c>
    </row>
    <row r="805" spans="7:16" x14ac:dyDescent="0.25">
      <c r="G805" s="3" t="s">
        <v>162</v>
      </c>
      <c r="H805" s="3">
        <v>2</v>
      </c>
      <c r="I805" s="3" t="s">
        <v>129</v>
      </c>
      <c r="J805" s="3">
        <f>H805*60</f>
        <v>120</v>
      </c>
      <c r="K805" s="3" t="s">
        <v>226</v>
      </c>
      <c r="P805" s="3">
        <v>4000115488</v>
      </c>
    </row>
    <row r="806" spans="7:16" x14ac:dyDescent="0.25">
      <c r="G806" s="3" t="s">
        <v>162</v>
      </c>
      <c r="H806" s="3">
        <v>30</v>
      </c>
      <c r="I806" s="3" t="s">
        <v>19</v>
      </c>
      <c r="J806" s="3">
        <f t="shared" si="13"/>
        <v>0.5</v>
      </c>
      <c r="K806" s="3" t="s">
        <v>226</v>
      </c>
      <c r="P806" s="3">
        <v>4000116260</v>
      </c>
    </row>
    <row r="807" spans="7:16" x14ac:dyDescent="0.25">
      <c r="G807" s="3" t="s">
        <v>178</v>
      </c>
      <c r="H807" s="3">
        <v>40</v>
      </c>
      <c r="I807" s="3" t="s">
        <v>19</v>
      </c>
      <c r="J807" s="3">
        <f t="shared" si="13"/>
        <v>0.66666666666666663</v>
      </c>
      <c r="K807" s="3" t="s">
        <v>226</v>
      </c>
      <c r="P807" s="3">
        <v>4000114678</v>
      </c>
    </row>
    <row r="808" spans="7:16" x14ac:dyDescent="0.25">
      <c r="G808" s="3" t="s">
        <v>178</v>
      </c>
      <c r="H808" s="3">
        <v>40</v>
      </c>
      <c r="I808" s="3" t="s">
        <v>19</v>
      </c>
      <c r="J808" s="3">
        <f t="shared" si="13"/>
        <v>0.66666666666666663</v>
      </c>
      <c r="K808" s="3" t="s">
        <v>226</v>
      </c>
      <c r="P808" s="3">
        <v>4000114679</v>
      </c>
    </row>
    <row r="809" spans="7:16" x14ac:dyDescent="0.25">
      <c r="G809" s="3" t="s">
        <v>178</v>
      </c>
      <c r="H809" s="3">
        <v>30</v>
      </c>
      <c r="I809" s="3" t="s">
        <v>19</v>
      </c>
      <c r="J809" s="3">
        <f t="shared" si="13"/>
        <v>0.5</v>
      </c>
      <c r="K809" s="3" t="s">
        <v>226</v>
      </c>
      <c r="P809" s="3">
        <v>4000114708</v>
      </c>
    </row>
    <row r="810" spans="7:16" x14ac:dyDescent="0.25">
      <c r="G810" s="3" t="s">
        <v>178</v>
      </c>
      <c r="H810" s="3">
        <v>30</v>
      </c>
      <c r="I810" s="3" t="s">
        <v>19</v>
      </c>
      <c r="J810" s="3">
        <f t="shared" si="13"/>
        <v>0.5</v>
      </c>
      <c r="K810" s="3" t="s">
        <v>226</v>
      </c>
      <c r="P810" s="3">
        <v>4000114753</v>
      </c>
    </row>
    <row r="811" spans="7:16" x14ac:dyDescent="0.25">
      <c r="G811" s="3" t="s">
        <v>178</v>
      </c>
      <c r="H811" s="3">
        <v>40</v>
      </c>
      <c r="I811" s="3" t="s">
        <v>19</v>
      </c>
      <c r="J811" s="3">
        <f t="shared" si="13"/>
        <v>0.66666666666666663</v>
      </c>
      <c r="K811" s="3" t="s">
        <v>226</v>
      </c>
      <c r="P811" s="3">
        <v>4000114754</v>
      </c>
    </row>
    <row r="812" spans="7:16" x14ac:dyDescent="0.25">
      <c r="G812" s="3" t="s">
        <v>178</v>
      </c>
      <c r="H812" s="3">
        <v>30</v>
      </c>
      <c r="I812" s="3" t="s">
        <v>19</v>
      </c>
      <c r="J812" s="3">
        <f t="shared" si="13"/>
        <v>0.5</v>
      </c>
      <c r="K812" s="3" t="s">
        <v>226</v>
      </c>
      <c r="P812" s="3">
        <v>4000115423</v>
      </c>
    </row>
    <row r="813" spans="7:16" x14ac:dyDescent="0.25">
      <c r="G813" s="3" t="s">
        <v>178</v>
      </c>
      <c r="H813" s="3">
        <v>3.5</v>
      </c>
      <c r="I813" s="3" t="s">
        <v>129</v>
      </c>
      <c r="J813" s="3">
        <f>H813*60</f>
        <v>210</v>
      </c>
      <c r="K813" s="3" t="s">
        <v>226</v>
      </c>
      <c r="P813" s="3">
        <v>4000115510</v>
      </c>
    </row>
    <row r="814" spans="7:16" x14ac:dyDescent="0.25">
      <c r="G814" s="3" t="s">
        <v>178</v>
      </c>
      <c r="H814" s="3">
        <v>6</v>
      </c>
      <c r="I814" s="3" t="s">
        <v>129</v>
      </c>
      <c r="J814" s="3">
        <f>H814*60</f>
        <v>360</v>
      </c>
      <c r="K814" s="3" t="s">
        <v>226</v>
      </c>
      <c r="P814" s="3">
        <v>4000115778</v>
      </c>
    </row>
    <row r="815" spans="7:16" x14ac:dyDescent="0.25">
      <c r="G815" s="3" t="s">
        <v>178</v>
      </c>
      <c r="H815" s="3">
        <v>30</v>
      </c>
      <c r="I815" s="3" t="s">
        <v>19</v>
      </c>
      <c r="J815" s="3">
        <f t="shared" si="13"/>
        <v>0.5</v>
      </c>
      <c r="K815" s="3" t="s">
        <v>226</v>
      </c>
      <c r="P815" s="3">
        <v>4000116550</v>
      </c>
    </row>
    <row r="816" spans="7:16" x14ac:dyDescent="0.25">
      <c r="G816" s="3" t="s">
        <v>178</v>
      </c>
      <c r="H816" s="3">
        <v>40</v>
      </c>
      <c r="I816" s="3" t="s">
        <v>19</v>
      </c>
      <c r="J816" s="3">
        <f t="shared" si="13"/>
        <v>0.66666666666666663</v>
      </c>
      <c r="K816" s="3" t="s">
        <v>226</v>
      </c>
      <c r="P816" s="3">
        <v>4000117341</v>
      </c>
    </row>
    <row r="817" spans="7:16" x14ac:dyDescent="0.25">
      <c r="G817" s="3" t="s">
        <v>178</v>
      </c>
      <c r="H817" s="3">
        <v>30</v>
      </c>
      <c r="I817" s="3" t="s">
        <v>19</v>
      </c>
      <c r="J817" s="3">
        <f t="shared" si="13"/>
        <v>0.5</v>
      </c>
      <c r="K817" s="3" t="s">
        <v>226</v>
      </c>
      <c r="P817" s="3">
        <v>4000118141</v>
      </c>
    </row>
    <row r="818" spans="7:16" x14ac:dyDescent="0.25">
      <c r="G818" s="3" t="s">
        <v>178</v>
      </c>
      <c r="H818" s="3">
        <v>30</v>
      </c>
      <c r="I818" s="3" t="s">
        <v>19</v>
      </c>
      <c r="J818" s="3">
        <f t="shared" si="13"/>
        <v>0.5</v>
      </c>
      <c r="K818" s="3" t="s">
        <v>226</v>
      </c>
      <c r="P818" s="3">
        <v>4000117771</v>
      </c>
    </row>
    <row r="819" spans="7:16" x14ac:dyDescent="0.25">
      <c r="G819" s="3" t="s">
        <v>186</v>
      </c>
      <c r="H819" s="3">
        <v>2</v>
      </c>
      <c r="I819" s="3" t="s">
        <v>129</v>
      </c>
      <c r="J819" s="3">
        <f>H819*60</f>
        <v>120</v>
      </c>
      <c r="K819" s="3" t="s">
        <v>226</v>
      </c>
      <c r="P819" s="3">
        <v>4000116225</v>
      </c>
    </row>
    <row r="820" spans="7:16" x14ac:dyDescent="0.25">
      <c r="G820" s="3" t="s">
        <v>186</v>
      </c>
      <c r="H820" s="3">
        <v>3</v>
      </c>
      <c r="I820" s="3" t="s">
        <v>129</v>
      </c>
      <c r="J820" s="3">
        <f>H820*60</f>
        <v>180</v>
      </c>
      <c r="K820" s="3" t="s">
        <v>226</v>
      </c>
      <c r="P820" s="3">
        <v>4000113856</v>
      </c>
    </row>
    <row r="821" spans="7:16" x14ac:dyDescent="0.25">
      <c r="G821" s="3" t="s">
        <v>186</v>
      </c>
      <c r="H821" s="3">
        <v>3</v>
      </c>
      <c r="I821" s="3" t="s">
        <v>129</v>
      </c>
      <c r="J821" s="3">
        <f>H821*60</f>
        <v>180</v>
      </c>
      <c r="K821" s="3" t="s">
        <v>226</v>
      </c>
      <c r="P821" s="3">
        <v>4000113899</v>
      </c>
    </row>
    <row r="822" spans="7:16" x14ac:dyDescent="0.25">
      <c r="G822" s="3" t="s">
        <v>186</v>
      </c>
      <c r="H822" s="3">
        <v>0</v>
      </c>
      <c r="I822" s="3" t="s">
        <v>129</v>
      </c>
      <c r="J822" s="3">
        <f>H822*60</f>
        <v>0</v>
      </c>
      <c r="K822" s="3" t="s">
        <v>226</v>
      </c>
      <c r="P822" s="3">
        <v>4000117611</v>
      </c>
    </row>
    <row r="823" spans="7:16" x14ac:dyDescent="0.25">
      <c r="G823" s="3" t="s">
        <v>188</v>
      </c>
      <c r="H823" s="3">
        <v>30</v>
      </c>
      <c r="I823" s="3" t="s">
        <v>19</v>
      </c>
      <c r="J823" s="3">
        <f t="shared" ref="J823:J877" si="14">H823/60</f>
        <v>0.5</v>
      </c>
      <c r="K823" s="3" t="s">
        <v>226</v>
      </c>
      <c r="P823" s="3">
        <v>4000112141</v>
      </c>
    </row>
    <row r="824" spans="7:16" x14ac:dyDescent="0.25">
      <c r="G824" s="3" t="s">
        <v>188</v>
      </c>
      <c r="H824" s="3">
        <v>1</v>
      </c>
      <c r="I824" s="3" t="s">
        <v>129</v>
      </c>
      <c r="J824" s="3">
        <f>H824*60</f>
        <v>60</v>
      </c>
      <c r="K824" s="3" t="s">
        <v>226</v>
      </c>
      <c r="P824" s="3">
        <v>4000115496</v>
      </c>
    </row>
    <row r="825" spans="7:16" x14ac:dyDescent="0.25">
      <c r="G825" s="3" t="s">
        <v>188</v>
      </c>
      <c r="H825" s="3">
        <v>2</v>
      </c>
      <c r="I825" s="3" t="s">
        <v>129</v>
      </c>
      <c r="J825" s="3">
        <f>H825*60</f>
        <v>120</v>
      </c>
      <c r="K825" s="3" t="s">
        <v>226</v>
      </c>
      <c r="P825" s="3">
        <v>4000115488</v>
      </c>
    </row>
    <row r="826" spans="7:16" x14ac:dyDescent="0.25">
      <c r="G826" s="3" t="s">
        <v>188</v>
      </c>
      <c r="H826" s="3">
        <v>40</v>
      </c>
      <c r="I826" s="3" t="s">
        <v>19</v>
      </c>
      <c r="J826" s="3">
        <f t="shared" si="14"/>
        <v>0.66666666666666663</v>
      </c>
      <c r="K826" s="3" t="s">
        <v>226</v>
      </c>
      <c r="P826" s="3">
        <v>4000117341</v>
      </c>
    </row>
    <row r="827" spans="7:16" x14ac:dyDescent="0.25">
      <c r="G827" s="3" t="s">
        <v>188</v>
      </c>
      <c r="H827" s="3">
        <v>30</v>
      </c>
      <c r="I827" s="3" t="s">
        <v>19</v>
      </c>
      <c r="J827" s="3">
        <f t="shared" si="14"/>
        <v>0.5</v>
      </c>
      <c r="K827" s="3" t="s">
        <v>226</v>
      </c>
      <c r="P827" s="3">
        <v>4000117342</v>
      </c>
    </row>
    <row r="828" spans="7:16" x14ac:dyDescent="0.25">
      <c r="G828" s="3" t="s">
        <v>188</v>
      </c>
      <c r="H828" s="3">
        <v>15</v>
      </c>
      <c r="I828" s="3" t="s">
        <v>19</v>
      </c>
      <c r="J828" s="3">
        <f t="shared" si="14"/>
        <v>0.25</v>
      </c>
      <c r="K828" s="3" t="s">
        <v>226</v>
      </c>
      <c r="P828" s="3">
        <v>4000117343</v>
      </c>
    </row>
    <row r="829" spans="7:16" x14ac:dyDescent="0.25">
      <c r="G829" s="3" t="s">
        <v>188</v>
      </c>
      <c r="H829" s="3">
        <v>30</v>
      </c>
      <c r="I829" s="3" t="s">
        <v>19</v>
      </c>
      <c r="J829" s="3">
        <f t="shared" si="14"/>
        <v>0.5</v>
      </c>
      <c r="K829" s="3" t="s">
        <v>226</v>
      </c>
      <c r="P829" s="3">
        <v>4000118141</v>
      </c>
    </row>
    <row r="830" spans="7:16" x14ac:dyDescent="0.25">
      <c r="G830" s="3" t="s">
        <v>188</v>
      </c>
      <c r="H830" s="3">
        <v>30</v>
      </c>
      <c r="I830" s="3" t="s">
        <v>19</v>
      </c>
      <c r="J830" s="3">
        <f t="shared" si="14"/>
        <v>0.5</v>
      </c>
      <c r="K830" s="3" t="s">
        <v>226</v>
      </c>
      <c r="P830" s="3">
        <v>4000117771</v>
      </c>
    </row>
    <row r="831" spans="7:16" x14ac:dyDescent="0.25">
      <c r="G831" s="3" t="s">
        <v>189</v>
      </c>
      <c r="H831" s="3">
        <v>1</v>
      </c>
      <c r="I831" s="3" t="s">
        <v>129</v>
      </c>
      <c r="J831" s="3">
        <f t="shared" ref="J831:J844" si="15">H831*60</f>
        <v>60</v>
      </c>
      <c r="K831" s="3" t="s">
        <v>226</v>
      </c>
      <c r="P831" s="3">
        <v>4000106609</v>
      </c>
    </row>
    <row r="832" spans="7:16" x14ac:dyDescent="0.25">
      <c r="G832" s="3" t="s">
        <v>189</v>
      </c>
      <c r="H832" s="3">
        <v>2</v>
      </c>
      <c r="I832" s="3" t="s">
        <v>129</v>
      </c>
      <c r="J832" s="3">
        <f t="shared" si="15"/>
        <v>120</v>
      </c>
      <c r="K832" s="3" t="s">
        <v>226</v>
      </c>
      <c r="P832" s="3">
        <v>4000106610</v>
      </c>
    </row>
    <row r="833" spans="7:16" x14ac:dyDescent="0.25">
      <c r="G833" s="3" t="s">
        <v>189</v>
      </c>
      <c r="H833" s="3">
        <v>1</v>
      </c>
      <c r="I833" s="3" t="s">
        <v>129</v>
      </c>
      <c r="J833" s="3">
        <f t="shared" si="15"/>
        <v>60</v>
      </c>
      <c r="K833" s="3" t="s">
        <v>226</v>
      </c>
      <c r="P833" s="3">
        <v>4000109337</v>
      </c>
    </row>
    <row r="834" spans="7:16" x14ac:dyDescent="0.25">
      <c r="G834" s="3" t="s">
        <v>189</v>
      </c>
      <c r="H834" s="3">
        <v>1</v>
      </c>
      <c r="I834" s="3" t="s">
        <v>129</v>
      </c>
      <c r="J834" s="3">
        <f t="shared" si="15"/>
        <v>60</v>
      </c>
      <c r="K834" s="3" t="s">
        <v>226</v>
      </c>
      <c r="P834" s="3">
        <v>4000108713</v>
      </c>
    </row>
    <row r="835" spans="7:16" x14ac:dyDescent="0.25">
      <c r="G835" s="3" t="s">
        <v>189</v>
      </c>
      <c r="H835" s="3">
        <v>1</v>
      </c>
      <c r="I835" s="3" t="s">
        <v>129</v>
      </c>
      <c r="J835" s="3">
        <f t="shared" si="15"/>
        <v>60</v>
      </c>
      <c r="K835" s="3" t="s">
        <v>226</v>
      </c>
      <c r="P835" s="3">
        <v>4000108713</v>
      </c>
    </row>
    <row r="836" spans="7:16" x14ac:dyDescent="0.25">
      <c r="G836" s="3" t="s">
        <v>189</v>
      </c>
      <c r="H836" s="3">
        <v>4</v>
      </c>
      <c r="I836" s="3" t="s">
        <v>129</v>
      </c>
      <c r="J836" s="3">
        <f t="shared" si="15"/>
        <v>240</v>
      </c>
      <c r="K836" s="3" t="s">
        <v>226</v>
      </c>
      <c r="P836" s="3">
        <v>4000108712</v>
      </c>
    </row>
    <row r="837" spans="7:16" x14ac:dyDescent="0.25">
      <c r="G837" s="3" t="s">
        <v>189</v>
      </c>
      <c r="H837" s="3">
        <v>1</v>
      </c>
      <c r="I837" s="3" t="s">
        <v>129</v>
      </c>
      <c r="J837" s="3">
        <f t="shared" si="15"/>
        <v>60</v>
      </c>
      <c r="K837" s="3" t="s">
        <v>226</v>
      </c>
      <c r="P837" s="3">
        <v>4000108065</v>
      </c>
    </row>
    <row r="838" spans="7:16" x14ac:dyDescent="0.25">
      <c r="G838" s="3" t="s">
        <v>189</v>
      </c>
      <c r="H838" s="3">
        <v>1</v>
      </c>
      <c r="I838" s="3" t="s">
        <v>129</v>
      </c>
      <c r="J838" s="3">
        <f t="shared" si="15"/>
        <v>60</v>
      </c>
      <c r="K838" s="3" t="s">
        <v>226</v>
      </c>
      <c r="P838" s="3">
        <v>4000113895</v>
      </c>
    </row>
    <row r="839" spans="7:16" x14ac:dyDescent="0.25">
      <c r="G839" s="3" t="s">
        <v>189</v>
      </c>
      <c r="H839" s="3">
        <v>1.5</v>
      </c>
      <c r="I839" s="3" t="s">
        <v>129</v>
      </c>
      <c r="J839" s="3">
        <f t="shared" si="15"/>
        <v>90</v>
      </c>
      <c r="K839" s="3" t="s">
        <v>226</v>
      </c>
      <c r="P839" s="3">
        <v>4000113945</v>
      </c>
    </row>
    <row r="840" spans="7:16" x14ac:dyDescent="0.25">
      <c r="G840" s="3" t="s">
        <v>189</v>
      </c>
      <c r="H840" s="3">
        <v>3.5</v>
      </c>
      <c r="I840" s="3" t="s">
        <v>129</v>
      </c>
      <c r="J840" s="3">
        <f t="shared" si="15"/>
        <v>210</v>
      </c>
      <c r="K840" s="3" t="s">
        <v>226</v>
      </c>
      <c r="P840" s="3">
        <v>4000113897</v>
      </c>
    </row>
    <row r="841" spans="7:16" x14ac:dyDescent="0.25">
      <c r="G841" s="3" t="s">
        <v>189</v>
      </c>
      <c r="H841" s="3">
        <v>6</v>
      </c>
      <c r="I841" s="3" t="s">
        <v>129</v>
      </c>
      <c r="J841" s="3">
        <f t="shared" si="15"/>
        <v>360</v>
      </c>
      <c r="K841" s="3" t="s">
        <v>226</v>
      </c>
      <c r="P841" s="3">
        <v>4000115778</v>
      </c>
    </row>
    <row r="842" spans="7:16" x14ac:dyDescent="0.25">
      <c r="G842" s="3" t="s">
        <v>189</v>
      </c>
      <c r="H842" s="3">
        <v>2</v>
      </c>
      <c r="I842" s="3" t="s">
        <v>129</v>
      </c>
      <c r="J842" s="3">
        <f t="shared" si="15"/>
        <v>120</v>
      </c>
      <c r="K842" s="3" t="s">
        <v>226</v>
      </c>
      <c r="P842" s="3">
        <v>4000115488</v>
      </c>
    </row>
    <row r="843" spans="7:16" x14ac:dyDescent="0.25">
      <c r="G843" s="3" t="s">
        <v>189</v>
      </c>
      <c r="H843" s="3">
        <v>2</v>
      </c>
      <c r="I843" s="3" t="s">
        <v>129</v>
      </c>
      <c r="J843" s="3">
        <f t="shared" si="15"/>
        <v>120</v>
      </c>
      <c r="K843" s="3" t="s">
        <v>226</v>
      </c>
      <c r="P843" s="3">
        <v>4000115897</v>
      </c>
    </row>
    <row r="844" spans="7:16" x14ac:dyDescent="0.25">
      <c r="G844" s="3" t="s">
        <v>203</v>
      </c>
      <c r="H844" s="3">
        <v>1.5</v>
      </c>
      <c r="I844" s="3" t="s">
        <v>129</v>
      </c>
      <c r="J844" s="3">
        <f t="shared" si="15"/>
        <v>90</v>
      </c>
      <c r="K844" s="3" t="s">
        <v>226</v>
      </c>
      <c r="P844" s="3">
        <v>4000113879</v>
      </c>
    </row>
    <row r="845" spans="7:16" x14ac:dyDescent="0.25">
      <c r="G845" s="3" t="s">
        <v>203</v>
      </c>
      <c r="H845" s="3">
        <v>30</v>
      </c>
      <c r="I845" s="3" t="s">
        <v>19</v>
      </c>
      <c r="J845" s="3">
        <f t="shared" si="14"/>
        <v>0.5</v>
      </c>
      <c r="K845" s="3" t="s">
        <v>226</v>
      </c>
      <c r="P845" s="3">
        <v>4000113900</v>
      </c>
    </row>
    <row r="846" spans="7:16" x14ac:dyDescent="0.25">
      <c r="G846" s="3" t="s">
        <v>203</v>
      </c>
      <c r="H846" s="3">
        <v>30</v>
      </c>
      <c r="I846" s="3" t="s">
        <v>19</v>
      </c>
      <c r="J846" s="3">
        <f t="shared" si="14"/>
        <v>0.5</v>
      </c>
      <c r="K846" s="3" t="s">
        <v>226</v>
      </c>
      <c r="P846" s="3">
        <v>4000113921</v>
      </c>
    </row>
    <row r="847" spans="7:16" x14ac:dyDescent="0.25">
      <c r="G847" s="3" t="s">
        <v>203</v>
      </c>
      <c r="H847" s="3">
        <v>1</v>
      </c>
      <c r="I847" s="3" t="s">
        <v>129</v>
      </c>
      <c r="J847" s="3">
        <f>H847*60</f>
        <v>60</v>
      </c>
      <c r="K847" s="3" t="s">
        <v>226</v>
      </c>
      <c r="P847" s="3">
        <v>4000113924</v>
      </c>
    </row>
    <row r="848" spans="7:16" x14ac:dyDescent="0.25">
      <c r="G848" s="3" t="s">
        <v>203</v>
      </c>
      <c r="H848" s="3">
        <v>4</v>
      </c>
      <c r="I848" s="3" t="s">
        <v>129</v>
      </c>
      <c r="J848" s="3">
        <f>H848*60</f>
        <v>240</v>
      </c>
      <c r="K848" s="3" t="s">
        <v>226</v>
      </c>
      <c r="P848" s="3">
        <v>4000116804</v>
      </c>
    </row>
    <row r="849" spans="7:16" x14ac:dyDescent="0.25">
      <c r="G849" s="3" t="s">
        <v>203</v>
      </c>
      <c r="H849" s="3">
        <v>1</v>
      </c>
      <c r="I849" s="3" t="s">
        <v>129</v>
      </c>
      <c r="J849" s="3">
        <f>H849*60</f>
        <v>60</v>
      </c>
      <c r="K849" s="3" t="s">
        <v>226</v>
      </c>
      <c r="P849" s="3">
        <v>4000117527</v>
      </c>
    </row>
    <row r="850" spans="7:16" x14ac:dyDescent="0.25">
      <c r="G850" s="3" t="s">
        <v>204</v>
      </c>
      <c r="H850" s="3">
        <v>30</v>
      </c>
      <c r="I850" s="3" t="s">
        <v>19</v>
      </c>
      <c r="J850" s="3">
        <f t="shared" si="14"/>
        <v>0.5</v>
      </c>
      <c r="K850" s="3" t="s">
        <v>226</v>
      </c>
      <c r="P850" s="3">
        <v>4000113893</v>
      </c>
    </row>
    <row r="851" spans="7:16" x14ac:dyDescent="0.25">
      <c r="G851" s="3" t="s">
        <v>204</v>
      </c>
      <c r="H851" s="3">
        <v>1</v>
      </c>
      <c r="I851" s="3" t="s">
        <v>129</v>
      </c>
      <c r="J851" s="3">
        <f>H851*60</f>
        <v>60</v>
      </c>
      <c r="K851" s="3" t="s">
        <v>226</v>
      </c>
      <c r="P851" s="3">
        <v>4000113898</v>
      </c>
    </row>
    <row r="852" spans="7:16" x14ac:dyDescent="0.25">
      <c r="G852" s="3" t="s">
        <v>204</v>
      </c>
      <c r="H852" s="3">
        <v>20</v>
      </c>
      <c r="I852" s="3" t="s">
        <v>19</v>
      </c>
      <c r="J852" s="3">
        <f t="shared" si="14"/>
        <v>0.33333333333333331</v>
      </c>
      <c r="K852" s="3" t="s">
        <v>226</v>
      </c>
      <c r="P852" s="3">
        <v>4000115500</v>
      </c>
    </row>
    <row r="853" spans="7:16" x14ac:dyDescent="0.25">
      <c r="G853" s="3" t="s">
        <v>204</v>
      </c>
      <c r="H853" s="3">
        <v>2.5</v>
      </c>
      <c r="I853" s="3" t="s">
        <v>129</v>
      </c>
      <c r="J853" s="3">
        <f>H853*60</f>
        <v>150</v>
      </c>
      <c r="K853" s="3" t="s">
        <v>226</v>
      </c>
      <c r="P853" s="3">
        <v>4000115504</v>
      </c>
    </row>
    <row r="854" spans="7:16" x14ac:dyDescent="0.25">
      <c r="G854" s="3" t="s">
        <v>204</v>
      </c>
      <c r="H854" s="3">
        <v>30</v>
      </c>
      <c r="I854" s="3" t="s">
        <v>19</v>
      </c>
      <c r="J854" s="3">
        <f t="shared" si="14"/>
        <v>0.5</v>
      </c>
      <c r="K854" s="3" t="s">
        <v>226</v>
      </c>
      <c r="P854" s="3">
        <v>4000115507</v>
      </c>
    </row>
    <row r="855" spans="7:16" x14ac:dyDescent="0.25">
      <c r="G855" s="3" t="s">
        <v>204</v>
      </c>
      <c r="H855" s="3">
        <v>30</v>
      </c>
      <c r="I855" s="3" t="s">
        <v>19</v>
      </c>
      <c r="J855" s="3">
        <f t="shared" si="14"/>
        <v>0.5</v>
      </c>
      <c r="K855" s="3" t="s">
        <v>226</v>
      </c>
      <c r="P855" s="3">
        <v>4000117342</v>
      </c>
    </row>
    <row r="856" spans="7:16" x14ac:dyDescent="0.25">
      <c r="G856" s="3" t="s">
        <v>204</v>
      </c>
      <c r="H856" s="3">
        <v>15</v>
      </c>
      <c r="I856" s="3" t="s">
        <v>19</v>
      </c>
      <c r="J856" s="3">
        <f t="shared" si="14"/>
        <v>0.25</v>
      </c>
      <c r="K856" s="3" t="s">
        <v>226</v>
      </c>
      <c r="P856" s="3">
        <v>4000117343</v>
      </c>
    </row>
    <row r="857" spans="7:16" x14ac:dyDescent="0.25">
      <c r="G857" s="3" t="s">
        <v>204</v>
      </c>
      <c r="H857" s="3">
        <v>30</v>
      </c>
      <c r="I857" s="3" t="s">
        <v>19</v>
      </c>
      <c r="J857" s="3">
        <f t="shared" si="14"/>
        <v>0.5</v>
      </c>
      <c r="K857" s="3" t="s">
        <v>226</v>
      </c>
      <c r="P857" s="3">
        <v>4000118141</v>
      </c>
    </row>
    <row r="858" spans="7:16" x14ac:dyDescent="0.25">
      <c r="G858" s="3" t="s">
        <v>205</v>
      </c>
      <c r="H858" s="3">
        <v>2</v>
      </c>
      <c r="I858" s="3" t="s">
        <v>129</v>
      </c>
      <c r="J858" s="3">
        <f>H858*60</f>
        <v>120</v>
      </c>
      <c r="K858" s="3" t="s">
        <v>226</v>
      </c>
      <c r="P858" s="3">
        <v>4000104487</v>
      </c>
    </row>
    <row r="859" spans="7:16" x14ac:dyDescent="0.25">
      <c r="G859" s="3" t="s">
        <v>205</v>
      </c>
      <c r="H859" s="3">
        <v>1</v>
      </c>
      <c r="I859" s="3" t="s">
        <v>129</v>
      </c>
      <c r="J859" s="3">
        <f>H859*60</f>
        <v>60</v>
      </c>
      <c r="K859" s="3" t="s">
        <v>226</v>
      </c>
      <c r="P859" s="3">
        <v>4000113895</v>
      </c>
    </row>
    <row r="860" spans="7:16" x14ac:dyDescent="0.25">
      <c r="G860" s="3" t="s">
        <v>205</v>
      </c>
      <c r="H860" s="3">
        <v>30</v>
      </c>
      <c r="I860" s="3" t="s">
        <v>19</v>
      </c>
      <c r="J860" s="3">
        <f t="shared" si="14"/>
        <v>0.5</v>
      </c>
      <c r="K860" s="3" t="s">
        <v>226</v>
      </c>
      <c r="P860" s="3">
        <v>4000115985</v>
      </c>
    </row>
    <row r="861" spans="7:16" x14ac:dyDescent="0.25">
      <c r="G861" s="3" t="s">
        <v>205</v>
      </c>
      <c r="H861" s="3">
        <v>30</v>
      </c>
      <c r="I861" s="3" t="s">
        <v>19</v>
      </c>
      <c r="J861" s="3">
        <f t="shared" si="14"/>
        <v>0.5</v>
      </c>
      <c r="K861" s="3" t="s">
        <v>226</v>
      </c>
      <c r="P861" s="3">
        <v>4000115985</v>
      </c>
    </row>
    <row r="862" spans="7:16" x14ac:dyDescent="0.25">
      <c r="G862" s="3" t="s">
        <v>205</v>
      </c>
      <c r="H862" s="3">
        <v>3.5</v>
      </c>
      <c r="I862" s="3" t="s">
        <v>129</v>
      </c>
      <c r="J862" s="3">
        <f>H862*60</f>
        <v>210</v>
      </c>
      <c r="K862" s="3" t="s">
        <v>226</v>
      </c>
      <c r="P862" s="3">
        <v>4000113897</v>
      </c>
    </row>
    <row r="863" spans="7:16" x14ac:dyDescent="0.25">
      <c r="G863" s="3" t="s">
        <v>205</v>
      </c>
      <c r="H863" s="3">
        <v>20</v>
      </c>
      <c r="I863" s="3" t="s">
        <v>19</v>
      </c>
      <c r="J863" s="3">
        <f t="shared" si="14"/>
        <v>0.33333333333333331</v>
      </c>
      <c r="K863" s="3" t="s">
        <v>226</v>
      </c>
      <c r="P863" s="3">
        <v>4000115309</v>
      </c>
    </row>
    <row r="864" spans="7:16" x14ac:dyDescent="0.25">
      <c r="G864" s="3" t="s">
        <v>205</v>
      </c>
      <c r="H864" s="3">
        <v>2</v>
      </c>
      <c r="I864" s="3" t="s">
        <v>129</v>
      </c>
      <c r="J864" s="3">
        <f>H864*60</f>
        <v>120</v>
      </c>
      <c r="K864" s="3" t="s">
        <v>226</v>
      </c>
      <c r="P864" s="3">
        <v>4000115488</v>
      </c>
    </row>
    <row r="865" spans="7:16" x14ac:dyDescent="0.25">
      <c r="G865" s="3" t="s">
        <v>205</v>
      </c>
      <c r="H865" s="3">
        <v>2</v>
      </c>
      <c r="I865" s="3" t="s">
        <v>129</v>
      </c>
      <c r="J865" s="3">
        <f>H865*60</f>
        <v>120</v>
      </c>
      <c r="K865" s="3" t="s">
        <v>226</v>
      </c>
      <c r="P865" s="3">
        <v>4000115897</v>
      </c>
    </row>
    <row r="866" spans="7:16" x14ac:dyDescent="0.25">
      <c r="G866" s="3" t="s">
        <v>207</v>
      </c>
      <c r="H866" s="3">
        <v>3</v>
      </c>
      <c r="I866" s="3" t="s">
        <v>129</v>
      </c>
      <c r="J866" s="3">
        <f>H866*60</f>
        <v>180</v>
      </c>
      <c r="K866" s="3" t="s">
        <v>226</v>
      </c>
      <c r="P866" s="3">
        <v>4000113856</v>
      </c>
    </row>
    <row r="867" spans="7:16" x14ac:dyDescent="0.25">
      <c r="G867" s="3" t="s">
        <v>207</v>
      </c>
      <c r="H867" s="3">
        <v>3</v>
      </c>
      <c r="I867" s="3" t="s">
        <v>129</v>
      </c>
      <c r="J867" s="3">
        <f>H867*60</f>
        <v>180</v>
      </c>
      <c r="K867" s="3" t="s">
        <v>226</v>
      </c>
      <c r="P867" s="3">
        <v>4000113899</v>
      </c>
    </row>
    <row r="868" spans="7:16" x14ac:dyDescent="0.25">
      <c r="G868" s="3" t="s">
        <v>207</v>
      </c>
      <c r="H868" s="3">
        <v>30</v>
      </c>
      <c r="I868" s="3" t="s">
        <v>19</v>
      </c>
      <c r="J868" s="3">
        <f t="shared" si="14"/>
        <v>0.5</v>
      </c>
      <c r="K868" s="3" t="s">
        <v>226</v>
      </c>
      <c r="P868" s="3">
        <v>4000116550</v>
      </c>
    </row>
    <row r="869" spans="7:16" x14ac:dyDescent="0.25">
      <c r="G869" s="3" t="s">
        <v>207</v>
      </c>
      <c r="H869" s="3">
        <v>40</v>
      </c>
      <c r="I869" s="3" t="s">
        <v>19</v>
      </c>
      <c r="J869" s="3">
        <f t="shared" si="14"/>
        <v>0.66666666666666663</v>
      </c>
      <c r="K869" s="3" t="s">
        <v>226</v>
      </c>
      <c r="P869" s="3">
        <v>4000117341</v>
      </c>
    </row>
    <row r="870" spans="7:16" x14ac:dyDescent="0.25">
      <c r="G870" s="3" t="s">
        <v>207</v>
      </c>
      <c r="H870" s="3">
        <v>30</v>
      </c>
      <c r="I870" s="3" t="s">
        <v>19</v>
      </c>
      <c r="J870" s="3">
        <f t="shared" si="14"/>
        <v>0.5</v>
      </c>
      <c r="K870" s="3" t="s">
        <v>226</v>
      </c>
      <c r="P870" s="3">
        <v>4000117771</v>
      </c>
    </row>
    <row r="871" spans="7:16" x14ac:dyDescent="0.25">
      <c r="G871" s="3" t="s">
        <v>219</v>
      </c>
      <c r="H871" s="3">
        <v>1.5</v>
      </c>
      <c r="I871" s="3" t="s">
        <v>129</v>
      </c>
      <c r="J871" s="3">
        <f>H871*60</f>
        <v>90</v>
      </c>
      <c r="K871" s="3" t="s">
        <v>226</v>
      </c>
      <c r="P871" s="3">
        <v>4000113945</v>
      </c>
    </row>
    <row r="872" spans="7:16" x14ac:dyDescent="0.25">
      <c r="G872" s="3" t="s">
        <v>219</v>
      </c>
      <c r="H872" s="3">
        <v>30</v>
      </c>
      <c r="I872" s="3" t="s">
        <v>19</v>
      </c>
      <c r="J872" s="3">
        <f t="shared" si="14"/>
        <v>0.5</v>
      </c>
      <c r="K872" s="3" t="s">
        <v>226</v>
      </c>
      <c r="P872" s="3">
        <v>4000115985</v>
      </c>
    </row>
    <row r="873" spans="7:16" x14ac:dyDescent="0.25">
      <c r="G873" s="3" t="s">
        <v>219</v>
      </c>
      <c r="H873" s="3">
        <v>3.5</v>
      </c>
      <c r="I873" s="3" t="s">
        <v>129</v>
      </c>
      <c r="J873" s="3">
        <f>H873*60</f>
        <v>210</v>
      </c>
      <c r="K873" s="3" t="s">
        <v>226</v>
      </c>
      <c r="P873" s="3">
        <v>4000113897</v>
      </c>
    </row>
    <row r="874" spans="7:16" x14ac:dyDescent="0.25">
      <c r="G874" s="3" t="s">
        <v>219</v>
      </c>
      <c r="H874" s="3">
        <v>1.4</v>
      </c>
      <c r="I874" s="3" t="s">
        <v>129</v>
      </c>
      <c r="J874" s="3">
        <f>H874*60</f>
        <v>84</v>
      </c>
      <c r="K874" s="3" t="s">
        <v>226</v>
      </c>
      <c r="P874" s="3">
        <v>4000114633</v>
      </c>
    </row>
    <row r="875" spans="7:16" x14ac:dyDescent="0.25">
      <c r="G875" s="3" t="s">
        <v>219</v>
      </c>
      <c r="H875" s="3">
        <v>2.2999999999999998</v>
      </c>
      <c r="I875" s="3" t="s">
        <v>129</v>
      </c>
      <c r="J875" s="3">
        <f>H875*60</f>
        <v>138</v>
      </c>
      <c r="K875" s="3" t="s">
        <v>226</v>
      </c>
      <c r="P875" s="3">
        <v>4000114634</v>
      </c>
    </row>
    <row r="876" spans="7:16" x14ac:dyDescent="0.25">
      <c r="G876" s="3" t="s">
        <v>219</v>
      </c>
      <c r="H876" s="3">
        <v>1</v>
      </c>
      <c r="I876" s="3" t="s">
        <v>129</v>
      </c>
      <c r="J876" s="3">
        <f>H876*60</f>
        <v>60</v>
      </c>
      <c r="K876" s="3" t="s">
        <v>226</v>
      </c>
      <c r="P876" s="3">
        <v>4000114823</v>
      </c>
    </row>
    <row r="877" spans="7:16" x14ac:dyDescent="0.25">
      <c r="G877" s="3" t="s">
        <v>219</v>
      </c>
      <c r="H877" s="3">
        <v>20</v>
      </c>
      <c r="I877" s="3" t="s">
        <v>19</v>
      </c>
      <c r="J877" s="3">
        <f t="shared" si="14"/>
        <v>0.33333333333333331</v>
      </c>
      <c r="K877" s="3" t="s">
        <v>226</v>
      </c>
      <c r="P877" s="3">
        <v>4000115309</v>
      </c>
    </row>
    <row r="878" spans="7:16" x14ac:dyDescent="0.25">
      <c r="G878" s="3" t="s">
        <v>219</v>
      </c>
      <c r="H878" s="3">
        <v>1</v>
      </c>
      <c r="I878" s="3" t="s">
        <v>129</v>
      </c>
      <c r="J878" s="3">
        <f t="shared" ref="J878:J883" si="16">H878*60</f>
        <v>60</v>
      </c>
      <c r="K878" s="3" t="s">
        <v>226</v>
      </c>
      <c r="P878" s="3">
        <v>4000115486</v>
      </c>
    </row>
    <row r="879" spans="7:16" x14ac:dyDescent="0.25">
      <c r="G879" s="3" t="s">
        <v>219</v>
      </c>
      <c r="H879" s="3">
        <v>6</v>
      </c>
      <c r="I879" s="3" t="s">
        <v>129</v>
      </c>
      <c r="J879" s="3">
        <f t="shared" si="16"/>
        <v>360</v>
      </c>
      <c r="K879" s="3" t="s">
        <v>226</v>
      </c>
      <c r="P879" s="3">
        <v>4000115778</v>
      </c>
    </row>
    <row r="880" spans="7:16" x14ac:dyDescent="0.25">
      <c r="G880" s="3" t="s">
        <v>219</v>
      </c>
      <c r="H880" s="3">
        <v>2</v>
      </c>
      <c r="I880" s="3" t="s">
        <v>129</v>
      </c>
      <c r="J880" s="3">
        <f t="shared" si="16"/>
        <v>120</v>
      </c>
      <c r="K880" s="3" t="s">
        <v>226</v>
      </c>
      <c r="P880" s="3">
        <v>4000115897</v>
      </c>
    </row>
    <row r="881" spans="7:16" x14ac:dyDescent="0.25">
      <c r="G881" s="3" t="s">
        <v>221</v>
      </c>
      <c r="H881" s="3">
        <v>1.5</v>
      </c>
      <c r="I881" s="3" t="s">
        <v>129</v>
      </c>
      <c r="J881" s="3">
        <f t="shared" si="16"/>
        <v>90</v>
      </c>
      <c r="K881" s="3" t="s">
        <v>226</v>
      </c>
      <c r="P881" s="3">
        <v>4000113945</v>
      </c>
    </row>
    <row r="882" spans="7:16" x14ac:dyDescent="0.25">
      <c r="G882" s="3" t="s">
        <v>221</v>
      </c>
      <c r="H882" s="3">
        <v>3.5</v>
      </c>
      <c r="I882" s="3" t="s">
        <v>129</v>
      </c>
      <c r="J882" s="3">
        <f t="shared" si="16"/>
        <v>210</v>
      </c>
      <c r="K882" s="3" t="s">
        <v>226</v>
      </c>
      <c r="P882" s="3">
        <v>4000113897</v>
      </c>
    </row>
    <row r="883" spans="7:16" x14ac:dyDescent="0.25">
      <c r="G883" s="3" t="s">
        <v>221</v>
      </c>
      <c r="H883" s="3">
        <v>1</v>
      </c>
      <c r="I883" s="3" t="s">
        <v>129</v>
      </c>
      <c r="J883" s="3">
        <f t="shared" si="16"/>
        <v>60</v>
      </c>
      <c r="K883" s="3" t="s">
        <v>226</v>
      </c>
      <c r="P883" s="3">
        <v>4000114823</v>
      </c>
    </row>
    <row r="884" spans="7:16" x14ac:dyDescent="0.25">
      <c r="G884" s="3" t="s">
        <v>221</v>
      </c>
      <c r="H884" s="3">
        <v>30</v>
      </c>
      <c r="I884" s="3" t="s">
        <v>19</v>
      </c>
      <c r="J884" s="3">
        <f>H884/60</f>
        <v>0.5</v>
      </c>
      <c r="K884" s="3" t="s">
        <v>226</v>
      </c>
      <c r="P884" s="3">
        <v>4000115254</v>
      </c>
    </row>
    <row r="885" spans="7:16" x14ac:dyDescent="0.25">
      <c r="G885" s="3" t="s">
        <v>223</v>
      </c>
      <c r="H885" s="3">
        <v>30</v>
      </c>
      <c r="I885" s="3" t="s">
        <v>19</v>
      </c>
      <c r="J885" s="3">
        <f t="shared" ref="J885:J890" si="17">H885/60</f>
        <v>0.5</v>
      </c>
      <c r="K885" s="3" t="s">
        <v>226</v>
      </c>
      <c r="P885" s="3">
        <v>4000115989</v>
      </c>
    </row>
    <row r="886" spans="7:16" x14ac:dyDescent="0.25">
      <c r="G886" s="3" t="s">
        <v>223</v>
      </c>
      <c r="H886" s="3">
        <v>6</v>
      </c>
      <c r="I886" s="3" t="s">
        <v>129</v>
      </c>
      <c r="J886" s="3">
        <f>H886*60</f>
        <v>360</v>
      </c>
      <c r="K886" s="3" t="s">
        <v>226</v>
      </c>
      <c r="P886" s="3">
        <v>4000115778</v>
      </c>
    </row>
    <row r="887" spans="7:16" x14ac:dyDescent="0.25">
      <c r="G887" s="3" t="s">
        <v>223</v>
      </c>
      <c r="H887" s="3">
        <v>30</v>
      </c>
      <c r="I887" s="3" t="s">
        <v>19</v>
      </c>
      <c r="J887" s="3">
        <f t="shared" si="17"/>
        <v>0.5</v>
      </c>
      <c r="K887" s="3" t="s">
        <v>226</v>
      </c>
      <c r="P887" s="3">
        <v>4000116550</v>
      </c>
    </row>
    <row r="888" spans="7:16" x14ac:dyDescent="0.25">
      <c r="G888" s="3" t="s">
        <v>223</v>
      </c>
      <c r="H888" s="3">
        <v>30</v>
      </c>
      <c r="I888" s="3" t="s">
        <v>19</v>
      </c>
      <c r="J888" s="3">
        <f t="shared" si="17"/>
        <v>0.5</v>
      </c>
      <c r="K888" s="3" t="s">
        <v>226</v>
      </c>
      <c r="P888" s="3">
        <v>4000117771</v>
      </c>
    </row>
    <row r="889" spans="7:16" x14ac:dyDescent="0.25">
      <c r="G889" s="3" t="s">
        <v>223</v>
      </c>
      <c r="H889" s="3">
        <v>10</v>
      </c>
      <c r="I889" s="3" t="s">
        <v>19</v>
      </c>
      <c r="J889" s="3">
        <f t="shared" si="17"/>
        <v>0.16666666666666666</v>
      </c>
      <c r="K889" s="3" t="s">
        <v>226</v>
      </c>
      <c r="P889" s="3">
        <v>4000118708</v>
      </c>
    </row>
    <row r="890" spans="7:16" x14ac:dyDescent="0.25">
      <c r="G890" s="3" t="s">
        <v>224</v>
      </c>
      <c r="H890" s="3">
        <v>30</v>
      </c>
      <c r="I890" s="3" t="s">
        <v>19</v>
      </c>
      <c r="J890" s="3">
        <f t="shared" si="17"/>
        <v>0.5</v>
      </c>
      <c r="K890" s="3" t="s">
        <v>226</v>
      </c>
      <c r="P890" s="3">
        <v>4000115445</v>
      </c>
    </row>
  </sheetData>
  <autoFilter ref="A4:S75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B411-B93E-4868-A268-EE7F300E9021}">
  <dimension ref="A1:Q63"/>
  <sheetViews>
    <sheetView topLeftCell="D1" workbookViewId="0">
      <selection activeCell="J33" sqref="J33"/>
    </sheetView>
  </sheetViews>
  <sheetFormatPr defaultRowHeight="15" x14ac:dyDescent="0.25"/>
  <cols>
    <col min="1" max="1" width="15.42578125" style="3" bestFit="1" customWidth="1"/>
    <col min="2" max="2" width="10.85546875" bestFit="1" customWidth="1"/>
    <col min="3" max="3" width="15.28515625" bestFit="1" customWidth="1"/>
    <col min="4" max="4" width="10.42578125" customWidth="1"/>
    <col min="5" max="5" width="9.28515625" bestFit="1" customWidth="1"/>
    <col min="6" max="6" width="9.5703125" bestFit="1" customWidth="1"/>
  </cols>
  <sheetData>
    <row r="1" spans="1:17" x14ac:dyDescent="0.25">
      <c r="A1" s="3" t="s">
        <v>9</v>
      </c>
      <c r="B1" s="3" t="s">
        <v>236</v>
      </c>
    </row>
    <row r="2" spans="1:17" x14ac:dyDescent="0.25">
      <c r="D2" s="3" t="s">
        <v>28</v>
      </c>
    </row>
    <row r="3" spans="1:17" x14ac:dyDescent="0.25">
      <c r="A3" s="3" t="s">
        <v>227</v>
      </c>
      <c r="B3" s="3" t="s">
        <v>229</v>
      </c>
      <c r="E3" s="7" t="s">
        <v>230</v>
      </c>
      <c r="F3" s="7" t="s">
        <v>231</v>
      </c>
      <c r="G3" s="7" t="s">
        <v>234</v>
      </c>
      <c r="H3" s="7" t="s">
        <v>232</v>
      </c>
      <c r="I3" s="7" t="s">
        <v>233</v>
      </c>
      <c r="J3" s="7" t="s">
        <v>311</v>
      </c>
      <c r="L3" s="7"/>
      <c r="M3" s="7"/>
      <c r="N3" s="7"/>
      <c r="O3" s="7"/>
      <c r="P3" s="7"/>
      <c r="Q3" s="7"/>
    </row>
    <row r="4" spans="1:17" x14ac:dyDescent="0.25">
      <c r="A4" s="3" t="s">
        <v>18</v>
      </c>
      <c r="B4" s="5">
        <v>1</v>
      </c>
    </row>
    <row r="5" spans="1:17" x14ac:dyDescent="0.25">
      <c r="A5" s="3" t="s">
        <v>23</v>
      </c>
      <c r="B5" s="5">
        <v>70</v>
      </c>
      <c r="D5" s="3" t="s">
        <v>23</v>
      </c>
      <c r="E5" s="15">
        <v>46</v>
      </c>
      <c r="F5" s="16">
        <v>9.8000000000000007</v>
      </c>
      <c r="G5" s="5">
        <v>154</v>
      </c>
      <c r="H5" s="6">
        <f t="shared" ref="H5:H22" si="0">E5/G5</f>
        <v>0.29870129870129869</v>
      </c>
      <c r="I5" s="6">
        <f t="shared" ref="I5:I22" si="1">F5/G5</f>
        <v>6.3636363636363644E-2</v>
      </c>
      <c r="J5" s="18">
        <f>H5+I5</f>
        <v>0.36233766233766235</v>
      </c>
      <c r="K5" s="3"/>
      <c r="L5" s="5"/>
      <c r="M5" s="16"/>
      <c r="N5" s="5"/>
      <c r="O5" s="6"/>
      <c r="P5" s="6"/>
      <c r="Q5" s="18"/>
    </row>
    <row r="6" spans="1:17" x14ac:dyDescent="0.25">
      <c r="A6" s="3" t="s">
        <v>74</v>
      </c>
      <c r="B6" s="5">
        <v>54</v>
      </c>
      <c r="D6" s="3" t="s">
        <v>74</v>
      </c>
      <c r="E6" s="15">
        <v>42</v>
      </c>
      <c r="F6" s="16">
        <v>9.8833333333333329</v>
      </c>
      <c r="G6" s="5">
        <v>154</v>
      </c>
      <c r="H6" s="6">
        <f t="shared" si="0"/>
        <v>0.27272727272727271</v>
      </c>
      <c r="I6" s="6">
        <f t="shared" si="1"/>
        <v>6.417748917748918E-2</v>
      </c>
      <c r="J6" s="18">
        <f t="shared" ref="J6:J22" si="2">H6+I6</f>
        <v>0.33690476190476187</v>
      </c>
      <c r="K6" s="3"/>
      <c r="L6" s="5"/>
      <c r="M6" s="16"/>
      <c r="N6" s="5"/>
      <c r="O6" s="6"/>
      <c r="P6" s="6"/>
      <c r="Q6" s="18"/>
    </row>
    <row r="7" spans="1:17" x14ac:dyDescent="0.25">
      <c r="A7" s="3" t="s">
        <v>103</v>
      </c>
      <c r="B7" s="5">
        <v>50</v>
      </c>
      <c r="D7" s="3" t="s">
        <v>103</v>
      </c>
      <c r="E7" s="15">
        <v>37</v>
      </c>
      <c r="F7" s="16">
        <v>9.9</v>
      </c>
      <c r="G7" s="5">
        <v>154</v>
      </c>
      <c r="H7" s="6">
        <f t="shared" si="0"/>
        <v>0.24025974025974026</v>
      </c>
      <c r="I7" s="6">
        <f t="shared" si="1"/>
        <v>6.4285714285714293E-2</v>
      </c>
      <c r="J7" s="18">
        <f t="shared" si="2"/>
        <v>0.30454545454545456</v>
      </c>
      <c r="K7" s="3"/>
      <c r="L7" s="5"/>
      <c r="M7" s="16"/>
      <c r="N7" s="5"/>
      <c r="O7" s="6"/>
      <c r="P7" s="6"/>
      <c r="Q7" s="18"/>
    </row>
    <row r="8" spans="1:17" x14ac:dyDescent="0.25">
      <c r="A8" s="3" t="s">
        <v>122</v>
      </c>
      <c r="B8" s="5">
        <v>37</v>
      </c>
      <c r="D8" s="3" t="s">
        <v>122</v>
      </c>
      <c r="E8" s="15">
        <v>37</v>
      </c>
      <c r="F8" s="16">
        <v>12.533333333333333</v>
      </c>
      <c r="G8" s="5">
        <v>154</v>
      </c>
      <c r="H8" s="6">
        <f t="shared" si="0"/>
        <v>0.24025974025974026</v>
      </c>
      <c r="I8" s="6">
        <f t="shared" si="1"/>
        <v>8.138528138528138E-2</v>
      </c>
      <c r="J8" s="18">
        <f t="shared" si="2"/>
        <v>0.32164502164502162</v>
      </c>
      <c r="K8" s="3"/>
      <c r="L8" s="5"/>
      <c r="M8" s="16"/>
      <c r="N8" s="5"/>
      <c r="O8" s="6"/>
      <c r="P8" s="6"/>
      <c r="Q8" s="18"/>
    </row>
    <row r="9" spans="1:17" x14ac:dyDescent="0.25">
      <c r="A9" s="3" t="s">
        <v>137</v>
      </c>
      <c r="B9" s="5">
        <v>39</v>
      </c>
      <c r="D9" s="3" t="s">
        <v>137</v>
      </c>
      <c r="E9" s="15">
        <v>35</v>
      </c>
      <c r="F9" s="16">
        <v>16.366666666666699</v>
      </c>
      <c r="G9" s="5">
        <v>154</v>
      </c>
      <c r="H9" s="6">
        <f t="shared" si="0"/>
        <v>0.22727272727272727</v>
      </c>
      <c r="I9" s="6">
        <f t="shared" si="1"/>
        <v>0.10627705627705648</v>
      </c>
      <c r="J9" s="18">
        <f t="shared" si="2"/>
        <v>0.33354978354978376</v>
      </c>
      <c r="K9" s="3"/>
      <c r="L9" s="5"/>
      <c r="M9" s="16"/>
      <c r="N9" s="5"/>
      <c r="O9" s="6"/>
      <c r="P9" s="6"/>
      <c r="Q9" s="18"/>
    </row>
    <row r="10" spans="1:17" x14ac:dyDescent="0.25">
      <c r="A10" s="3" t="s">
        <v>156</v>
      </c>
      <c r="B10" s="5">
        <v>21</v>
      </c>
      <c r="D10" s="3" t="s">
        <v>156</v>
      </c>
      <c r="E10" s="15">
        <v>32</v>
      </c>
      <c r="F10" s="16">
        <v>43.841666666666683</v>
      </c>
      <c r="G10" s="5">
        <v>154</v>
      </c>
      <c r="H10" s="6">
        <f t="shared" si="0"/>
        <v>0.20779220779220781</v>
      </c>
      <c r="I10" s="6">
        <f t="shared" si="1"/>
        <v>0.28468614718614726</v>
      </c>
      <c r="J10" s="18">
        <f t="shared" si="2"/>
        <v>0.49247835497835507</v>
      </c>
      <c r="K10" s="3"/>
      <c r="L10" s="5"/>
      <c r="M10" s="16"/>
      <c r="N10" s="5"/>
      <c r="O10" s="6"/>
      <c r="P10" s="6"/>
      <c r="Q10" s="19"/>
    </row>
    <row r="11" spans="1:17" x14ac:dyDescent="0.25">
      <c r="A11" s="3" t="s">
        <v>162</v>
      </c>
      <c r="B11" s="5">
        <v>36</v>
      </c>
      <c r="D11" s="3" t="s">
        <v>162</v>
      </c>
      <c r="E11" s="15">
        <v>39</v>
      </c>
      <c r="F11" s="16">
        <v>10.416666666666666</v>
      </c>
      <c r="G11" s="5">
        <v>154</v>
      </c>
      <c r="H11" s="6">
        <f t="shared" si="0"/>
        <v>0.25324675324675322</v>
      </c>
      <c r="I11" s="6">
        <f t="shared" si="1"/>
        <v>6.764069264069264E-2</v>
      </c>
      <c r="J11" s="18">
        <f t="shared" si="2"/>
        <v>0.32088744588744589</v>
      </c>
      <c r="K11" s="3"/>
      <c r="L11" s="5"/>
      <c r="M11" s="16"/>
      <c r="N11" s="5"/>
      <c r="O11" s="6"/>
      <c r="P11" s="6"/>
      <c r="Q11" s="18"/>
    </row>
    <row r="12" spans="1:17" x14ac:dyDescent="0.25">
      <c r="A12" s="3" t="s">
        <v>178</v>
      </c>
      <c r="B12" s="5">
        <v>93</v>
      </c>
      <c r="D12" s="3" t="s">
        <v>178</v>
      </c>
      <c r="E12" s="15">
        <v>36</v>
      </c>
      <c r="F12" s="16">
        <v>13.466666666666667</v>
      </c>
      <c r="G12" s="5">
        <v>154</v>
      </c>
      <c r="H12" s="6">
        <f t="shared" si="0"/>
        <v>0.23376623376623376</v>
      </c>
      <c r="I12" s="6">
        <f t="shared" si="1"/>
        <v>8.7445887445887452E-2</v>
      </c>
      <c r="J12" s="18">
        <f t="shared" si="2"/>
        <v>0.32121212121212123</v>
      </c>
      <c r="K12" s="3"/>
      <c r="L12" s="5"/>
      <c r="M12" s="16"/>
      <c r="N12" s="5"/>
      <c r="O12" s="6"/>
      <c r="P12" s="6"/>
      <c r="Q12" s="18"/>
    </row>
    <row r="13" spans="1:17" x14ac:dyDescent="0.25">
      <c r="A13" s="3" t="s">
        <v>186</v>
      </c>
      <c r="B13" s="5">
        <v>75</v>
      </c>
      <c r="D13" s="3" t="s">
        <v>186</v>
      </c>
      <c r="E13" s="15">
        <v>46</v>
      </c>
      <c r="F13" s="16">
        <v>11</v>
      </c>
      <c r="G13" s="5">
        <v>154</v>
      </c>
      <c r="H13" s="6">
        <f t="shared" si="0"/>
        <v>0.29870129870129869</v>
      </c>
      <c r="I13" s="6">
        <f t="shared" si="1"/>
        <v>7.1428571428571425E-2</v>
      </c>
      <c r="J13" s="18">
        <f t="shared" si="2"/>
        <v>0.37012987012987009</v>
      </c>
      <c r="K13" s="3"/>
      <c r="L13" s="5"/>
      <c r="M13" s="16"/>
      <c r="N13" s="5"/>
      <c r="O13" s="6"/>
      <c r="P13" s="6"/>
      <c r="Q13" s="18"/>
    </row>
    <row r="14" spans="1:17" x14ac:dyDescent="0.25">
      <c r="A14" s="3" t="s">
        <v>188</v>
      </c>
      <c r="B14" s="5">
        <v>37</v>
      </c>
      <c r="D14" s="3" t="s">
        <v>188</v>
      </c>
      <c r="E14" s="15">
        <v>39</v>
      </c>
      <c r="F14" s="16">
        <v>13.2</v>
      </c>
      <c r="G14" s="5">
        <v>154</v>
      </c>
      <c r="H14" s="6">
        <f t="shared" si="0"/>
        <v>0.25324675324675322</v>
      </c>
      <c r="I14" s="6">
        <f t="shared" si="1"/>
        <v>8.5714285714285715E-2</v>
      </c>
      <c r="J14" s="18">
        <f t="shared" si="2"/>
        <v>0.33896103896103891</v>
      </c>
      <c r="K14" s="3"/>
      <c r="L14" s="5"/>
      <c r="M14" s="16"/>
      <c r="N14" s="5"/>
      <c r="O14" s="6"/>
      <c r="P14" s="6"/>
      <c r="Q14" s="18"/>
    </row>
    <row r="15" spans="1:17" x14ac:dyDescent="0.25">
      <c r="A15" s="3" t="s">
        <v>189</v>
      </c>
      <c r="B15" s="5">
        <v>90</v>
      </c>
      <c r="D15" s="3" t="s">
        <v>189</v>
      </c>
      <c r="E15" s="15">
        <v>39</v>
      </c>
      <c r="F15" s="16">
        <v>9.6666666666666661</v>
      </c>
      <c r="G15" s="5">
        <v>154</v>
      </c>
      <c r="H15" s="6">
        <f t="shared" si="0"/>
        <v>0.25324675324675322</v>
      </c>
      <c r="I15" s="6">
        <f t="shared" si="1"/>
        <v>6.2770562770562768E-2</v>
      </c>
      <c r="J15" s="18">
        <f t="shared" si="2"/>
        <v>0.31601731601731597</v>
      </c>
      <c r="K15" s="3"/>
      <c r="L15" s="5"/>
      <c r="M15" s="16"/>
      <c r="N15" s="5"/>
      <c r="O15" s="6"/>
      <c r="P15" s="6"/>
      <c r="Q15" s="18"/>
    </row>
    <row r="16" spans="1:17" x14ac:dyDescent="0.25">
      <c r="A16" s="3" t="s">
        <v>203</v>
      </c>
      <c r="B16" s="5">
        <v>6</v>
      </c>
      <c r="D16" s="3" t="s">
        <v>204</v>
      </c>
      <c r="E16" s="15">
        <v>32</v>
      </c>
      <c r="F16" s="16">
        <v>12.2</v>
      </c>
      <c r="G16" s="5">
        <v>154</v>
      </c>
      <c r="H16" s="6">
        <f t="shared" si="0"/>
        <v>0.20779220779220781</v>
      </c>
      <c r="I16" s="6">
        <f t="shared" si="1"/>
        <v>7.9220779220779219E-2</v>
      </c>
      <c r="J16" s="18">
        <f t="shared" si="2"/>
        <v>0.28701298701298705</v>
      </c>
      <c r="K16" s="3"/>
      <c r="L16" s="5"/>
      <c r="M16" s="16"/>
      <c r="N16" s="5"/>
      <c r="O16" s="6"/>
      <c r="P16" s="6"/>
      <c r="Q16" s="18"/>
    </row>
    <row r="17" spans="1:17" x14ac:dyDescent="0.25">
      <c r="A17" s="3" t="s">
        <v>204</v>
      </c>
      <c r="B17" s="5">
        <v>36</v>
      </c>
      <c r="D17" s="3" t="s">
        <v>205</v>
      </c>
      <c r="E17" s="15">
        <v>31</v>
      </c>
      <c r="F17" s="16">
        <v>11.5</v>
      </c>
      <c r="G17" s="5">
        <v>154</v>
      </c>
      <c r="H17" s="6">
        <f t="shared" si="0"/>
        <v>0.20129870129870131</v>
      </c>
      <c r="I17" s="6">
        <f t="shared" si="1"/>
        <v>7.4675324675324672E-2</v>
      </c>
      <c r="J17" s="18">
        <f t="shared" si="2"/>
        <v>0.27597402597402598</v>
      </c>
      <c r="K17" s="3"/>
      <c r="L17" s="5"/>
      <c r="M17" s="16"/>
      <c r="N17" s="5"/>
      <c r="O17" s="6"/>
      <c r="P17" s="6"/>
      <c r="Q17" s="18"/>
    </row>
    <row r="18" spans="1:17" x14ac:dyDescent="0.25">
      <c r="A18" s="3" t="s">
        <v>205</v>
      </c>
      <c r="B18" s="5">
        <v>34</v>
      </c>
      <c r="D18" s="3" t="s">
        <v>207</v>
      </c>
      <c r="E18" s="15">
        <v>32</v>
      </c>
      <c r="F18" s="16">
        <v>13.616666666666667</v>
      </c>
      <c r="G18" s="5">
        <v>154</v>
      </c>
      <c r="H18" s="6">
        <f t="shared" si="0"/>
        <v>0.20779220779220781</v>
      </c>
      <c r="I18" s="6">
        <f t="shared" si="1"/>
        <v>8.8419913419913426E-2</v>
      </c>
      <c r="J18" s="18">
        <f t="shared" si="2"/>
        <v>0.29621212121212126</v>
      </c>
      <c r="K18" s="3"/>
      <c r="L18" s="5"/>
      <c r="M18" s="16"/>
      <c r="N18" s="5"/>
      <c r="O18" s="6"/>
      <c r="P18" s="6"/>
      <c r="Q18" s="18"/>
    </row>
    <row r="19" spans="1:17" x14ac:dyDescent="0.25">
      <c r="A19" s="3" t="s">
        <v>207</v>
      </c>
      <c r="B19" s="5">
        <v>63</v>
      </c>
      <c r="D19" s="3" t="s">
        <v>219</v>
      </c>
      <c r="E19" s="15">
        <v>40</v>
      </c>
      <c r="F19" s="16">
        <v>6.583333333333333</v>
      </c>
      <c r="G19" s="5">
        <v>154</v>
      </c>
      <c r="H19" s="6">
        <f t="shared" si="0"/>
        <v>0.25974025974025972</v>
      </c>
      <c r="I19" s="6">
        <f t="shared" si="1"/>
        <v>4.2748917748917745E-2</v>
      </c>
      <c r="J19" s="18">
        <f t="shared" si="2"/>
        <v>0.30248917748917747</v>
      </c>
      <c r="K19" s="3"/>
      <c r="L19" s="5"/>
      <c r="M19" s="16"/>
      <c r="N19" s="5"/>
      <c r="O19" s="6"/>
      <c r="P19" s="6"/>
      <c r="Q19" s="18"/>
    </row>
    <row r="20" spans="1:17" x14ac:dyDescent="0.25">
      <c r="A20" s="3" t="s">
        <v>219</v>
      </c>
      <c r="B20" s="5">
        <v>32</v>
      </c>
      <c r="D20" s="3" t="s">
        <v>221</v>
      </c>
      <c r="E20" s="15">
        <v>31</v>
      </c>
      <c r="F20" s="16">
        <v>43.8</v>
      </c>
      <c r="G20" s="5">
        <v>154</v>
      </c>
      <c r="H20" s="6">
        <f t="shared" si="0"/>
        <v>0.20129870129870131</v>
      </c>
      <c r="I20" s="6">
        <f t="shared" si="1"/>
        <v>0.2844155844155844</v>
      </c>
      <c r="J20" s="18">
        <f t="shared" si="2"/>
        <v>0.48571428571428571</v>
      </c>
      <c r="K20" s="3"/>
      <c r="L20" s="5"/>
      <c r="M20" s="16"/>
      <c r="N20" s="5"/>
      <c r="O20" s="6"/>
      <c r="P20" s="6"/>
      <c r="Q20" s="18"/>
    </row>
    <row r="21" spans="1:17" x14ac:dyDescent="0.25">
      <c r="A21" s="3" t="s">
        <v>221</v>
      </c>
      <c r="B21" s="5">
        <v>19</v>
      </c>
      <c r="D21" s="3" t="s">
        <v>223</v>
      </c>
      <c r="E21" s="15">
        <v>31</v>
      </c>
      <c r="F21" s="16">
        <v>36.233333333333327</v>
      </c>
      <c r="G21" s="5">
        <v>154</v>
      </c>
      <c r="H21" s="6">
        <f t="shared" si="0"/>
        <v>0.20129870129870131</v>
      </c>
      <c r="I21" s="6">
        <f t="shared" si="1"/>
        <v>0.23528138528138523</v>
      </c>
      <c r="J21" s="18">
        <f t="shared" si="2"/>
        <v>0.43658008658008651</v>
      </c>
      <c r="K21" s="3"/>
      <c r="L21" s="5"/>
      <c r="M21" s="16"/>
      <c r="N21" s="5"/>
      <c r="O21" s="6"/>
      <c r="P21" s="6"/>
      <c r="Q21" s="19"/>
    </row>
    <row r="22" spans="1:17" x14ac:dyDescent="0.25">
      <c r="A22" s="3" t="s">
        <v>223</v>
      </c>
      <c r="B22" s="5">
        <v>47</v>
      </c>
      <c r="D22" s="3" t="s">
        <v>224</v>
      </c>
      <c r="E22" s="15">
        <v>40</v>
      </c>
      <c r="F22" s="16">
        <v>15.766666666666667</v>
      </c>
      <c r="G22" s="5">
        <v>154</v>
      </c>
      <c r="H22" s="6">
        <f t="shared" si="0"/>
        <v>0.25974025974025972</v>
      </c>
      <c r="I22" s="6">
        <f t="shared" si="1"/>
        <v>0.10238095238095239</v>
      </c>
      <c r="J22" s="18">
        <f t="shared" si="2"/>
        <v>0.36212121212121212</v>
      </c>
      <c r="K22" s="3"/>
      <c r="L22" s="5"/>
      <c r="M22" s="16"/>
      <c r="N22" s="5"/>
      <c r="O22" s="6"/>
      <c r="P22" s="6"/>
      <c r="Q22" s="18"/>
    </row>
    <row r="23" spans="1:17" x14ac:dyDescent="0.25">
      <c r="A23" s="3" t="s">
        <v>224</v>
      </c>
      <c r="B23" s="5">
        <v>46</v>
      </c>
    </row>
    <row r="24" spans="1:17" x14ac:dyDescent="0.25">
      <c r="A24" s="3" t="s">
        <v>235</v>
      </c>
      <c r="B24" s="5"/>
    </row>
    <row r="25" spans="1:17" x14ac:dyDescent="0.25">
      <c r="A25" s="3" t="s">
        <v>228</v>
      </c>
      <c r="B25" s="5">
        <v>886</v>
      </c>
    </row>
    <row r="26" spans="1:17" x14ac:dyDescent="0.25">
      <c r="A26"/>
    </row>
    <row r="27" spans="1:17" x14ac:dyDescent="0.25">
      <c r="A27"/>
      <c r="D27" s="3"/>
      <c r="E27" s="17"/>
      <c r="F27" s="17"/>
    </row>
    <row r="28" spans="1:17" x14ac:dyDescent="0.25">
      <c r="A28"/>
      <c r="D28" s="3"/>
      <c r="E28" s="17"/>
      <c r="F28" s="17"/>
    </row>
    <row r="29" spans="1:17" x14ac:dyDescent="0.25">
      <c r="A29"/>
      <c r="D29" s="3"/>
      <c r="E29" s="17"/>
      <c r="F29" s="17"/>
    </row>
    <row r="30" spans="1:17" x14ac:dyDescent="0.25">
      <c r="A30"/>
      <c r="D30" s="3"/>
      <c r="E30" s="17"/>
      <c r="F30" s="17"/>
    </row>
    <row r="31" spans="1:17" x14ac:dyDescent="0.25">
      <c r="A31"/>
      <c r="D31" s="3"/>
      <c r="E31" s="17"/>
      <c r="F31" s="17"/>
    </row>
    <row r="32" spans="1:17" x14ac:dyDescent="0.25">
      <c r="A32"/>
      <c r="D32" s="3"/>
      <c r="E32" s="17"/>
      <c r="F32" s="17"/>
    </row>
    <row r="33" spans="1:9" x14ac:dyDescent="0.25">
      <c r="A33"/>
      <c r="D33" s="3"/>
      <c r="E33" s="17"/>
      <c r="F33" s="17"/>
      <c r="G33" s="7"/>
      <c r="H33" s="7"/>
      <c r="I33" s="7"/>
    </row>
    <row r="34" spans="1:9" x14ac:dyDescent="0.25">
      <c r="A34"/>
      <c r="D34" s="3"/>
      <c r="E34" s="17"/>
      <c r="F34" s="17"/>
      <c r="G34" s="5"/>
      <c r="H34" s="6"/>
      <c r="I34" s="6"/>
    </row>
    <row r="35" spans="1:9" x14ac:dyDescent="0.25">
      <c r="A35"/>
      <c r="D35" s="3"/>
      <c r="E35" s="17"/>
      <c r="F35" s="17"/>
      <c r="G35" s="5"/>
      <c r="H35" s="6"/>
      <c r="I35" s="6"/>
    </row>
    <row r="36" spans="1:9" x14ac:dyDescent="0.25">
      <c r="A36"/>
      <c r="D36" s="3"/>
      <c r="E36" s="17"/>
      <c r="F36" s="17"/>
      <c r="G36" s="5"/>
      <c r="H36" s="6"/>
      <c r="I36" s="6"/>
    </row>
    <row r="37" spans="1:9" x14ac:dyDescent="0.25">
      <c r="A37"/>
      <c r="D37" s="3"/>
      <c r="E37" s="17"/>
      <c r="F37" s="17"/>
      <c r="G37" s="5"/>
      <c r="H37" s="6"/>
      <c r="I37" s="6"/>
    </row>
    <row r="38" spans="1:9" x14ac:dyDescent="0.25">
      <c r="A38"/>
      <c r="D38" s="3"/>
      <c r="E38" s="17"/>
      <c r="F38" s="17"/>
      <c r="G38" s="5"/>
      <c r="H38" s="6"/>
      <c r="I38" s="6"/>
    </row>
    <row r="39" spans="1:9" x14ac:dyDescent="0.25">
      <c r="A39"/>
      <c r="D39" s="3"/>
      <c r="E39" s="17"/>
      <c r="F39" s="17"/>
      <c r="G39" s="5"/>
      <c r="H39" s="6"/>
      <c r="I39" s="6"/>
    </row>
    <row r="40" spans="1:9" x14ac:dyDescent="0.25">
      <c r="A40"/>
      <c r="D40" s="3"/>
      <c r="E40" s="17"/>
      <c r="F40" s="17"/>
      <c r="G40" s="5"/>
      <c r="H40" s="6"/>
      <c r="I40" s="6"/>
    </row>
    <row r="41" spans="1:9" x14ac:dyDescent="0.25">
      <c r="A41"/>
      <c r="D41" s="3"/>
      <c r="E41" s="17"/>
      <c r="F41" s="17"/>
      <c r="G41" s="5"/>
      <c r="H41" s="6"/>
      <c r="I41" s="6"/>
    </row>
    <row r="42" spans="1:9" x14ac:dyDescent="0.25">
      <c r="A42"/>
      <c r="D42" s="3"/>
      <c r="E42" s="17"/>
      <c r="F42" s="17"/>
      <c r="G42" s="5"/>
      <c r="H42" s="6"/>
      <c r="I42" s="6"/>
    </row>
    <row r="43" spans="1:9" x14ac:dyDescent="0.25">
      <c r="A43"/>
      <c r="D43" s="3"/>
      <c r="E43" s="17"/>
      <c r="F43" s="17"/>
      <c r="G43" s="5"/>
      <c r="H43" s="6"/>
      <c r="I43" s="6"/>
    </row>
    <row r="44" spans="1:9" x14ac:dyDescent="0.25">
      <c r="A44"/>
      <c r="D44" s="3"/>
      <c r="E44" s="17"/>
      <c r="F44" s="17"/>
      <c r="G44" s="5"/>
      <c r="H44" s="6"/>
      <c r="I44" s="6"/>
    </row>
    <row r="45" spans="1:9" x14ac:dyDescent="0.25">
      <c r="A45"/>
      <c r="D45" s="3"/>
      <c r="E45" s="5"/>
      <c r="F45" s="5"/>
      <c r="G45" s="5"/>
      <c r="H45" s="6"/>
      <c r="I45" s="6"/>
    </row>
    <row r="46" spans="1:9" x14ac:dyDescent="0.25">
      <c r="A46"/>
      <c r="D46" s="3"/>
      <c r="E46" s="5"/>
      <c r="F46" s="5"/>
      <c r="G46" s="5"/>
      <c r="H46" s="6"/>
      <c r="I46" s="6"/>
    </row>
    <row r="47" spans="1:9" x14ac:dyDescent="0.25">
      <c r="A47"/>
      <c r="D47" s="3"/>
      <c r="E47" s="5"/>
      <c r="F47" s="5"/>
      <c r="G47" s="5"/>
      <c r="H47" s="6"/>
      <c r="I47" s="6"/>
    </row>
    <row r="48" spans="1:9" x14ac:dyDescent="0.25">
      <c r="A48"/>
      <c r="D48" s="3"/>
      <c r="E48" s="5"/>
      <c r="F48" s="5"/>
      <c r="G48" s="5"/>
      <c r="H48" s="6"/>
      <c r="I48" s="6"/>
    </row>
    <row r="49" spans="1:9" x14ac:dyDescent="0.25">
      <c r="A49"/>
      <c r="D49" s="3"/>
      <c r="E49" s="5"/>
      <c r="F49" s="5"/>
      <c r="G49" s="5"/>
      <c r="H49" s="6"/>
      <c r="I49" s="6"/>
    </row>
    <row r="50" spans="1:9" x14ac:dyDescent="0.25">
      <c r="A50"/>
      <c r="D50" s="3"/>
      <c r="E50" s="5"/>
      <c r="F50" s="5"/>
      <c r="G50" s="5"/>
      <c r="H50" s="6"/>
      <c r="I50" s="6"/>
    </row>
    <row r="51" spans="1:9" x14ac:dyDescent="0.25">
      <c r="A51"/>
    </row>
    <row r="52" spans="1:9" x14ac:dyDescent="0.25">
      <c r="A52"/>
    </row>
    <row r="53" spans="1:9" x14ac:dyDescent="0.25">
      <c r="A53"/>
    </row>
    <row r="54" spans="1:9" x14ac:dyDescent="0.25">
      <c r="A54"/>
    </row>
    <row r="55" spans="1:9" x14ac:dyDescent="0.25">
      <c r="A55"/>
    </row>
    <row r="56" spans="1:9" x14ac:dyDescent="0.25">
      <c r="A56"/>
    </row>
    <row r="57" spans="1:9" x14ac:dyDescent="0.25">
      <c r="A57"/>
    </row>
    <row r="58" spans="1:9" x14ac:dyDescent="0.25">
      <c r="A58"/>
    </row>
    <row r="59" spans="1:9" x14ac:dyDescent="0.25">
      <c r="A59"/>
    </row>
    <row r="60" spans="1:9" x14ac:dyDescent="0.25">
      <c r="A60"/>
    </row>
    <row r="61" spans="1:9" x14ac:dyDescent="0.25">
      <c r="A61"/>
    </row>
    <row r="62" spans="1:9" x14ac:dyDescent="0.25">
      <c r="A62"/>
    </row>
    <row r="63" spans="1:9" x14ac:dyDescent="0.25">
      <c r="A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D67B-BE9A-4B79-9B25-BEBB7D32992C}">
  <sheetPr>
    <tabColor rgb="FF92D050"/>
  </sheetPr>
  <dimension ref="A1:I64"/>
  <sheetViews>
    <sheetView topLeftCell="D1" workbookViewId="0">
      <selection activeCell="E5" sqref="E5:F22"/>
    </sheetView>
  </sheetViews>
  <sheetFormatPr defaultRowHeight="15" x14ac:dyDescent="0.25"/>
  <cols>
    <col min="1" max="1" width="15.42578125" style="3" bestFit="1" customWidth="1"/>
    <col min="2" max="2" width="10.85546875" bestFit="1" customWidth="1"/>
    <col min="3" max="3" width="15.28515625" bestFit="1" customWidth="1"/>
  </cols>
  <sheetData>
    <row r="1" spans="1:9" x14ac:dyDescent="0.25">
      <c r="A1" s="4" t="s">
        <v>9</v>
      </c>
      <c r="B1" s="3" t="s">
        <v>236</v>
      </c>
    </row>
    <row r="3" spans="1:9" x14ac:dyDescent="0.25">
      <c r="A3" s="4" t="s">
        <v>227</v>
      </c>
      <c r="B3" s="3" t="s">
        <v>229</v>
      </c>
      <c r="E3" s="7" t="s">
        <v>230</v>
      </c>
      <c r="F3" s="7" t="s">
        <v>231</v>
      </c>
      <c r="G3" s="7" t="s">
        <v>234</v>
      </c>
      <c r="H3" s="7" t="s">
        <v>232</v>
      </c>
      <c r="I3" s="7" t="s">
        <v>233</v>
      </c>
    </row>
    <row r="4" spans="1:9" hidden="1" x14ac:dyDescent="0.25">
      <c r="A4" s="3" t="s">
        <v>18</v>
      </c>
      <c r="B4" s="5">
        <v>1</v>
      </c>
    </row>
    <row r="5" spans="1:9" x14ac:dyDescent="0.25">
      <c r="A5" s="3" t="s">
        <v>23</v>
      </c>
      <c r="B5" s="5">
        <v>70</v>
      </c>
      <c r="D5" s="3" t="s">
        <v>23</v>
      </c>
      <c r="E5" s="5">
        <v>68</v>
      </c>
      <c r="F5" s="5">
        <v>3</v>
      </c>
      <c r="G5" s="5">
        <v>111.5</v>
      </c>
      <c r="H5" s="6">
        <f>E5/G5</f>
        <v>0.60986547085201792</v>
      </c>
      <c r="I5" s="6">
        <f>F5/G5</f>
        <v>2.6905829596412557E-2</v>
      </c>
    </row>
    <row r="6" spans="1:9" x14ac:dyDescent="0.25">
      <c r="A6" s="3" t="s">
        <v>74</v>
      </c>
      <c r="B6" s="5">
        <v>54</v>
      </c>
      <c r="D6" s="3" t="s">
        <v>74</v>
      </c>
      <c r="E6" s="5">
        <v>51</v>
      </c>
      <c r="F6" s="5">
        <v>13</v>
      </c>
      <c r="G6" s="5">
        <v>120</v>
      </c>
      <c r="H6" s="6">
        <f t="shared" ref="H6:H22" si="0">E6/G6</f>
        <v>0.42499999999999999</v>
      </c>
      <c r="I6" s="6">
        <f t="shared" ref="I6:I22" si="1">F6/G6</f>
        <v>0.10833333333333334</v>
      </c>
    </row>
    <row r="7" spans="1:9" x14ac:dyDescent="0.25">
      <c r="A7" s="3" t="s">
        <v>103</v>
      </c>
      <c r="B7" s="5">
        <v>50</v>
      </c>
      <c r="D7" s="3" t="s">
        <v>103</v>
      </c>
      <c r="E7" s="5">
        <v>37</v>
      </c>
      <c r="F7" s="5">
        <v>7</v>
      </c>
      <c r="G7" s="5">
        <v>138.5</v>
      </c>
      <c r="H7" s="6">
        <f t="shared" si="0"/>
        <v>0.26714801444043323</v>
      </c>
      <c r="I7" s="6">
        <f t="shared" si="1"/>
        <v>5.0541516245487361E-2</v>
      </c>
    </row>
    <row r="8" spans="1:9" x14ac:dyDescent="0.25">
      <c r="A8" s="3" t="s">
        <v>122</v>
      </c>
      <c r="B8" s="5">
        <v>37</v>
      </c>
      <c r="D8" s="3" t="s">
        <v>122</v>
      </c>
      <c r="E8" s="5">
        <v>30</v>
      </c>
      <c r="F8" s="5">
        <v>9</v>
      </c>
      <c r="G8" s="5">
        <v>142</v>
      </c>
      <c r="H8" s="6">
        <f t="shared" si="0"/>
        <v>0.21126760563380281</v>
      </c>
      <c r="I8" s="6">
        <f t="shared" si="1"/>
        <v>6.3380281690140844E-2</v>
      </c>
    </row>
    <row r="9" spans="1:9" x14ac:dyDescent="0.25">
      <c r="A9" s="3" t="s">
        <v>137</v>
      </c>
      <c r="B9" s="5">
        <v>39</v>
      </c>
      <c r="D9" s="3" t="s">
        <v>137</v>
      </c>
      <c r="E9" s="5">
        <v>30</v>
      </c>
      <c r="F9" s="5">
        <v>10</v>
      </c>
      <c r="G9" s="5">
        <v>153</v>
      </c>
      <c r="H9" s="6">
        <f t="shared" si="0"/>
        <v>0.19607843137254902</v>
      </c>
      <c r="I9" s="6">
        <f t="shared" si="1"/>
        <v>6.535947712418301E-2</v>
      </c>
    </row>
    <row r="10" spans="1:9" x14ac:dyDescent="0.25">
      <c r="A10" s="3" t="s">
        <v>156</v>
      </c>
      <c r="B10" s="5">
        <v>21</v>
      </c>
      <c r="D10" s="3" t="s">
        <v>156</v>
      </c>
      <c r="E10" s="5">
        <v>11</v>
      </c>
      <c r="F10" s="5">
        <v>8</v>
      </c>
      <c r="G10" s="5">
        <v>144.5</v>
      </c>
      <c r="H10" s="6">
        <f t="shared" si="0"/>
        <v>7.6124567474048443E-2</v>
      </c>
      <c r="I10" s="6">
        <f t="shared" si="1"/>
        <v>5.536332179930796E-2</v>
      </c>
    </row>
    <row r="11" spans="1:9" x14ac:dyDescent="0.25">
      <c r="A11" s="3" t="s">
        <v>162</v>
      </c>
      <c r="B11" s="5">
        <v>36</v>
      </c>
      <c r="D11" s="3" t="s">
        <v>162</v>
      </c>
      <c r="E11" s="5">
        <v>28</v>
      </c>
      <c r="F11" s="5">
        <v>12</v>
      </c>
      <c r="G11" s="5">
        <v>156.5</v>
      </c>
      <c r="H11" s="6">
        <f t="shared" si="0"/>
        <v>0.17891373801916932</v>
      </c>
      <c r="I11" s="6">
        <f t="shared" si="1"/>
        <v>7.6677316293929709E-2</v>
      </c>
    </row>
    <row r="12" spans="1:9" x14ac:dyDescent="0.25">
      <c r="A12" s="3" t="s">
        <v>178</v>
      </c>
      <c r="B12" s="5">
        <v>93</v>
      </c>
      <c r="D12" s="3" t="s">
        <v>178</v>
      </c>
      <c r="E12" s="5">
        <v>81</v>
      </c>
      <c r="F12" s="5">
        <v>4</v>
      </c>
      <c r="G12" s="5">
        <v>154.5</v>
      </c>
      <c r="H12" s="6">
        <f t="shared" si="0"/>
        <v>0.52427184466019416</v>
      </c>
      <c r="I12" s="6">
        <f t="shared" si="1"/>
        <v>2.5889967637540454E-2</v>
      </c>
    </row>
    <row r="13" spans="1:9" x14ac:dyDescent="0.25">
      <c r="A13" s="3" t="s">
        <v>186</v>
      </c>
      <c r="B13" s="5">
        <v>75</v>
      </c>
      <c r="D13" s="3" t="s">
        <v>186</v>
      </c>
      <c r="E13" s="5">
        <v>71</v>
      </c>
      <c r="F13" s="5">
        <v>8</v>
      </c>
      <c r="G13" s="5">
        <v>138</v>
      </c>
      <c r="H13" s="6">
        <f t="shared" si="0"/>
        <v>0.51449275362318836</v>
      </c>
      <c r="I13" s="6">
        <f t="shared" si="1"/>
        <v>5.7971014492753624E-2</v>
      </c>
    </row>
    <row r="14" spans="1:9" x14ac:dyDescent="0.25">
      <c r="A14" s="3" t="s">
        <v>188</v>
      </c>
      <c r="B14" s="5">
        <v>37</v>
      </c>
      <c r="D14" s="3" t="s">
        <v>188</v>
      </c>
      <c r="E14" s="5">
        <v>29</v>
      </c>
      <c r="F14" s="5">
        <v>13</v>
      </c>
      <c r="G14" s="5">
        <v>142</v>
      </c>
      <c r="H14" s="6">
        <f t="shared" si="0"/>
        <v>0.20422535211267606</v>
      </c>
      <c r="I14" s="6">
        <f t="shared" si="1"/>
        <v>9.154929577464789E-2</v>
      </c>
    </row>
    <row r="15" spans="1:9" x14ac:dyDescent="0.25">
      <c r="A15" s="3" t="s">
        <v>189</v>
      </c>
      <c r="B15" s="5">
        <v>90</v>
      </c>
      <c r="D15" s="3" t="s">
        <v>189</v>
      </c>
      <c r="E15" s="5">
        <v>77</v>
      </c>
      <c r="F15" s="5">
        <v>6</v>
      </c>
      <c r="G15" s="5">
        <v>148.5</v>
      </c>
      <c r="H15" s="6">
        <f t="shared" si="0"/>
        <v>0.51851851851851849</v>
      </c>
      <c r="I15" s="6">
        <f t="shared" si="1"/>
        <v>4.0404040404040407E-2</v>
      </c>
    </row>
    <row r="16" spans="1:9" x14ac:dyDescent="0.25">
      <c r="A16" s="3" t="s">
        <v>203</v>
      </c>
      <c r="B16" s="5">
        <v>6</v>
      </c>
      <c r="D16" s="3" t="s">
        <v>204</v>
      </c>
      <c r="E16" s="5">
        <v>28</v>
      </c>
      <c r="F16" s="5">
        <v>8</v>
      </c>
      <c r="G16" s="5">
        <v>112.5</v>
      </c>
      <c r="H16" s="6">
        <f t="shared" si="0"/>
        <v>0.24888888888888888</v>
      </c>
      <c r="I16" s="6">
        <f t="shared" si="1"/>
        <v>7.1111111111111111E-2</v>
      </c>
    </row>
    <row r="17" spans="1:9" x14ac:dyDescent="0.25">
      <c r="A17" s="3" t="s">
        <v>204</v>
      </c>
      <c r="B17" s="5">
        <v>36</v>
      </c>
      <c r="D17" s="3" t="s">
        <v>205</v>
      </c>
      <c r="E17" s="5">
        <v>26</v>
      </c>
      <c r="F17" s="5">
        <v>8</v>
      </c>
      <c r="G17" s="5">
        <v>105.9</v>
      </c>
      <c r="H17" s="6">
        <f t="shared" si="0"/>
        <v>0.24551463644948063</v>
      </c>
      <c r="I17" s="6">
        <f t="shared" si="1"/>
        <v>7.5542965061378656E-2</v>
      </c>
    </row>
    <row r="18" spans="1:9" x14ac:dyDescent="0.25">
      <c r="A18" s="3" t="s">
        <v>205</v>
      </c>
      <c r="B18" s="5">
        <v>34</v>
      </c>
      <c r="D18" s="3" t="s">
        <v>207</v>
      </c>
      <c r="E18" s="5">
        <v>58</v>
      </c>
      <c r="F18" s="5">
        <v>5</v>
      </c>
      <c r="G18" s="5">
        <v>151.5</v>
      </c>
      <c r="H18" s="6">
        <f t="shared" si="0"/>
        <v>0.38283828382838286</v>
      </c>
      <c r="I18" s="6">
        <f t="shared" si="1"/>
        <v>3.3003300330033E-2</v>
      </c>
    </row>
    <row r="19" spans="1:9" x14ac:dyDescent="0.25">
      <c r="A19" s="3" t="s">
        <v>207</v>
      </c>
      <c r="B19" s="5">
        <v>63</v>
      </c>
      <c r="D19" s="3" t="s">
        <v>219</v>
      </c>
      <c r="E19" s="5">
        <v>22</v>
      </c>
      <c r="F19" s="5">
        <v>10</v>
      </c>
      <c r="G19" s="5">
        <v>142.5</v>
      </c>
      <c r="H19" s="6">
        <f t="shared" si="0"/>
        <v>0.15438596491228071</v>
      </c>
      <c r="I19" s="6">
        <f t="shared" si="1"/>
        <v>7.0175438596491224E-2</v>
      </c>
    </row>
    <row r="20" spans="1:9" x14ac:dyDescent="0.25">
      <c r="A20" s="3" t="s">
        <v>219</v>
      </c>
      <c r="B20" s="5">
        <v>32</v>
      </c>
      <c r="D20" s="3" t="s">
        <v>221</v>
      </c>
      <c r="E20" s="5">
        <v>15</v>
      </c>
      <c r="F20" s="5">
        <v>4</v>
      </c>
      <c r="G20" s="5">
        <v>131.5</v>
      </c>
      <c r="H20" s="6">
        <f t="shared" si="0"/>
        <v>0.11406844106463879</v>
      </c>
      <c r="I20" s="6">
        <f t="shared" si="1"/>
        <v>3.0418250950570342E-2</v>
      </c>
    </row>
    <row r="21" spans="1:9" x14ac:dyDescent="0.25">
      <c r="A21" s="3" t="s">
        <v>221</v>
      </c>
      <c r="B21" s="5">
        <v>19</v>
      </c>
      <c r="D21" s="3" t="s">
        <v>223</v>
      </c>
      <c r="E21" s="5">
        <v>42</v>
      </c>
      <c r="F21" s="5">
        <v>5</v>
      </c>
      <c r="G21" s="5">
        <v>122.5</v>
      </c>
      <c r="H21" s="6">
        <f t="shared" si="0"/>
        <v>0.34285714285714286</v>
      </c>
      <c r="I21" s="6">
        <f t="shared" si="1"/>
        <v>4.0816326530612242E-2</v>
      </c>
    </row>
    <row r="22" spans="1:9" x14ac:dyDescent="0.25">
      <c r="A22" s="3" t="s">
        <v>223</v>
      </c>
      <c r="B22" s="5">
        <v>47</v>
      </c>
      <c r="D22" s="3" t="s">
        <v>224</v>
      </c>
      <c r="E22" s="5">
        <v>45</v>
      </c>
      <c r="F22" s="5">
        <v>1</v>
      </c>
      <c r="G22" s="5">
        <v>99.8</v>
      </c>
      <c r="H22" s="6">
        <f t="shared" si="0"/>
        <v>0.45090180360721444</v>
      </c>
      <c r="I22" s="6">
        <f t="shared" si="1"/>
        <v>1.002004008016032E-2</v>
      </c>
    </row>
    <row r="23" spans="1:9" x14ac:dyDescent="0.25">
      <c r="A23" s="3" t="s">
        <v>224</v>
      </c>
      <c r="B23" s="5">
        <v>46</v>
      </c>
    </row>
    <row r="24" spans="1:9" hidden="1" x14ac:dyDescent="0.25">
      <c r="A24" s="3" t="s">
        <v>235</v>
      </c>
      <c r="B24" s="5"/>
    </row>
    <row r="25" spans="1:9" x14ac:dyDescent="0.25">
      <c r="A25" s="3" t="s">
        <v>228</v>
      </c>
      <c r="B25" s="5">
        <v>886</v>
      </c>
    </row>
    <row r="26" spans="1:9" x14ac:dyDescent="0.25">
      <c r="A26"/>
    </row>
    <row r="27" spans="1:9" x14ac:dyDescent="0.25">
      <c r="A27"/>
    </row>
    <row r="28" spans="1:9" x14ac:dyDescent="0.25">
      <c r="A28"/>
    </row>
    <row r="29" spans="1:9" x14ac:dyDescent="0.25">
      <c r="A29"/>
    </row>
    <row r="30" spans="1:9" x14ac:dyDescent="0.25">
      <c r="A30"/>
    </row>
    <row r="31" spans="1:9" x14ac:dyDescent="0.25">
      <c r="A31"/>
    </row>
    <row r="32" spans="1:9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3757-AB56-4008-A011-7FE0E0FE7C06}">
  <sheetPr>
    <tabColor rgb="FF92D050"/>
  </sheetPr>
  <dimension ref="A1:I64"/>
  <sheetViews>
    <sheetView topLeftCell="D2" workbookViewId="0">
      <selection activeCell="K21" sqref="K21"/>
    </sheetView>
  </sheetViews>
  <sheetFormatPr defaultRowHeight="15" x14ac:dyDescent="0.25"/>
  <cols>
    <col min="1" max="1" width="15.42578125" style="3" bestFit="1" customWidth="1"/>
    <col min="2" max="2" width="10.85546875" bestFit="1" customWidth="1"/>
    <col min="3" max="3" width="15.28515625" bestFit="1" customWidth="1"/>
  </cols>
  <sheetData>
    <row r="1" spans="1:9" x14ac:dyDescent="0.25">
      <c r="A1" s="3" t="s">
        <v>9</v>
      </c>
      <c r="B1" s="3" t="s">
        <v>236</v>
      </c>
    </row>
    <row r="3" spans="1:9" x14ac:dyDescent="0.25">
      <c r="A3" s="3" t="s">
        <v>227</v>
      </c>
      <c r="B3" s="3" t="s">
        <v>229</v>
      </c>
      <c r="E3" s="7" t="s">
        <v>230</v>
      </c>
      <c r="F3" s="7" t="s">
        <v>231</v>
      </c>
      <c r="G3" s="7" t="s">
        <v>234</v>
      </c>
      <c r="H3" s="7" t="s">
        <v>232</v>
      </c>
      <c r="I3" s="7" t="s">
        <v>233</v>
      </c>
    </row>
    <row r="4" spans="1:9" hidden="1" x14ac:dyDescent="0.25">
      <c r="A4" s="3" t="s">
        <v>18</v>
      </c>
      <c r="B4" s="5">
        <v>1</v>
      </c>
    </row>
    <row r="5" spans="1:9" x14ac:dyDescent="0.25">
      <c r="A5" s="3" t="s">
        <v>23</v>
      </c>
      <c r="B5" s="5">
        <v>70</v>
      </c>
      <c r="D5" s="3" t="s">
        <v>23</v>
      </c>
      <c r="E5" s="5">
        <v>6</v>
      </c>
      <c r="F5" s="5">
        <v>12</v>
      </c>
      <c r="G5" s="5">
        <v>154</v>
      </c>
      <c r="H5" s="6">
        <f>E5/G5</f>
        <v>3.896103896103896E-2</v>
      </c>
      <c r="I5" s="6">
        <f>F5/G5</f>
        <v>7.792207792207792E-2</v>
      </c>
    </row>
    <row r="6" spans="1:9" x14ac:dyDescent="0.25">
      <c r="A6" s="3" t="s">
        <v>74</v>
      </c>
      <c r="B6" s="5">
        <v>54</v>
      </c>
      <c r="D6" s="3" t="s">
        <v>74</v>
      </c>
      <c r="E6" s="5">
        <v>2</v>
      </c>
      <c r="F6" s="5">
        <v>9</v>
      </c>
      <c r="G6" s="5">
        <v>154</v>
      </c>
      <c r="H6" s="6">
        <f t="shared" ref="H6:H22" si="0">E6/G6</f>
        <v>1.2987012987012988E-2</v>
      </c>
      <c r="I6" s="6">
        <f t="shared" ref="I6:I22" si="1">F6/G6</f>
        <v>5.844155844155844E-2</v>
      </c>
    </row>
    <row r="7" spans="1:9" x14ac:dyDescent="0.25">
      <c r="A7" s="3" t="s">
        <v>103</v>
      </c>
      <c r="B7" s="5">
        <v>50</v>
      </c>
      <c r="D7" s="3" t="s">
        <v>103</v>
      </c>
      <c r="E7" s="5">
        <v>12</v>
      </c>
      <c r="F7" s="5">
        <v>9</v>
      </c>
      <c r="G7" s="5">
        <v>154</v>
      </c>
      <c r="H7" s="6">
        <f t="shared" si="0"/>
        <v>7.792207792207792E-2</v>
      </c>
      <c r="I7" s="6">
        <f t="shared" si="1"/>
        <v>5.844155844155844E-2</v>
      </c>
    </row>
    <row r="8" spans="1:9" x14ac:dyDescent="0.25">
      <c r="A8" s="3" t="s">
        <v>122</v>
      </c>
      <c r="B8" s="5">
        <v>37</v>
      </c>
      <c r="D8" s="3" t="s">
        <v>122</v>
      </c>
      <c r="E8" s="5">
        <v>14</v>
      </c>
      <c r="F8" s="5">
        <v>15</v>
      </c>
      <c r="G8" s="5">
        <v>154</v>
      </c>
      <c r="H8" s="6">
        <f t="shared" si="0"/>
        <v>9.0909090909090912E-2</v>
      </c>
      <c r="I8" s="6">
        <f t="shared" si="1"/>
        <v>9.7402597402597407E-2</v>
      </c>
    </row>
    <row r="9" spans="1:9" x14ac:dyDescent="0.25">
      <c r="A9" s="3" t="s">
        <v>137</v>
      </c>
      <c r="B9" s="5">
        <v>39</v>
      </c>
      <c r="D9" s="3" t="s">
        <v>137</v>
      </c>
      <c r="E9" s="5">
        <v>2</v>
      </c>
      <c r="F9" s="5">
        <v>22</v>
      </c>
      <c r="G9" s="5">
        <v>154</v>
      </c>
      <c r="H9" s="6">
        <f t="shared" si="0"/>
        <v>1.2987012987012988E-2</v>
      </c>
      <c r="I9" s="6">
        <f t="shared" si="1"/>
        <v>0.14285714285714285</v>
      </c>
    </row>
    <row r="10" spans="1:9" x14ac:dyDescent="0.25">
      <c r="A10" s="3" t="s">
        <v>156</v>
      </c>
      <c r="B10" s="5">
        <v>21</v>
      </c>
      <c r="D10" s="3" t="s">
        <v>156</v>
      </c>
      <c r="E10" s="5">
        <v>2</v>
      </c>
      <c r="F10" s="5">
        <v>8</v>
      </c>
      <c r="G10" s="5">
        <v>154</v>
      </c>
      <c r="H10" s="6">
        <f t="shared" si="0"/>
        <v>1.2987012987012988E-2</v>
      </c>
      <c r="I10" s="6">
        <f t="shared" si="1"/>
        <v>5.1948051948051951E-2</v>
      </c>
    </row>
    <row r="11" spans="1:9" x14ac:dyDescent="0.25">
      <c r="A11" s="3" t="s">
        <v>162</v>
      </c>
      <c r="B11" s="5">
        <v>36</v>
      </c>
      <c r="D11" s="3" t="s">
        <v>162</v>
      </c>
      <c r="E11" s="5">
        <v>3</v>
      </c>
      <c r="F11" s="5">
        <v>3</v>
      </c>
      <c r="G11" s="5">
        <v>154</v>
      </c>
      <c r="H11" s="6">
        <f t="shared" si="0"/>
        <v>1.948051948051948E-2</v>
      </c>
      <c r="I11" s="6">
        <f t="shared" si="1"/>
        <v>1.948051948051948E-2</v>
      </c>
    </row>
    <row r="12" spans="1:9" x14ac:dyDescent="0.25">
      <c r="A12" s="3" t="s">
        <v>178</v>
      </c>
      <c r="B12" s="5">
        <v>93</v>
      </c>
      <c r="D12" s="3" t="s">
        <v>178</v>
      </c>
      <c r="E12" s="5">
        <v>4</v>
      </c>
      <c r="F12" s="5">
        <v>23</v>
      </c>
      <c r="G12" s="5">
        <v>154</v>
      </c>
      <c r="H12" s="6">
        <f t="shared" si="0"/>
        <v>2.5974025974025976E-2</v>
      </c>
      <c r="I12" s="6">
        <f t="shared" si="1"/>
        <v>0.14935064935064934</v>
      </c>
    </row>
    <row r="13" spans="1:9" x14ac:dyDescent="0.25">
      <c r="A13" s="3" t="s">
        <v>186</v>
      </c>
      <c r="B13" s="5">
        <v>75</v>
      </c>
      <c r="D13" s="3" t="s">
        <v>186</v>
      </c>
      <c r="E13" s="5">
        <v>5</v>
      </c>
      <c r="F13" s="5">
        <v>16</v>
      </c>
      <c r="G13" s="5">
        <v>154</v>
      </c>
      <c r="H13" s="6">
        <f t="shared" si="0"/>
        <v>3.2467532467532464E-2</v>
      </c>
      <c r="I13" s="6">
        <f t="shared" si="1"/>
        <v>0.1038961038961039</v>
      </c>
    </row>
    <row r="14" spans="1:9" x14ac:dyDescent="0.25">
      <c r="A14" s="3" t="s">
        <v>188</v>
      </c>
      <c r="B14" s="5">
        <v>37</v>
      </c>
      <c r="D14" s="3" t="s">
        <v>188</v>
      </c>
      <c r="E14" s="5">
        <v>5</v>
      </c>
      <c r="F14" s="5">
        <v>11</v>
      </c>
      <c r="G14" s="5">
        <v>154</v>
      </c>
      <c r="H14" s="6">
        <f t="shared" si="0"/>
        <v>3.2467532467532464E-2</v>
      </c>
      <c r="I14" s="6">
        <f t="shared" si="1"/>
        <v>7.1428571428571425E-2</v>
      </c>
    </row>
    <row r="15" spans="1:9" x14ac:dyDescent="0.25">
      <c r="A15" s="3" t="s">
        <v>189</v>
      </c>
      <c r="B15" s="5">
        <v>90</v>
      </c>
      <c r="D15" s="3" t="s">
        <v>189</v>
      </c>
      <c r="E15" s="5">
        <v>6</v>
      </c>
      <c r="F15" s="5">
        <v>5</v>
      </c>
      <c r="G15" s="5">
        <v>154</v>
      </c>
      <c r="H15" s="6">
        <f t="shared" si="0"/>
        <v>3.896103896103896E-2</v>
      </c>
      <c r="I15" s="6">
        <f t="shared" si="1"/>
        <v>3.2467532467532464E-2</v>
      </c>
    </row>
    <row r="16" spans="1:9" x14ac:dyDescent="0.25">
      <c r="A16" s="3" t="s">
        <v>203</v>
      </c>
      <c r="B16" s="5">
        <v>6</v>
      </c>
      <c r="D16" s="3" t="s">
        <v>204</v>
      </c>
      <c r="E16" s="5">
        <v>12</v>
      </c>
      <c r="F16" s="5">
        <v>11</v>
      </c>
      <c r="G16" s="5">
        <v>154</v>
      </c>
      <c r="H16" s="6">
        <f t="shared" si="0"/>
        <v>7.792207792207792E-2</v>
      </c>
      <c r="I16" s="6">
        <f t="shared" si="1"/>
        <v>7.1428571428571425E-2</v>
      </c>
    </row>
    <row r="17" spans="1:9" x14ac:dyDescent="0.25">
      <c r="A17" s="3" t="s">
        <v>204</v>
      </c>
      <c r="B17" s="5">
        <v>36</v>
      </c>
      <c r="D17" s="3" t="s">
        <v>205</v>
      </c>
      <c r="E17" s="5">
        <v>3</v>
      </c>
      <c r="F17" s="5">
        <v>3</v>
      </c>
      <c r="G17" s="5">
        <v>154</v>
      </c>
      <c r="H17" s="6">
        <f t="shared" si="0"/>
        <v>1.948051948051948E-2</v>
      </c>
      <c r="I17" s="6">
        <f t="shared" si="1"/>
        <v>1.948051948051948E-2</v>
      </c>
    </row>
    <row r="18" spans="1:9" x14ac:dyDescent="0.25">
      <c r="A18" s="3" t="s">
        <v>205</v>
      </c>
      <c r="B18" s="5">
        <v>34</v>
      </c>
      <c r="D18" s="3" t="s">
        <v>207</v>
      </c>
      <c r="E18" s="5">
        <v>14</v>
      </c>
      <c r="F18" s="5">
        <v>14</v>
      </c>
      <c r="G18" s="5">
        <v>154</v>
      </c>
      <c r="H18" s="6">
        <f t="shared" si="0"/>
        <v>9.0909090909090912E-2</v>
      </c>
      <c r="I18" s="6">
        <f t="shared" si="1"/>
        <v>9.0909090909090912E-2</v>
      </c>
    </row>
    <row r="19" spans="1:9" x14ac:dyDescent="0.25">
      <c r="A19" s="3" t="s">
        <v>207</v>
      </c>
      <c r="B19" s="5">
        <v>63</v>
      </c>
      <c r="D19" s="3" t="s">
        <v>219</v>
      </c>
      <c r="E19" s="5">
        <v>3</v>
      </c>
      <c r="F19" s="5">
        <v>3</v>
      </c>
      <c r="G19" s="5">
        <v>154</v>
      </c>
      <c r="H19" s="6">
        <f t="shared" si="0"/>
        <v>1.948051948051948E-2</v>
      </c>
      <c r="I19" s="6">
        <f t="shared" si="1"/>
        <v>1.948051948051948E-2</v>
      </c>
    </row>
    <row r="20" spans="1:9" x14ac:dyDescent="0.25">
      <c r="A20" s="3" t="s">
        <v>219</v>
      </c>
      <c r="B20" s="5">
        <v>32</v>
      </c>
      <c r="D20" s="3" t="s">
        <v>221</v>
      </c>
      <c r="E20" s="5">
        <v>1</v>
      </c>
      <c r="F20" s="5">
        <v>5</v>
      </c>
      <c r="G20" s="5">
        <v>154</v>
      </c>
      <c r="H20" s="6">
        <f t="shared" si="0"/>
        <v>6.4935064935064939E-3</v>
      </c>
      <c r="I20" s="6">
        <f t="shared" si="1"/>
        <v>3.2467532467532464E-2</v>
      </c>
    </row>
    <row r="21" spans="1:9" x14ac:dyDescent="0.25">
      <c r="A21" s="3" t="s">
        <v>221</v>
      </c>
      <c r="B21" s="5">
        <v>19</v>
      </c>
      <c r="D21" s="3" t="s">
        <v>223</v>
      </c>
      <c r="E21" s="5">
        <v>4</v>
      </c>
      <c r="F21" s="5">
        <v>11</v>
      </c>
      <c r="G21" s="5">
        <v>154</v>
      </c>
      <c r="H21" s="6">
        <f t="shared" si="0"/>
        <v>2.5974025974025976E-2</v>
      </c>
      <c r="I21" s="6">
        <f t="shared" si="1"/>
        <v>7.1428571428571425E-2</v>
      </c>
    </row>
    <row r="22" spans="1:9" x14ac:dyDescent="0.25">
      <c r="A22" s="3" t="s">
        <v>223</v>
      </c>
      <c r="B22" s="5">
        <v>47</v>
      </c>
      <c r="D22" s="3" t="s">
        <v>224</v>
      </c>
      <c r="E22" s="5">
        <v>10</v>
      </c>
      <c r="F22" s="5">
        <v>13</v>
      </c>
      <c r="G22" s="5">
        <v>154</v>
      </c>
      <c r="H22" s="6">
        <f t="shared" si="0"/>
        <v>6.4935064935064929E-2</v>
      </c>
      <c r="I22" s="6">
        <f t="shared" si="1"/>
        <v>8.4415584415584416E-2</v>
      </c>
    </row>
    <row r="23" spans="1:9" x14ac:dyDescent="0.25">
      <c r="A23" s="3" t="s">
        <v>224</v>
      </c>
      <c r="B23" s="5">
        <v>46</v>
      </c>
    </row>
    <row r="24" spans="1:9" hidden="1" x14ac:dyDescent="0.25">
      <c r="A24" s="3" t="s">
        <v>235</v>
      </c>
      <c r="B24" s="5"/>
    </row>
    <row r="25" spans="1:9" x14ac:dyDescent="0.25">
      <c r="A25" s="3" t="s">
        <v>228</v>
      </c>
      <c r="B25" s="5">
        <v>886</v>
      </c>
    </row>
    <row r="26" spans="1:9" x14ac:dyDescent="0.25">
      <c r="A26"/>
    </row>
    <row r="27" spans="1:9" x14ac:dyDescent="0.25">
      <c r="A27"/>
    </row>
    <row r="28" spans="1:9" x14ac:dyDescent="0.25">
      <c r="A28"/>
    </row>
    <row r="29" spans="1:9" x14ac:dyDescent="0.25">
      <c r="A29"/>
    </row>
    <row r="30" spans="1:9" x14ac:dyDescent="0.25">
      <c r="A30"/>
    </row>
    <row r="31" spans="1:9" x14ac:dyDescent="0.25">
      <c r="A31"/>
    </row>
    <row r="32" spans="1:9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D555-CE6C-4E8C-8E3A-0BE48E9608AA}">
  <sheetPr>
    <tabColor rgb="FF92D050"/>
  </sheetPr>
  <dimension ref="A1:I64"/>
  <sheetViews>
    <sheetView topLeftCell="D1" workbookViewId="0">
      <selection activeCell="I40" sqref="I40"/>
    </sheetView>
  </sheetViews>
  <sheetFormatPr defaultRowHeight="15" x14ac:dyDescent="0.25"/>
  <cols>
    <col min="1" max="1" width="15.42578125" style="3" bestFit="1" customWidth="1"/>
    <col min="2" max="2" width="10.85546875" bestFit="1" customWidth="1"/>
    <col min="3" max="3" width="15.28515625" bestFit="1" customWidth="1"/>
  </cols>
  <sheetData>
    <row r="1" spans="1:9" x14ac:dyDescent="0.25">
      <c r="A1" s="3" t="s">
        <v>9</v>
      </c>
      <c r="B1" s="3" t="s">
        <v>236</v>
      </c>
    </row>
    <row r="3" spans="1:9" x14ac:dyDescent="0.25">
      <c r="A3" s="3" t="s">
        <v>227</v>
      </c>
      <c r="B3" s="3" t="s">
        <v>229</v>
      </c>
      <c r="E3" s="7" t="s">
        <v>230</v>
      </c>
      <c r="F3" s="7" t="s">
        <v>231</v>
      </c>
      <c r="G3" s="7" t="s">
        <v>234</v>
      </c>
      <c r="H3" s="7" t="s">
        <v>232</v>
      </c>
      <c r="I3" s="7" t="s">
        <v>233</v>
      </c>
    </row>
    <row r="4" spans="1:9" hidden="1" x14ac:dyDescent="0.25">
      <c r="A4" s="3" t="s">
        <v>18</v>
      </c>
      <c r="B4" s="5">
        <v>1</v>
      </c>
    </row>
    <row r="5" spans="1:9" x14ac:dyDescent="0.25">
      <c r="A5" s="3" t="s">
        <v>23</v>
      </c>
      <c r="B5" s="5">
        <v>70</v>
      </c>
      <c r="D5" s="3" t="s">
        <v>23</v>
      </c>
      <c r="E5" s="5">
        <v>9</v>
      </c>
      <c r="F5" s="5">
        <v>23</v>
      </c>
      <c r="G5" s="5">
        <v>56.5</v>
      </c>
      <c r="H5" s="6">
        <f>E5/G5</f>
        <v>0.15929203539823009</v>
      </c>
      <c r="I5" s="6">
        <f>F5/G5</f>
        <v>0.40707964601769914</v>
      </c>
    </row>
    <row r="6" spans="1:9" x14ac:dyDescent="0.25">
      <c r="A6" s="3" t="s">
        <v>74</v>
      </c>
      <c r="B6" s="5">
        <v>54</v>
      </c>
      <c r="D6" s="3" t="s">
        <v>74</v>
      </c>
      <c r="E6" s="5">
        <v>2</v>
      </c>
      <c r="F6" s="5">
        <v>12</v>
      </c>
      <c r="G6" s="5">
        <v>71.92</v>
      </c>
      <c r="H6" s="6">
        <f t="shared" ref="H6:H22" si="0">E6/G6</f>
        <v>2.7808676307007785E-2</v>
      </c>
      <c r="I6" s="6">
        <f t="shared" ref="I6:I22" si="1">F6/G6</f>
        <v>0.16685205784204671</v>
      </c>
    </row>
    <row r="7" spans="1:9" x14ac:dyDescent="0.25">
      <c r="A7" s="3" t="s">
        <v>103</v>
      </c>
      <c r="B7" s="5">
        <v>50</v>
      </c>
      <c r="D7" s="3" t="s">
        <v>103</v>
      </c>
      <c r="E7" s="5">
        <v>5</v>
      </c>
      <c r="F7" s="5">
        <v>27</v>
      </c>
      <c r="G7" s="5">
        <v>73.5</v>
      </c>
      <c r="H7" s="6">
        <f t="shared" si="0"/>
        <v>6.8027210884353748E-2</v>
      </c>
      <c r="I7" s="6">
        <f t="shared" si="1"/>
        <v>0.36734693877551022</v>
      </c>
    </row>
    <row r="8" spans="1:9" x14ac:dyDescent="0.25">
      <c r="A8" s="3" t="s">
        <v>122</v>
      </c>
      <c r="B8" s="5">
        <v>37</v>
      </c>
      <c r="D8" s="3" t="s">
        <v>122</v>
      </c>
      <c r="E8" s="5">
        <v>14</v>
      </c>
      <c r="F8" s="5">
        <v>30</v>
      </c>
      <c r="G8" s="5">
        <v>63</v>
      </c>
      <c r="H8" s="6">
        <f t="shared" si="0"/>
        <v>0.22222222222222221</v>
      </c>
      <c r="I8" s="6">
        <f t="shared" si="1"/>
        <v>0.47619047619047616</v>
      </c>
    </row>
    <row r="9" spans="1:9" x14ac:dyDescent="0.25">
      <c r="A9" s="3" t="s">
        <v>137</v>
      </c>
      <c r="B9" s="5">
        <v>39</v>
      </c>
      <c r="D9" s="3" t="s">
        <v>137</v>
      </c>
      <c r="E9" s="5">
        <v>14</v>
      </c>
      <c r="F9" s="5">
        <v>39</v>
      </c>
      <c r="G9" s="5">
        <v>69.5</v>
      </c>
      <c r="H9" s="6">
        <f t="shared" si="0"/>
        <v>0.20143884892086331</v>
      </c>
      <c r="I9" s="6">
        <f t="shared" si="1"/>
        <v>0.5611510791366906</v>
      </c>
    </row>
    <row r="10" spans="1:9" x14ac:dyDescent="0.25">
      <c r="A10" s="3" t="s">
        <v>156</v>
      </c>
      <c r="B10" s="5">
        <v>21</v>
      </c>
      <c r="D10" s="3" t="s">
        <v>156</v>
      </c>
      <c r="E10" s="5">
        <v>6</v>
      </c>
      <c r="F10" s="5">
        <v>26</v>
      </c>
      <c r="G10" s="5">
        <v>34</v>
      </c>
      <c r="H10" s="6">
        <f t="shared" si="0"/>
        <v>0.17647058823529413</v>
      </c>
      <c r="I10" s="6">
        <f t="shared" si="1"/>
        <v>0.76470588235294112</v>
      </c>
    </row>
    <row r="11" spans="1:9" x14ac:dyDescent="0.25">
      <c r="A11" s="3" t="s">
        <v>162</v>
      </c>
      <c r="B11" s="5">
        <v>36</v>
      </c>
      <c r="D11" s="3" t="s">
        <v>162</v>
      </c>
      <c r="E11" s="5">
        <v>12</v>
      </c>
      <c r="F11" s="5">
        <v>21</v>
      </c>
      <c r="G11" s="5">
        <v>71</v>
      </c>
      <c r="H11" s="6">
        <f t="shared" si="0"/>
        <v>0.16901408450704225</v>
      </c>
      <c r="I11" s="6">
        <f t="shared" si="1"/>
        <v>0.29577464788732394</v>
      </c>
    </row>
    <row r="12" spans="1:9" x14ac:dyDescent="0.25">
      <c r="A12" s="3" t="s">
        <v>178</v>
      </c>
      <c r="B12" s="5">
        <v>93</v>
      </c>
      <c r="D12" s="3" t="s">
        <v>178</v>
      </c>
      <c r="E12" s="5">
        <v>4</v>
      </c>
      <c r="F12" s="5">
        <v>34</v>
      </c>
      <c r="G12" s="5">
        <v>65</v>
      </c>
      <c r="H12" s="6">
        <f t="shared" si="0"/>
        <v>6.1538461538461542E-2</v>
      </c>
      <c r="I12" s="6">
        <f t="shared" si="1"/>
        <v>0.52307692307692311</v>
      </c>
    </row>
    <row r="13" spans="1:9" x14ac:dyDescent="0.25">
      <c r="A13" s="3" t="s">
        <v>186</v>
      </c>
      <c r="B13" s="5">
        <v>75</v>
      </c>
      <c r="D13" s="3" t="s">
        <v>186</v>
      </c>
      <c r="E13" s="5">
        <v>9</v>
      </c>
      <c r="F13" s="5">
        <v>26</v>
      </c>
      <c r="G13" s="5">
        <v>55.5</v>
      </c>
      <c r="H13" s="6">
        <f t="shared" si="0"/>
        <v>0.16216216216216217</v>
      </c>
      <c r="I13" s="6">
        <f t="shared" si="1"/>
        <v>0.46846846846846846</v>
      </c>
    </row>
    <row r="14" spans="1:9" x14ac:dyDescent="0.25">
      <c r="A14" s="3" t="s">
        <v>188</v>
      </c>
      <c r="B14" s="5">
        <v>37</v>
      </c>
      <c r="D14" s="3" t="s">
        <v>188</v>
      </c>
      <c r="E14" s="5">
        <v>11</v>
      </c>
      <c r="F14" s="5">
        <v>25</v>
      </c>
      <c r="G14" s="5">
        <v>72</v>
      </c>
      <c r="H14" s="6">
        <f t="shared" si="0"/>
        <v>0.15277777777777779</v>
      </c>
      <c r="I14" s="6">
        <f t="shared" si="1"/>
        <v>0.34722222222222221</v>
      </c>
    </row>
    <row r="15" spans="1:9" x14ac:dyDescent="0.25">
      <c r="A15" s="3" t="s">
        <v>189</v>
      </c>
      <c r="B15" s="5">
        <v>90</v>
      </c>
      <c r="D15" s="3" t="s">
        <v>189</v>
      </c>
      <c r="E15" s="5">
        <v>19</v>
      </c>
      <c r="F15" s="5">
        <v>12</v>
      </c>
      <c r="G15" s="5">
        <v>70.5</v>
      </c>
      <c r="H15" s="6">
        <f t="shared" si="0"/>
        <v>0.26950354609929078</v>
      </c>
      <c r="I15" s="6">
        <f t="shared" si="1"/>
        <v>0.1702127659574468</v>
      </c>
    </row>
    <row r="16" spans="1:9" x14ac:dyDescent="0.25">
      <c r="A16" s="3" t="s">
        <v>203</v>
      </c>
      <c r="B16" s="5">
        <v>6</v>
      </c>
      <c r="D16" s="3" t="s">
        <v>204</v>
      </c>
      <c r="E16" s="5">
        <v>15</v>
      </c>
      <c r="F16" s="5">
        <v>30</v>
      </c>
      <c r="G16" s="5">
        <v>62</v>
      </c>
      <c r="H16" s="6">
        <f t="shared" si="0"/>
        <v>0.24193548387096775</v>
      </c>
      <c r="I16" s="6">
        <f t="shared" si="1"/>
        <v>0.4838709677419355</v>
      </c>
    </row>
    <row r="17" spans="1:9" x14ac:dyDescent="0.25">
      <c r="A17" s="3" t="s">
        <v>204</v>
      </c>
      <c r="B17" s="5">
        <v>36</v>
      </c>
      <c r="D17" s="3" t="s">
        <v>205</v>
      </c>
      <c r="E17" s="5">
        <v>10</v>
      </c>
      <c r="F17" s="5">
        <v>8</v>
      </c>
      <c r="G17" s="5">
        <v>72</v>
      </c>
      <c r="H17" s="6">
        <f t="shared" si="0"/>
        <v>0.1388888888888889</v>
      </c>
      <c r="I17" s="6">
        <f t="shared" si="1"/>
        <v>0.1111111111111111</v>
      </c>
    </row>
    <row r="18" spans="1:9" x14ac:dyDescent="0.25">
      <c r="A18" s="3" t="s">
        <v>205</v>
      </c>
      <c r="B18" s="5">
        <v>34</v>
      </c>
      <c r="D18" s="3" t="s">
        <v>207</v>
      </c>
      <c r="E18" s="5">
        <v>18</v>
      </c>
      <c r="F18" s="5">
        <v>25</v>
      </c>
      <c r="G18" s="5">
        <v>61.5</v>
      </c>
      <c r="H18" s="6">
        <f t="shared" si="0"/>
        <v>0.29268292682926828</v>
      </c>
      <c r="I18" s="6">
        <f t="shared" si="1"/>
        <v>0.4065040650406504</v>
      </c>
    </row>
    <row r="19" spans="1:9" x14ac:dyDescent="0.25">
      <c r="A19" s="3" t="s">
        <v>207</v>
      </c>
      <c r="B19" s="5">
        <v>63</v>
      </c>
      <c r="D19" s="3" t="s">
        <v>219</v>
      </c>
      <c r="E19" s="5">
        <v>12</v>
      </c>
      <c r="F19" s="5">
        <v>17</v>
      </c>
      <c r="G19" s="5">
        <v>69</v>
      </c>
      <c r="H19" s="6">
        <f t="shared" si="0"/>
        <v>0.17391304347826086</v>
      </c>
      <c r="I19" s="6">
        <f t="shared" si="1"/>
        <v>0.24637681159420291</v>
      </c>
    </row>
    <row r="20" spans="1:9" x14ac:dyDescent="0.25">
      <c r="A20" s="3" t="s">
        <v>219</v>
      </c>
      <c r="B20" s="5">
        <v>32</v>
      </c>
      <c r="D20" s="3" t="s">
        <v>221</v>
      </c>
      <c r="E20" s="5">
        <v>5</v>
      </c>
      <c r="F20" s="5">
        <v>15</v>
      </c>
      <c r="G20" s="5">
        <v>73.5</v>
      </c>
      <c r="H20" s="6">
        <f t="shared" si="0"/>
        <v>6.8027210884353748E-2</v>
      </c>
      <c r="I20" s="6">
        <f t="shared" si="1"/>
        <v>0.20408163265306123</v>
      </c>
    </row>
    <row r="21" spans="1:9" x14ac:dyDescent="0.25">
      <c r="A21" s="3" t="s">
        <v>221</v>
      </c>
      <c r="B21" s="5">
        <v>19</v>
      </c>
      <c r="D21" s="3" t="s">
        <v>223</v>
      </c>
      <c r="E21" s="5">
        <v>18</v>
      </c>
      <c r="F21" s="5">
        <v>18</v>
      </c>
      <c r="G21" s="5">
        <v>42</v>
      </c>
      <c r="H21" s="6">
        <f t="shared" si="0"/>
        <v>0.42857142857142855</v>
      </c>
      <c r="I21" s="6">
        <f t="shared" si="1"/>
        <v>0.42857142857142855</v>
      </c>
    </row>
    <row r="22" spans="1:9" x14ac:dyDescent="0.25">
      <c r="A22" s="3" t="s">
        <v>223</v>
      </c>
      <c r="B22" s="5">
        <v>47</v>
      </c>
      <c r="D22" s="3" t="s">
        <v>224</v>
      </c>
      <c r="E22" s="5">
        <v>13</v>
      </c>
      <c r="F22" s="5">
        <v>17</v>
      </c>
      <c r="G22" s="5">
        <v>51</v>
      </c>
      <c r="H22" s="6">
        <f t="shared" si="0"/>
        <v>0.25490196078431371</v>
      </c>
      <c r="I22" s="6">
        <f t="shared" si="1"/>
        <v>0.33333333333333331</v>
      </c>
    </row>
    <row r="23" spans="1:9" x14ac:dyDescent="0.25">
      <c r="A23" s="3" t="s">
        <v>224</v>
      </c>
      <c r="B23" s="5">
        <v>46</v>
      </c>
    </row>
    <row r="24" spans="1:9" hidden="1" x14ac:dyDescent="0.25">
      <c r="A24" s="3" t="s">
        <v>235</v>
      </c>
      <c r="B24" s="5"/>
    </row>
    <row r="25" spans="1:9" x14ac:dyDescent="0.25">
      <c r="A25" s="3" t="s">
        <v>228</v>
      </c>
      <c r="B25" s="5">
        <v>886</v>
      </c>
    </row>
    <row r="26" spans="1:9" x14ac:dyDescent="0.25">
      <c r="A26"/>
    </row>
    <row r="27" spans="1:9" x14ac:dyDescent="0.25">
      <c r="A27"/>
    </row>
    <row r="28" spans="1:9" x14ac:dyDescent="0.25">
      <c r="A28"/>
    </row>
    <row r="29" spans="1:9" x14ac:dyDescent="0.25">
      <c r="A29"/>
    </row>
    <row r="30" spans="1:9" x14ac:dyDescent="0.25">
      <c r="A30"/>
    </row>
    <row r="31" spans="1:9" x14ac:dyDescent="0.25">
      <c r="A31"/>
    </row>
    <row r="32" spans="1:9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0ED5-1A7B-4FD0-A055-142D7C2B6959}">
  <sheetPr>
    <tabColor rgb="FF92D050"/>
  </sheetPr>
  <dimension ref="A1:J64"/>
  <sheetViews>
    <sheetView topLeftCell="D1" workbookViewId="0">
      <selection activeCell="P21" sqref="P21"/>
    </sheetView>
  </sheetViews>
  <sheetFormatPr defaultRowHeight="15" x14ac:dyDescent="0.25"/>
  <cols>
    <col min="1" max="1" width="15.42578125" style="3" bestFit="1" customWidth="1"/>
    <col min="2" max="2" width="10.85546875" bestFit="1" customWidth="1"/>
    <col min="3" max="3" width="15.28515625" bestFit="1" customWidth="1"/>
  </cols>
  <sheetData>
    <row r="1" spans="1:10" x14ac:dyDescent="0.25">
      <c r="A1" s="3" t="s">
        <v>9</v>
      </c>
      <c r="B1" s="3" t="s">
        <v>236</v>
      </c>
    </row>
    <row r="3" spans="1:10" x14ac:dyDescent="0.25">
      <c r="A3" s="3" t="s">
        <v>227</v>
      </c>
      <c r="B3" s="3" t="s">
        <v>229</v>
      </c>
      <c r="E3" s="7" t="s">
        <v>230</v>
      </c>
      <c r="F3" s="7" t="s">
        <v>231</v>
      </c>
      <c r="G3" s="7" t="s">
        <v>320</v>
      </c>
      <c r="H3" s="7" t="s">
        <v>234</v>
      </c>
      <c r="I3" s="7" t="s">
        <v>232</v>
      </c>
      <c r="J3" s="7" t="s">
        <v>233</v>
      </c>
    </row>
    <row r="4" spans="1:10" hidden="1" x14ac:dyDescent="0.25">
      <c r="A4" s="3" t="s">
        <v>18</v>
      </c>
      <c r="B4" s="5">
        <v>1</v>
      </c>
    </row>
    <row r="5" spans="1:10" x14ac:dyDescent="0.25">
      <c r="A5" s="3" t="s">
        <v>23</v>
      </c>
      <c r="B5" s="5">
        <v>70</v>
      </c>
      <c r="D5" s="3" t="s">
        <v>23</v>
      </c>
      <c r="E5" s="5">
        <v>16</v>
      </c>
      <c r="F5" s="5">
        <v>7</v>
      </c>
      <c r="G5" s="5">
        <v>23</v>
      </c>
      <c r="H5" s="5">
        <v>62.5</v>
      </c>
      <c r="I5" s="6">
        <f>E5/H5</f>
        <v>0.25600000000000001</v>
      </c>
      <c r="J5" s="6">
        <f>F5/H5</f>
        <v>0.112</v>
      </c>
    </row>
    <row r="6" spans="1:10" x14ac:dyDescent="0.25">
      <c r="A6" s="3" t="s">
        <v>74</v>
      </c>
      <c r="B6" s="5">
        <v>54</v>
      </c>
      <c r="D6" s="3" t="s">
        <v>74</v>
      </c>
      <c r="E6" s="5">
        <v>17</v>
      </c>
      <c r="F6" s="5">
        <v>18</v>
      </c>
      <c r="G6" s="5">
        <v>34</v>
      </c>
      <c r="H6" s="5">
        <v>61.5</v>
      </c>
      <c r="I6" s="6">
        <f t="shared" ref="I6:I22" si="0">E6/H6</f>
        <v>0.27642276422764228</v>
      </c>
      <c r="J6" s="6">
        <f t="shared" ref="J6:J22" si="1">F6/H6</f>
        <v>0.29268292682926828</v>
      </c>
    </row>
    <row r="7" spans="1:10" x14ac:dyDescent="0.25">
      <c r="A7" s="3" t="s">
        <v>103</v>
      </c>
      <c r="B7" s="5">
        <v>50</v>
      </c>
      <c r="D7" s="3" t="s">
        <v>103</v>
      </c>
      <c r="E7" s="5">
        <v>14</v>
      </c>
      <c r="F7" s="5">
        <v>17</v>
      </c>
      <c r="G7" s="5">
        <v>31</v>
      </c>
      <c r="H7" s="5">
        <v>62</v>
      </c>
      <c r="I7" s="6">
        <f t="shared" si="0"/>
        <v>0.22580645161290322</v>
      </c>
      <c r="J7" s="6">
        <f t="shared" si="1"/>
        <v>0.27419354838709675</v>
      </c>
    </row>
    <row r="8" spans="1:10" x14ac:dyDescent="0.25">
      <c r="A8" s="3" t="s">
        <v>122</v>
      </c>
      <c r="B8" s="5">
        <v>37</v>
      </c>
      <c r="D8" s="3" t="s">
        <v>122</v>
      </c>
      <c r="E8" s="5">
        <v>33</v>
      </c>
      <c r="F8" s="5">
        <v>30</v>
      </c>
      <c r="G8" s="5">
        <v>63</v>
      </c>
      <c r="H8" s="5">
        <v>40</v>
      </c>
      <c r="I8" s="6">
        <f t="shared" si="0"/>
        <v>0.82499999999999996</v>
      </c>
      <c r="J8" s="6">
        <f t="shared" si="1"/>
        <v>0.75</v>
      </c>
    </row>
    <row r="9" spans="1:10" x14ac:dyDescent="0.25">
      <c r="A9" s="3" t="s">
        <v>137</v>
      </c>
      <c r="B9" s="5">
        <v>39</v>
      </c>
      <c r="D9" s="3" t="s">
        <v>137</v>
      </c>
      <c r="E9" s="5">
        <v>13</v>
      </c>
      <c r="F9" s="5">
        <v>26</v>
      </c>
      <c r="G9" s="5">
        <v>39</v>
      </c>
      <c r="H9" s="5">
        <v>40.5</v>
      </c>
      <c r="I9" s="6">
        <f t="shared" si="0"/>
        <v>0.32098765432098764</v>
      </c>
      <c r="J9" s="6">
        <f t="shared" si="1"/>
        <v>0.64197530864197527</v>
      </c>
    </row>
    <row r="10" spans="1:10" x14ac:dyDescent="0.25">
      <c r="A10" s="3" t="s">
        <v>156</v>
      </c>
      <c r="B10" s="5">
        <v>21</v>
      </c>
      <c r="D10" s="3" t="s">
        <v>156</v>
      </c>
      <c r="E10" s="5">
        <v>15</v>
      </c>
      <c r="F10" s="5">
        <v>36</v>
      </c>
      <c r="G10" s="5">
        <v>51</v>
      </c>
      <c r="H10" s="5">
        <v>51</v>
      </c>
      <c r="I10" s="6">
        <f t="shared" si="0"/>
        <v>0.29411764705882354</v>
      </c>
      <c r="J10" s="6">
        <f t="shared" si="1"/>
        <v>0.70588235294117652</v>
      </c>
    </row>
    <row r="11" spans="1:10" x14ac:dyDescent="0.25">
      <c r="A11" s="3" t="s">
        <v>162</v>
      </c>
      <c r="B11" s="5">
        <v>36</v>
      </c>
      <c r="D11" s="3" t="s">
        <v>162</v>
      </c>
      <c r="E11" s="5">
        <v>11</v>
      </c>
      <c r="F11" s="5">
        <v>25</v>
      </c>
      <c r="G11" s="5">
        <v>36</v>
      </c>
      <c r="H11" s="5">
        <v>60</v>
      </c>
      <c r="I11" s="6">
        <f t="shared" si="0"/>
        <v>0.18333333333333332</v>
      </c>
      <c r="J11" s="6">
        <f t="shared" si="1"/>
        <v>0.41666666666666669</v>
      </c>
    </row>
    <row r="12" spans="1:10" x14ac:dyDescent="0.25">
      <c r="A12" s="3" t="s">
        <v>178</v>
      </c>
      <c r="B12" s="5">
        <v>93</v>
      </c>
      <c r="D12" s="3" t="s">
        <v>178</v>
      </c>
      <c r="E12" s="5">
        <v>23</v>
      </c>
      <c r="F12" s="5">
        <v>28</v>
      </c>
      <c r="G12" s="5">
        <v>51</v>
      </c>
      <c r="H12" s="5">
        <v>63</v>
      </c>
      <c r="I12" s="6">
        <f t="shared" si="0"/>
        <v>0.36507936507936506</v>
      </c>
      <c r="J12" s="6">
        <f t="shared" si="1"/>
        <v>0.44444444444444442</v>
      </c>
    </row>
    <row r="13" spans="1:10" x14ac:dyDescent="0.25">
      <c r="A13" s="3" t="s">
        <v>186</v>
      </c>
      <c r="B13" s="5">
        <v>75</v>
      </c>
      <c r="D13" s="3" t="s">
        <v>186</v>
      </c>
      <c r="E13" s="5">
        <v>17</v>
      </c>
      <c r="F13" s="5">
        <v>7</v>
      </c>
      <c r="G13" s="5">
        <v>24</v>
      </c>
      <c r="H13" s="5">
        <v>36.5</v>
      </c>
      <c r="I13" s="6">
        <f t="shared" si="0"/>
        <v>0.46575342465753422</v>
      </c>
      <c r="J13" s="6">
        <f t="shared" si="1"/>
        <v>0.19178082191780821</v>
      </c>
    </row>
    <row r="14" spans="1:10" x14ac:dyDescent="0.25">
      <c r="A14" s="3" t="s">
        <v>188</v>
      </c>
      <c r="B14" s="5">
        <v>37</v>
      </c>
      <c r="D14" s="3" t="s">
        <v>188</v>
      </c>
      <c r="E14" s="5">
        <v>23</v>
      </c>
      <c r="F14" s="5">
        <v>38</v>
      </c>
      <c r="G14" s="5">
        <v>62</v>
      </c>
      <c r="H14" s="5">
        <v>51</v>
      </c>
      <c r="I14" s="6">
        <f t="shared" si="0"/>
        <v>0.45098039215686275</v>
      </c>
      <c r="J14" s="6">
        <f t="shared" si="1"/>
        <v>0.74509803921568629</v>
      </c>
    </row>
    <row r="15" spans="1:10" x14ac:dyDescent="0.25">
      <c r="A15" s="3" t="s">
        <v>189</v>
      </c>
      <c r="B15" s="5">
        <v>90</v>
      </c>
      <c r="D15" s="3" t="s">
        <v>189</v>
      </c>
      <c r="E15" s="5">
        <v>10</v>
      </c>
      <c r="F15" s="5">
        <v>26</v>
      </c>
      <c r="G15" s="5">
        <v>36</v>
      </c>
      <c r="H15" s="5">
        <v>59.5</v>
      </c>
      <c r="I15" s="6">
        <f t="shared" si="0"/>
        <v>0.16806722689075632</v>
      </c>
      <c r="J15" s="6">
        <f t="shared" si="1"/>
        <v>0.43697478991596639</v>
      </c>
    </row>
    <row r="16" spans="1:10" x14ac:dyDescent="0.25">
      <c r="A16" s="3" t="s">
        <v>203</v>
      </c>
      <c r="B16" s="5">
        <v>6</v>
      </c>
      <c r="D16" s="3" t="s">
        <v>204</v>
      </c>
      <c r="E16" s="5">
        <v>35</v>
      </c>
      <c r="F16" s="5">
        <v>45</v>
      </c>
      <c r="G16" s="5">
        <v>70</v>
      </c>
      <c r="H16" s="5">
        <v>63.5</v>
      </c>
      <c r="I16" s="6">
        <f t="shared" si="0"/>
        <v>0.55118110236220474</v>
      </c>
      <c r="J16" s="6">
        <f t="shared" si="1"/>
        <v>0.70866141732283461</v>
      </c>
    </row>
    <row r="17" spans="1:10" x14ac:dyDescent="0.25">
      <c r="A17" s="3" t="s">
        <v>204</v>
      </c>
      <c r="B17" s="5">
        <v>36</v>
      </c>
      <c r="D17" s="3" t="s">
        <v>205</v>
      </c>
      <c r="E17" s="5">
        <v>14</v>
      </c>
      <c r="F17" s="5">
        <v>21</v>
      </c>
      <c r="G17" s="5">
        <v>39</v>
      </c>
      <c r="H17" s="5">
        <v>49</v>
      </c>
      <c r="I17" s="6">
        <f t="shared" si="0"/>
        <v>0.2857142857142857</v>
      </c>
      <c r="J17" s="6">
        <f t="shared" si="1"/>
        <v>0.42857142857142855</v>
      </c>
    </row>
    <row r="18" spans="1:10" x14ac:dyDescent="0.25">
      <c r="A18" s="3" t="s">
        <v>205</v>
      </c>
      <c r="B18" s="5">
        <v>34</v>
      </c>
      <c r="D18" s="3" t="s">
        <v>207</v>
      </c>
      <c r="E18" s="5">
        <v>17</v>
      </c>
      <c r="F18" s="5">
        <v>33</v>
      </c>
      <c r="G18" s="5">
        <v>46</v>
      </c>
      <c r="H18" s="5">
        <v>60</v>
      </c>
      <c r="I18" s="6">
        <f t="shared" si="0"/>
        <v>0.28333333333333333</v>
      </c>
      <c r="J18" s="6">
        <f t="shared" si="1"/>
        <v>0.55000000000000004</v>
      </c>
    </row>
    <row r="19" spans="1:10" x14ac:dyDescent="0.25">
      <c r="A19" s="3" t="s">
        <v>207</v>
      </c>
      <c r="B19" s="5">
        <v>63</v>
      </c>
      <c r="D19" s="3" t="s">
        <v>219</v>
      </c>
      <c r="E19" s="5">
        <v>13</v>
      </c>
      <c r="F19" s="5">
        <v>32</v>
      </c>
      <c r="G19" s="5">
        <v>37</v>
      </c>
      <c r="H19" s="5">
        <v>52.5</v>
      </c>
      <c r="I19" s="6">
        <f t="shared" si="0"/>
        <v>0.24761904761904763</v>
      </c>
      <c r="J19" s="6">
        <f t="shared" si="1"/>
        <v>0.60952380952380958</v>
      </c>
    </row>
    <row r="20" spans="1:10" x14ac:dyDescent="0.25">
      <c r="A20" s="3" t="s">
        <v>219</v>
      </c>
      <c r="B20" s="5">
        <v>32</v>
      </c>
      <c r="D20" s="3" t="s">
        <v>221</v>
      </c>
      <c r="E20" s="5">
        <v>15</v>
      </c>
      <c r="F20" s="5">
        <v>13</v>
      </c>
      <c r="G20" s="5">
        <v>30</v>
      </c>
      <c r="H20" s="5">
        <v>60.5</v>
      </c>
      <c r="I20" s="6">
        <f t="shared" si="0"/>
        <v>0.24793388429752067</v>
      </c>
      <c r="J20" s="6">
        <f t="shared" si="1"/>
        <v>0.21487603305785125</v>
      </c>
    </row>
    <row r="21" spans="1:10" x14ac:dyDescent="0.25">
      <c r="A21" s="3" t="s">
        <v>221</v>
      </c>
      <c r="B21" s="5">
        <v>19</v>
      </c>
      <c r="D21" s="3" t="s">
        <v>223</v>
      </c>
      <c r="E21" s="5">
        <v>13</v>
      </c>
      <c r="F21" s="5">
        <v>20</v>
      </c>
      <c r="G21" s="5">
        <v>32</v>
      </c>
      <c r="H21" s="5">
        <v>42</v>
      </c>
      <c r="I21" s="6">
        <f t="shared" si="0"/>
        <v>0.30952380952380953</v>
      </c>
      <c r="J21" s="6">
        <f t="shared" si="1"/>
        <v>0.47619047619047616</v>
      </c>
    </row>
    <row r="22" spans="1:10" x14ac:dyDescent="0.25">
      <c r="A22" s="3" t="s">
        <v>223</v>
      </c>
      <c r="B22" s="5">
        <v>47</v>
      </c>
      <c r="D22" s="3" t="s">
        <v>224</v>
      </c>
      <c r="E22" s="5">
        <v>11</v>
      </c>
      <c r="F22" s="5">
        <v>29</v>
      </c>
      <c r="G22" s="5">
        <v>36</v>
      </c>
      <c r="H22" s="5">
        <v>58.5</v>
      </c>
      <c r="I22" s="6">
        <f t="shared" si="0"/>
        <v>0.18803418803418803</v>
      </c>
      <c r="J22" s="6">
        <f t="shared" si="1"/>
        <v>0.49572649572649574</v>
      </c>
    </row>
    <row r="23" spans="1:10" x14ac:dyDescent="0.25">
      <c r="A23" s="3" t="s">
        <v>224</v>
      </c>
      <c r="B23" s="5">
        <v>46</v>
      </c>
    </row>
    <row r="24" spans="1:10" hidden="1" x14ac:dyDescent="0.25">
      <c r="A24" s="3" t="s">
        <v>235</v>
      </c>
      <c r="B24" s="5"/>
    </row>
    <row r="25" spans="1:10" x14ac:dyDescent="0.25">
      <c r="A25" s="3" t="s">
        <v>228</v>
      </c>
      <c r="B25" s="5">
        <v>886</v>
      </c>
    </row>
    <row r="26" spans="1:10" x14ac:dyDescent="0.25">
      <c r="A26"/>
    </row>
    <row r="27" spans="1:10" x14ac:dyDescent="0.25">
      <c r="A27"/>
    </row>
    <row r="28" spans="1:10" x14ac:dyDescent="0.25">
      <c r="A28"/>
    </row>
    <row r="29" spans="1:10" x14ac:dyDescent="0.25">
      <c r="A29"/>
    </row>
    <row r="30" spans="1:10" x14ac:dyDescent="0.25">
      <c r="A30"/>
    </row>
    <row r="31" spans="1:10" x14ac:dyDescent="0.25">
      <c r="A31"/>
    </row>
    <row r="32" spans="1:10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475F-71B3-4703-8D39-87091D7CD9B2}">
  <sheetPr>
    <tabColor rgb="FF92D050"/>
  </sheetPr>
  <dimension ref="A1:M64"/>
  <sheetViews>
    <sheetView topLeftCell="D1" workbookViewId="0">
      <selection activeCell="I5" sqref="I5:I22"/>
    </sheetView>
  </sheetViews>
  <sheetFormatPr defaultRowHeight="15" x14ac:dyDescent="0.25"/>
  <cols>
    <col min="1" max="1" width="15.42578125" style="3" hidden="1" customWidth="1"/>
    <col min="2" max="2" width="10.85546875" hidden="1" customWidth="1"/>
    <col min="3" max="3" width="15.28515625" hidden="1" customWidth="1"/>
  </cols>
  <sheetData>
    <row r="1" spans="1:13" x14ac:dyDescent="0.25">
      <c r="A1" s="3" t="s">
        <v>9</v>
      </c>
      <c r="B1" s="3" t="s">
        <v>236</v>
      </c>
    </row>
    <row r="3" spans="1:13" x14ac:dyDescent="0.25">
      <c r="A3" s="3" t="s">
        <v>227</v>
      </c>
      <c r="B3" s="3" t="s">
        <v>229</v>
      </c>
      <c r="E3" s="7" t="s">
        <v>230</v>
      </c>
      <c r="F3" s="7" t="s">
        <v>231</v>
      </c>
      <c r="G3" s="7" t="s">
        <v>314</v>
      </c>
      <c r="H3" s="7" t="s">
        <v>320</v>
      </c>
      <c r="I3" s="7" t="s">
        <v>234</v>
      </c>
      <c r="J3" s="7" t="s">
        <v>315</v>
      </c>
      <c r="K3" s="7" t="s">
        <v>232</v>
      </c>
      <c r="L3" s="7" t="s">
        <v>233</v>
      </c>
      <c r="M3" s="7" t="s">
        <v>311</v>
      </c>
    </row>
    <row r="4" spans="1:13" hidden="1" x14ac:dyDescent="0.25">
      <c r="A4" s="3" t="s">
        <v>18</v>
      </c>
      <c r="B4" s="5">
        <v>1</v>
      </c>
    </row>
    <row r="5" spans="1:13" x14ac:dyDescent="0.25">
      <c r="A5" s="3" t="s">
        <v>23</v>
      </c>
      <c r="B5" s="5">
        <v>70</v>
      </c>
      <c r="D5" s="3" t="s">
        <v>23</v>
      </c>
      <c r="E5" s="16">
        <v>31</v>
      </c>
      <c r="F5" s="5">
        <f>1+15.33</f>
        <v>16.329999999999998</v>
      </c>
      <c r="G5" s="5">
        <v>0</v>
      </c>
      <c r="H5" s="5">
        <v>57</v>
      </c>
      <c r="I5" s="5">
        <v>64.97999999999999</v>
      </c>
      <c r="J5" s="5">
        <f>G5/I5</f>
        <v>0</v>
      </c>
      <c r="K5" s="6">
        <f t="shared" ref="K5:K22" si="0">E5/I5</f>
        <v>0.47706986765158516</v>
      </c>
      <c r="L5" s="6">
        <f t="shared" ref="L5:L22" si="1">F5/I5</f>
        <v>0.2513080947983995</v>
      </c>
      <c r="M5" s="18">
        <f>J5+K5+L5</f>
        <v>0.72837796244998465</v>
      </c>
    </row>
    <row r="6" spans="1:13" x14ac:dyDescent="0.25">
      <c r="A6" s="3" t="s">
        <v>74</v>
      </c>
      <c r="B6" s="5">
        <v>54</v>
      </c>
      <c r="D6" s="3" t="s">
        <v>74</v>
      </c>
      <c r="E6" s="16">
        <v>22</v>
      </c>
      <c r="F6" s="5">
        <f>2.27+6.83</f>
        <v>9.1</v>
      </c>
      <c r="G6" s="5">
        <v>0</v>
      </c>
      <c r="H6" s="5">
        <v>46</v>
      </c>
      <c r="I6" s="5">
        <v>48</v>
      </c>
      <c r="J6" s="5">
        <f t="shared" ref="J6:J22" si="2">G6/I6</f>
        <v>0</v>
      </c>
      <c r="K6" s="6">
        <f t="shared" si="0"/>
        <v>0.45833333333333331</v>
      </c>
      <c r="L6" s="6">
        <f t="shared" si="1"/>
        <v>0.18958333333333333</v>
      </c>
      <c r="M6" s="18">
        <f t="shared" ref="M6:M22" si="3">J6+K6+L6</f>
        <v>0.6479166666666667</v>
      </c>
    </row>
    <row r="7" spans="1:13" x14ac:dyDescent="0.25">
      <c r="A7" s="3" t="s">
        <v>103</v>
      </c>
      <c r="B7" s="5">
        <v>50</v>
      </c>
      <c r="D7" s="3" t="s">
        <v>103</v>
      </c>
      <c r="E7" s="16">
        <v>19</v>
      </c>
      <c r="F7" s="5">
        <f>35.25</f>
        <v>35.25</v>
      </c>
      <c r="G7" s="5">
        <v>0</v>
      </c>
      <c r="H7" s="5">
        <v>70</v>
      </c>
      <c r="I7" s="5">
        <v>57.5</v>
      </c>
      <c r="J7" s="5">
        <f t="shared" si="2"/>
        <v>0</v>
      </c>
      <c r="K7" s="6">
        <f t="shared" si="0"/>
        <v>0.33043478260869563</v>
      </c>
      <c r="L7" s="6">
        <f t="shared" si="1"/>
        <v>0.61304347826086958</v>
      </c>
      <c r="M7" s="18">
        <f t="shared" si="3"/>
        <v>0.94347826086956521</v>
      </c>
    </row>
    <row r="8" spans="1:13" x14ac:dyDescent="0.25">
      <c r="A8" s="3" t="s">
        <v>122</v>
      </c>
      <c r="B8" s="5">
        <v>37</v>
      </c>
      <c r="D8" s="3" t="s">
        <v>122</v>
      </c>
      <c r="E8" s="16">
        <v>29</v>
      </c>
      <c r="F8" s="5">
        <f>0.84+19.9</f>
        <v>20.74</v>
      </c>
      <c r="G8" s="5">
        <v>0</v>
      </c>
      <c r="H8" s="5">
        <v>64</v>
      </c>
      <c r="I8" s="5">
        <v>63.5</v>
      </c>
      <c r="J8" s="5">
        <f t="shared" si="2"/>
        <v>0</v>
      </c>
      <c r="K8" s="6">
        <f t="shared" si="0"/>
        <v>0.45669291338582679</v>
      </c>
      <c r="L8" s="6">
        <f t="shared" si="1"/>
        <v>0.3266141732283464</v>
      </c>
      <c r="M8" s="18">
        <f t="shared" si="3"/>
        <v>0.78330708661417314</v>
      </c>
    </row>
    <row r="9" spans="1:13" x14ac:dyDescent="0.25">
      <c r="A9" s="3" t="s">
        <v>137</v>
      </c>
      <c r="B9" s="5">
        <v>39</v>
      </c>
      <c r="D9" s="3" t="s">
        <v>137</v>
      </c>
      <c r="E9" s="16">
        <v>6</v>
      </c>
      <c r="F9" s="5">
        <f>0.42+43.98</f>
        <v>44.4</v>
      </c>
      <c r="G9" s="5">
        <v>2</v>
      </c>
      <c r="H9" s="5">
        <v>36</v>
      </c>
      <c r="I9" s="5">
        <v>61.5</v>
      </c>
      <c r="J9" s="5">
        <f t="shared" si="2"/>
        <v>3.2520325203252036E-2</v>
      </c>
      <c r="K9" s="6">
        <f t="shared" si="0"/>
        <v>9.7560975609756101E-2</v>
      </c>
      <c r="L9" s="6">
        <f t="shared" si="1"/>
        <v>0.7219512195121951</v>
      </c>
      <c r="M9" s="18">
        <f t="shared" si="3"/>
        <v>0.85203252032520327</v>
      </c>
    </row>
    <row r="10" spans="1:13" x14ac:dyDescent="0.25">
      <c r="A10" s="3" t="s">
        <v>156</v>
      </c>
      <c r="B10" s="5">
        <v>21</v>
      </c>
      <c r="D10" s="3" t="s">
        <v>156</v>
      </c>
      <c r="E10" s="16">
        <v>11</v>
      </c>
      <c r="F10" s="5">
        <v>35</v>
      </c>
      <c r="G10" s="5">
        <v>0</v>
      </c>
      <c r="H10" s="5">
        <v>47</v>
      </c>
      <c r="I10" s="5">
        <v>63</v>
      </c>
      <c r="J10" s="5">
        <f t="shared" si="2"/>
        <v>0</v>
      </c>
      <c r="K10" s="6">
        <f t="shared" si="0"/>
        <v>0.17460317460317459</v>
      </c>
      <c r="L10" s="6">
        <f t="shared" si="1"/>
        <v>0.55555555555555558</v>
      </c>
      <c r="M10" s="18">
        <f t="shared" si="3"/>
        <v>0.73015873015873023</v>
      </c>
    </row>
    <row r="11" spans="1:13" x14ac:dyDescent="0.25">
      <c r="A11" s="3" t="s">
        <v>162</v>
      </c>
      <c r="B11" s="5">
        <v>36</v>
      </c>
      <c r="D11" s="48" t="s">
        <v>162</v>
      </c>
      <c r="E11" s="49">
        <v>9</v>
      </c>
      <c r="F11" s="50">
        <v>30</v>
      </c>
      <c r="G11" s="50">
        <v>0</v>
      </c>
      <c r="H11" s="50">
        <v>45</v>
      </c>
      <c r="I11" s="50">
        <v>30</v>
      </c>
      <c r="J11" s="50">
        <f t="shared" si="2"/>
        <v>0</v>
      </c>
      <c r="K11" s="51">
        <f t="shared" si="0"/>
        <v>0.3</v>
      </c>
      <c r="L11" s="51">
        <f t="shared" si="1"/>
        <v>1</v>
      </c>
      <c r="M11" s="52">
        <f t="shared" si="3"/>
        <v>1.3</v>
      </c>
    </row>
    <row r="12" spans="1:13" x14ac:dyDescent="0.25">
      <c r="A12" s="3" t="s">
        <v>178</v>
      </c>
      <c r="B12" s="5">
        <v>93</v>
      </c>
      <c r="D12" s="3" t="s">
        <v>178</v>
      </c>
      <c r="E12" s="16">
        <v>12</v>
      </c>
      <c r="F12" s="5">
        <f>1.52+26.8</f>
        <v>28.32</v>
      </c>
      <c r="G12" s="5">
        <v>0</v>
      </c>
      <c r="H12" s="5">
        <v>56</v>
      </c>
      <c r="I12" s="5">
        <v>62</v>
      </c>
      <c r="J12" s="5">
        <f t="shared" si="2"/>
        <v>0</v>
      </c>
      <c r="K12" s="6">
        <f t="shared" si="0"/>
        <v>0.19354838709677419</v>
      </c>
      <c r="L12" s="6">
        <f t="shared" si="1"/>
        <v>0.45677419354838711</v>
      </c>
      <c r="M12" s="18">
        <f t="shared" si="3"/>
        <v>0.65032258064516135</v>
      </c>
    </row>
    <row r="13" spans="1:13" x14ac:dyDescent="0.25">
      <c r="A13" s="3" t="s">
        <v>186</v>
      </c>
      <c r="B13" s="5">
        <v>75</v>
      </c>
      <c r="D13" s="3" t="s">
        <v>186</v>
      </c>
      <c r="E13" s="16">
        <v>33</v>
      </c>
      <c r="F13" s="5">
        <f>0.67+14.33</f>
        <v>15</v>
      </c>
      <c r="G13" s="5">
        <v>0</v>
      </c>
      <c r="H13" s="5">
        <v>59</v>
      </c>
      <c r="I13" s="5">
        <v>62</v>
      </c>
      <c r="J13" s="5">
        <f t="shared" si="2"/>
        <v>0</v>
      </c>
      <c r="K13" s="6">
        <f t="shared" si="0"/>
        <v>0.532258064516129</v>
      </c>
      <c r="L13" s="6">
        <f t="shared" si="1"/>
        <v>0.24193548387096775</v>
      </c>
      <c r="M13" s="18">
        <f t="shared" si="3"/>
        <v>0.77419354838709675</v>
      </c>
    </row>
    <row r="14" spans="1:13" x14ac:dyDescent="0.25">
      <c r="A14" s="3" t="s">
        <v>188</v>
      </c>
      <c r="B14" s="5">
        <v>37</v>
      </c>
      <c r="D14" s="3" t="s">
        <v>188</v>
      </c>
      <c r="E14" s="16">
        <v>22</v>
      </c>
      <c r="F14" s="5">
        <f>0.42+14.5</f>
        <v>14.92</v>
      </c>
      <c r="G14" s="5">
        <v>0</v>
      </c>
      <c r="H14" s="5">
        <v>23</v>
      </c>
      <c r="I14" s="5">
        <v>60</v>
      </c>
      <c r="J14" s="5">
        <f t="shared" si="2"/>
        <v>0</v>
      </c>
      <c r="K14" s="6">
        <f t="shared" si="0"/>
        <v>0.36666666666666664</v>
      </c>
      <c r="L14" s="6">
        <f t="shared" si="1"/>
        <v>0.24866666666666667</v>
      </c>
      <c r="M14" s="18">
        <f t="shared" si="3"/>
        <v>0.61533333333333329</v>
      </c>
    </row>
    <row r="15" spans="1:13" x14ac:dyDescent="0.25">
      <c r="A15" s="3" t="s">
        <v>189</v>
      </c>
      <c r="B15" s="5">
        <v>90</v>
      </c>
      <c r="D15" s="3" t="s">
        <v>189</v>
      </c>
      <c r="E15" s="16">
        <v>23</v>
      </c>
      <c r="F15" s="5">
        <f>1.5+22.03</f>
        <v>23.53</v>
      </c>
      <c r="G15" s="5">
        <v>0</v>
      </c>
      <c r="H15" s="5">
        <v>63</v>
      </c>
      <c r="I15" s="5">
        <v>60.5</v>
      </c>
      <c r="J15" s="5">
        <f t="shared" si="2"/>
        <v>0</v>
      </c>
      <c r="K15" s="6">
        <f t="shared" si="0"/>
        <v>0.38016528925619836</v>
      </c>
      <c r="L15" s="6">
        <f t="shared" si="1"/>
        <v>0.38892561983471075</v>
      </c>
      <c r="M15" s="18">
        <f t="shared" si="3"/>
        <v>0.76909090909090905</v>
      </c>
    </row>
    <row r="16" spans="1:13" x14ac:dyDescent="0.25">
      <c r="A16" s="3" t="s">
        <v>203</v>
      </c>
      <c r="B16" s="5">
        <v>6</v>
      </c>
      <c r="D16" s="3" t="s">
        <v>204</v>
      </c>
      <c r="E16" s="16">
        <v>13</v>
      </c>
      <c r="F16" s="5">
        <f>1.52+17.4</f>
        <v>18.919999999999998</v>
      </c>
      <c r="G16" s="5">
        <v>1</v>
      </c>
      <c r="H16" s="5">
        <v>35</v>
      </c>
      <c r="I16" s="5">
        <v>63</v>
      </c>
      <c r="J16" s="5">
        <f t="shared" si="2"/>
        <v>1.5873015873015872E-2</v>
      </c>
      <c r="K16" s="6">
        <f t="shared" si="0"/>
        <v>0.20634920634920634</v>
      </c>
      <c r="L16" s="6">
        <f t="shared" si="1"/>
        <v>0.30031746031746026</v>
      </c>
      <c r="M16" s="18">
        <f t="shared" si="3"/>
        <v>0.52253968253968242</v>
      </c>
    </row>
    <row r="17" spans="1:13" x14ac:dyDescent="0.25">
      <c r="A17" s="3" t="s">
        <v>204</v>
      </c>
      <c r="B17" s="5">
        <v>36</v>
      </c>
      <c r="D17" s="48" t="s">
        <v>205</v>
      </c>
      <c r="E17" s="49">
        <v>9</v>
      </c>
      <c r="F17" s="50">
        <v>62</v>
      </c>
      <c r="G17" s="50">
        <v>0</v>
      </c>
      <c r="H17" s="50">
        <v>41</v>
      </c>
      <c r="I17" s="50">
        <v>52.5</v>
      </c>
      <c r="J17" s="50">
        <f t="shared" si="2"/>
        <v>0</v>
      </c>
      <c r="K17" s="51">
        <f t="shared" si="0"/>
        <v>0.17142857142857143</v>
      </c>
      <c r="L17" s="51">
        <f t="shared" si="1"/>
        <v>1.180952380952381</v>
      </c>
      <c r="M17" s="52">
        <f t="shared" si="3"/>
        <v>1.3523809523809525</v>
      </c>
    </row>
    <row r="18" spans="1:13" x14ac:dyDescent="0.25">
      <c r="A18" s="3" t="s">
        <v>205</v>
      </c>
      <c r="B18" s="5">
        <v>34</v>
      </c>
      <c r="D18" s="3" t="s">
        <v>207</v>
      </c>
      <c r="E18" s="16">
        <v>25</v>
      </c>
      <c r="F18" s="5">
        <f>1.94+17.45</f>
        <v>19.39</v>
      </c>
      <c r="G18" s="5">
        <v>0</v>
      </c>
      <c r="H18" s="5">
        <v>43</v>
      </c>
      <c r="I18" s="5">
        <v>70.5</v>
      </c>
      <c r="J18" s="5">
        <f t="shared" si="2"/>
        <v>0</v>
      </c>
      <c r="K18" s="6">
        <f t="shared" si="0"/>
        <v>0.3546099290780142</v>
      </c>
      <c r="L18" s="6">
        <f t="shared" si="1"/>
        <v>0.27503546099290782</v>
      </c>
      <c r="M18" s="18">
        <f t="shared" si="3"/>
        <v>0.62964539007092202</v>
      </c>
    </row>
    <row r="19" spans="1:13" x14ac:dyDescent="0.25">
      <c r="A19" s="3" t="s">
        <v>207</v>
      </c>
      <c r="B19" s="5">
        <v>63</v>
      </c>
      <c r="D19" s="3" t="s">
        <v>219</v>
      </c>
      <c r="E19" s="16">
        <v>9</v>
      </c>
      <c r="F19" s="5">
        <v>42</v>
      </c>
      <c r="G19" s="5">
        <v>0</v>
      </c>
      <c r="H19" s="5">
        <v>37</v>
      </c>
      <c r="I19" s="5">
        <v>63</v>
      </c>
      <c r="J19" s="5">
        <f t="shared" si="2"/>
        <v>0</v>
      </c>
      <c r="K19" s="6">
        <f t="shared" si="0"/>
        <v>0.14285714285714285</v>
      </c>
      <c r="L19" s="6">
        <f t="shared" si="1"/>
        <v>0.66666666666666663</v>
      </c>
      <c r="M19" s="18">
        <f t="shared" si="3"/>
        <v>0.80952380952380953</v>
      </c>
    </row>
    <row r="20" spans="1:13" x14ac:dyDescent="0.25">
      <c r="A20" s="3" t="s">
        <v>219</v>
      </c>
      <c r="B20" s="5">
        <v>32</v>
      </c>
      <c r="D20" s="3" t="s">
        <v>221</v>
      </c>
      <c r="E20" s="16">
        <v>5</v>
      </c>
      <c r="F20" s="5">
        <f>1.58+26.83</f>
        <v>28.409999999999997</v>
      </c>
      <c r="G20" s="5">
        <v>0</v>
      </c>
      <c r="H20" s="5">
        <v>31</v>
      </c>
      <c r="I20" s="5">
        <v>50</v>
      </c>
      <c r="J20" s="5">
        <f t="shared" si="2"/>
        <v>0</v>
      </c>
      <c r="K20" s="6">
        <f t="shared" si="0"/>
        <v>0.1</v>
      </c>
      <c r="L20" s="6">
        <f t="shared" si="1"/>
        <v>0.56819999999999993</v>
      </c>
      <c r="M20" s="18">
        <f t="shared" si="3"/>
        <v>0.66819999999999991</v>
      </c>
    </row>
    <row r="21" spans="1:13" x14ac:dyDescent="0.25">
      <c r="A21" s="3" t="s">
        <v>221</v>
      </c>
      <c r="B21" s="5">
        <v>19</v>
      </c>
      <c r="D21" s="3" t="s">
        <v>223</v>
      </c>
      <c r="E21" s="16">
        <v>6</v>
      </c>
      <c r="F21" s="5">
        <v>25</v>
      </c>
      <c r="G21" s="5">
        <v>2</v>
      </c>
      <c r="H21" s="5">
        <v>17</v>
      </c>
      <c r="I21" s="5">
        <v>51</v>
      </c>
      <c r="J21" s="5">
        <f t="shared" si="2"/>
        <v>3.9215686274509803E-2</v>
      </c>
      <c r="K21" s="6">
        <f t="shared" si="0"/>
        <v>0.11764705882352941</v>
      </c>
      <c r="L21" s="6">
        <f t="shared" si="1"/>
        <v>0.49019607843137253</v>
      </c>
      <c r="M21" s="18">
        <f t="shared" si="3"/>
        <v>0.64705882352941169</v>
      </c>
    </row>
    <row r="22" spans="1:13" x14ac:dyDescent="0.25">
      <c r="A22" s="3" t="s">
        <v>223</v>
      </c>
      <c r="B22" s="5">
        <v>47</v>
      </c>
      <c r="D22" s="3" t="s">
        <v>224</v>
      </c>
      <c r="E22" s="16">
        <v>19</v>
      </c>
      <c r="F22" s="5">
        <f>1.94+14.7</f>
        <v>16.64</v>
      </c>
      <c r="G22" s="5">
        <v>0</v>
      </c>
      <c r="H22" s="5">
        <v>41</v>
      </c>
      <c r="I22" s="5">
        <v>52.5</v>
      </c>
      <c r="J22" s="5">
        <f t="shared" si="2"/>
        <v>0</v>
      </c>
      <c r="K22" s="6">
        <f t="shared" si="0"/>
        <v>0.3619047619047619</v>
      </c>
      <c r="L22" s="6">
        <f t="shared" si="1"/>
        <v>0.31695238095238099</v>
      </c>
      <c r="M22" s="18">
        <f t="shared" si="3"/>
        <v>0.67885714285714283</v>
      </c>
    </row>
    <row r="23" spans="1:13" x14ac:dyDescent="0.25">
      <c r="A23" s="3" t="s">
        <v>224</v>
      </c>
      <c r="B23" s="5">
        <v>46</v>
      </c>
      <c r="E23" s="47"/>
    </row>
    <row r="24" spans="1:13" hidden="1" x14ac:dyDescent="0.25">
      <c r="A24" s="3" t="s">
        <v>235</v>
      </c>
      <c r="B24" s="5"/>
      <c r="E24" s="47"/>
    </row>
    <row r="25" spans="1:13" x14ac:dyDescent="0.25">
      <c r="A25" s="3" t="s">
        <v>228</v>
      </c>
      <c r="B25" s="5">
        <v>886</v>
      </c>
    </row>
    <row r="26" spans="1:13" x14ac:dyDescent="0.25">
      <c r="A26"/>
    </row>
    <row r="27" spans="1:13" x14ac:dyDescent="0.25">
      <c r="A27"/>
    </row>
    <row r="28" spans="1:13" x14ac:dyDescent="0.25">
      <c r="A28"/>
    </row>
    <row r="29" spans="1:13" x14ac:dyDescent="0.25">
      <c r="A29"/>
    </row>
    <row r="30" spans="1:13" x14ac:dyDescent="0.25">
      <c r="A30"/>
    </row>
    <row r="31" spans="1:13" x14ac:dyDescent="0.25">
      <c r="A31"/>
    </row>
    <row r="32" spans="1:13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73E7-A3BE-4C70-9D53-3D2BB3FC56C1}">
  <sheetPr>
    <tabColor rgb="FF7030A0"/>
  </sheetPr>
  <dimension ref="A1:M181"/>
  <sheetViews>
    <sheetView topLeftCell="A157" workbookViewId="0">
      <selection activeCell="G163" sqref="G163:J164"/>
    </sheetView>
  </sheetViews>
  <sheetFormatPr defaultRowHeight="15" x14ac:dyDescent="0.25"/>
  <cols>
    <col min="1" max="1" width="15.7109375" style="10" customWidth="1"/>
    <col min="2" max="2" width="29" customWidth="1"/>
    <col min="3" max="3" width="34.5703125" customWidth="1"/>
    <col min="4" max="4" width="22.7109375" style="3" customWidth="1"/>
    <col min="5" max="10" width="9.140625" style="7" customWidth="1"/>
    <col min="11" max="11" width="14" customWidth="1"/>
    <col min="12" max="12" width="12" style="3" customWidth="1"/>
  </cols>
  <sheetData>
    <row r="1" spans="1:12" x14ac:dyDescent="0.25">
      <c r="A1" s="11" t="s">
        <v>291</v>
      </c>
      <c r="B1" s="13"/>
    </row>
    <row r="2" spans="1:12" s="3" customFormat="1" x14ac:dyDescent="0.25">
      <c r="A2" s="3" t="s">
        <v>237</v>
      </c>
      <c r="B2" s="3" t="s">
        <v>238</v>
      </c>
      <c r="C2" s="3" t="s">
        <v>239</v>
      </c>
      <c r="D2" s="7" t="s">
        <v>240</v>
      </c>
      <c r="E2" s="7" t="s">
        <v>241</v>
      </c>
      <c r="F2" s="7" t="s">
        <v>242</v>
      </c>
      <c r="G2" s="7" t="s">
        <v>243</v>
      </c>
      <c r="H2" s="7" t="s">
        <v>244</v>
      </c>
      <c r="I2" s="3" t="s">
        <v>245</v>
      </c>
      <c r="J2" s="3" t="s">
        <v>246</v>
      </c>
      <c r="K2" s="56" t="s">
        <v>290</v>
      </c>
      <c r="L2" s="57" t="s">
        <v>328</v>
      </c>
    </row>
    <row r="3" spans="1:12" x14ac:dyDescent="0.25">
      <c r="A3" s="10">
        <v>40187982</v>
      </c>
      <c r="B3" t="s">
        <v>248</v>
      </c>
      <c r="C3" t="s">
        <v>292</v>
      </c>
      <c r="D3" s="7" t="s">
        <v>250</v>
      </c>
      <c r="E3" s="7">
        <v>7.5</v>
      </c>
      <c r="F3" s="7">
        <v>7.5</v>
      </c>
      <c r="G3" s="7">
        <v>3</v>
      </c>
      <c r="I3" s="3"/>
      <c r="J3" s="3">
        <v>3</v>
      </c>
      <c r="K3" s="58">
        <f>E3+F3+G3+J3</f>
        <v>21</v>
      </c>
      <c r="L3" s="58">
        <f>F3+G3+J3</f>
        <v>13.5</v>
      </c>
    </row>
    <row r="4" spans="1:12" x14ac:dyDescent="0.25">
      <c r="A4" s="10">
        <v>20610787</v>
      </c>
      <c r="B4" t="s">
        <v>251</v>
      </c>
      <c r="C4" t="s">
        <v>293</v>
      </c>
      <c r="D4" s="7" t="s">
        <v>253</v>
      </c>
      <c r="I4" s="3"/>
      <c r="J4" s="3"/>
      <c r="K4" s="58">
        <f t="shared" ref="K4:K20" si="0">E4+F4+G4+J4</f>
        <v>0</v>
      </c>
      <c r="L4" s="58">
        <f t="shared" ref="L4:L20" si="1">F4+G4+J4</f>
        <v>0</v>
      </c>
    </row>
    <row r="5" spans="1:12" x14ac:dyDescent="0.25">
      <c r="A5" s="10">
        <v>80067786</v>
      </c>
      <c r="B5" t="s">
        <v>254</v>
      </c>
      <c r="C5" t="s">
        <v>294</v>
      </c>
      <c r="D5" s="7" t="s">
        <v>250</v>
      </c>
      <c r="E5" s="7">
        <v>15</v>
      </c>
      <c r="F5" s="7">
        <v>15</v>
      </c>
      <c r="G5" s="7">
        <v>5</v>
      </c>
      <c r="I5" s="3"/>
      <c r="J5" s="3">
        <v>6</v>
      </c>
      <c r="K5" s="58">
        <f t="shared" si="0"/>
        <v>41</v>
      </c>
      <c r="L5" s="58">
        <f t="shared" si="1"/>
        <v>26</v>
      </c>
    </row>
    <row r="6" spans="1:12" x14ac:dyDescent="0.25">
      <c r="A6" s="10">
        <v>40219006</v>
      </c>
      <c r="B6" t="s">
        <v>256</v>
      </c>
      <c r="C6" t="s">
        <v>295</v>
      </c>
      <c r="D6" s="7" t="s">
        <v>250</v>
      </c>
      <c r="E6" s="7">
        <v>15</v>
      </c>
      <c r="F6" s="7">
        <v>7.5</v>
      </c>
      <c r="G6" s="7">
        <v>5.5</v>
      </c>
      <c r="I6" s="3"/>
      <c r="J6" s="3">
        <v>3</v>
      </c>
      <c r="K6" s="58">
        <f t="shared" si="0"/>
        <v>31</v>
      </c>
      <c r="L6" s="58">
        <f t="shared" si="1"/>
        <v>16</v>
      </c>
    </row>
    <row r="7" spans="1:12" x14ac:dyDescent="0.25">
      <c r="A7" s="10">
        <v>20612983</v>
      </c>
      <c r="B7" t="s">
        <v>258</v>
      </c>
      <c r="C7" t="s">
        <v>296</v>
      </c>
      <c r="D7" s="7" t="s">
        <v>260</v>
      </c>
      <c r="E7" s="7">
        <v>15</v>
      </c>
      <c r="F7" s="7">
        <v>15</v>
      </c>
      <c r="G7" s="7">
        <v>4.5</v>
      </c>
      <c r="I7" s="3"/>
      <c r="J7" s="3">
        <v>6</v>
      </c>
      <c r="K7" s="58">
        <f t="shared" si="0"/>
        <v>40.5</v>
      </c>
      <c r="L7" s="58">
        <f t="shared" si="1"/>
        <v>25.5</v>
      </c>
    </row>
    <row r="8" spans="1:12" x14ac:dyDescent="0.25">
      <c r="A8" s="10">
        <v>25002121</v>
      </c>
      <c r="B8" t="s">
        <v>261</v>
      </c>
      <c r="C8" t="s">
        <v>297</v>
      </c>
      <c r="D8" s="7" t="s">
        <v>263</v>
      </c>
      <c r="I8" s="3"/>
      <c r="J8" s="3"/>
      <c r="K8" s="58">
        <f t="shared" si="0"/>
        <v>0</v>
      </c>
      <c r="L8" s="58">
        <f t="shared" si="1"/>
        <v>0</v>
      </c>
    </row>
    <row r="9" spans="1:12" x14ac:dyDescent="0.25">
      <c r="A9" s="10">
        <v>40157890</v>
      </c>
      <c r="B9" t="s">
        <v>264</v>
      </c>
      <c r="C9" t="s">
        <v>298</v>
      </c>
      <c r="D9" s="7" t="s">
        <v>260</v>
      </c>
      <c r="E9" s="7">
        <v>15</v>
      </c>
      <c r="F9" s="7">
        <v>15</v>
      </c>
      <c r="G9" s="7">
        <v>4.5</v>
      </c>
      <c r="I9" s="3"/>
      <c r="J9" s="3">
        <v>6</v>
      </c>
      <c r="K9" s="58">
        <f t="shared" si="0"/>
        <v>40.5</v>
      </c>
      <c r="L9" s="58">
        <f t="shared" si="1"/>
        <v>25.5</v>
      </c>
    </row>
    <row r="10" spans="1:12" x14ac:dyDescent="0.25">
      <c r="A10" s="10">
        <v>20612249</v>
      </c>
      <c r="B10" t="s">
        <v>266</v>
      </c>
      <c r="C10" t="s">
        <v>299</v>
      </c>
      <c r="D10" s="7" t="s">
        <v>253</v>
      </c>
      <c r="E10" s="7">
        <v>15</v>
      </c>
      <c r="F10" s="7">
        <v>15</v>
      </c>
      <c r="G10" s="7">
        <v>4.5</v>
      </c>
      <c r="I10" s="3"/>
      <c r="J10" s="3">
        <v>5.5</v>
      </c>
      <c r="K10" s="58">
        <f t="shared" si="0"/>
        <v>40</v>
      </c>
      <c r="L10" s="58">
        <f t="shared" si="1"/>
        <v>25</v>
      </c>
    </row>
    <row r="11" spans="1:12" x14ac:dyDescent="0.25">
      <c r="A11" s="10">
        <v>40204913</v>
      </c>
      <c r="B11" t="s">
        <v>268</v>
      </c>
      <c r="C11" t="s">
        <v>300</v>
      </c>
      <c r="D11" s="7" t="s">
        <v>250</v>
      </c>
      <c r="E11" s="7">
        <v>15</v>
      </c>
      <c r="F11" s="7">
        <v>15</v>
      </c>
      <c r="G11" s="7">
        <v>3</v>
      </c>
      <c r="I11" s="3"/>
      <c r="J11" s="3">
        <v>6</v>
      </c>
      <c r="K11" s="58">
        <f t="shared" si="0"/>
        <v>39</v>
      </c>
      <c r="L11" s="58">
        <f t="shared" si="1"/>
        <v>24</v>
      </c>
    </row>
    <row r="12" spans="1:12" x14ac:dyDescent="0.25">
      <c r="A12" s="10">
        <v>40021970</v>
      </c>
      <c r="B12" t="s">
        <v>270</v>
      </c>
      <c r="C12" t="s">
        <v>301</v>
      </c>
      <c r="D12" s="7" t="s">
        <v>260</v>
      </c>
      <c r="E12" s="7">
        <v>15</v>
      </c>
      <c r="F12" s="7">
        <v>15</v>
      </c>
      <c r="G12" s="7">
        <v>4.5</v>
      </c>
      <c r="I12" s="3"/>
      <c r="J12" s="3">
        <v>6</v>
      </c>
      <c r="K12" s="58">
        <f t="shared" si="0"/>
        <v>40.5</v>
      </c>
      <c r="L12" s="58">
        <f t="shared" si="1"/>
        <v>25.5</v>
      </c>
    </row>
    <row r="13" spans="1:12" x14ac:dyDescent="0.25">
      <c r="A13" s="10">
        <v>40114184</v>
      </c>
      <c r="B13" t="s">
        <v>272</v>
      </c>
      <c r="C13" t="s">
        <v>302</v>
      </c>
      <c r="D13" s="7" t="s">
        <v>260</v>
      </c>
      <c r="E13" s="7">
        <v>15</v>
      </c>
      <c r="F13" s="7">
        <v>15</v>
      </c>
      <c r="G13" s="7">
        <v>4.5</v>
      </c>
      <c r="I13" s="3"/>
      <c r="J13" s="3">
        <v>6</v>
      </c>
      <c r="K13" s="58">
        <f t="shared" si="0"/>
        <v>40.5</v>
      </c>
      <c r="L13" s="58">
        <f t="shared" si="1"/>
        <v>25.5</v>
      </c>
    </row>
    <row r="14" spans="1:12" x14ac:dyDescent="0.25">
      <c r="A14" s="10">
        <v>40204915</v>
      </c>
      <c r="B14" t="s">
        <v>274</v>
      </c>
      <c r="C14" t="s">
        <v>303</v>
      </c>
      <c r="D14" s="7" t="s">
        <v>260</v>
      </c>
      <c r="E14" s="7">
        <v>15</v>
      </c>
      <c r="F14" s="7">
        <v>15</v>
      </c>
      <c r="G14" s="7">
        <v>4</v>
      </c>
      <c r="I14" s="3"/>
      <c r="J14" s="3">
        <v>6</v>
      </c>
      <c r="K14" s="58">
        <f t="shared" si="0"/>
        <v>40</v>
      </c>
      <c r="L14" s="58">
        <f t="shared" si="1"/>
        <v>25</v>
      </c>
    </row>
    <row r="15" spans="1:12" x14ac:dyDescent="0.25">
      <c r="A15" s="10">
        <v>20610013</v>
      </c>
      <c r="B15" t="s">
        <v>276</v>
      </c>
      <c r="C15" t="s">
        <v>304</v>
      </c>
      <c r="D15" s="7" t="s">
        <v>253</v>
      </c>
      <c r="E15" s="7">
        <v>15</v>
      </c>
      <c r="F15" s="7">
        <v>7.5</v>
      </c>
      <c r="G15" s="7">
        <v>4.5</v>
      </c>
      <c r="I15" s="3"/>
      <c r="J15" s="3">
        <v>3</v>
      </c>
      <c r="K15" s="58">
        <f t="shared" si="0"/>
        <v>30</v>
      </c>
      <c r="L15" s="58">
        <f t="shared" si="1"/>
        <v>15</v>
      </c>
    </row>
    <row r="16" spans="1:12" x14ac:dyDescent="0.25">
      <c r="A16" s="10">
        <v>25002113</v>
      </c>
      <c r="B16" t="s">
        <v>278</v>
      </c>
      <c r="C16" t="s">
        <v>305</v>
      </c>
      <c r="D16" s="7" t="s">
        <v>263</v>
      </c>
      <c r="E16" s="7">
        <v>15</v>
      </c>
      <c r="F16" s="7">
        <v>15</v>
      </c>
      <c r="G16" s="7">
        <v>4.5</v>
      </c>
      <c r="I16" s="3"/>
      <c r="J16" s="3">
        <v>6</v>
      </c>
      <c r="K16" s="58">
        <f t="shared" si="0"/>
        <v>40.5</v>
      </c>
      <c r="L16" s="58">
        <f t="shared" si="1"/>
        <v>25.5</v>
      </c>
    </row>
    <row r="17" spans="1:12" x14ac:dyDescent="0.25">
      <c r="A17" s="10">
        <v>40200086</v>
      </c>
      <c r="B17" t="s">
        <v>280</v>
      </c>
      <c r="C17" t="s">
        <v>306</v>
      </c>
      <c r="D17" s="7" t="s">
        <v>260</v>
      </c>
      <c r="E17" s="7">
        <v>15</v>
      </c>
      <c r="F17" s="7">
        <v>15</v>
      </c>
      <c r="G17" s="7">
        <v>4.5</v>
      </c>
      <c r="I17" s="3"/>
      <c r="J17" s="3">
        <v>6</v>
      </c>
      <c r="K17" s="58">
        <f t="shared" si="0"/>
        <v>40.5</v>
      </c>
      <c r="L17" s="58">
        <f t="shared" si="1"/>
        <v>25.5</v>
      </c>
    </row>
    <row r="18" spans="1:12" x14ac:dyDescent="0.25">
      <c r="A18" s="10">
        <v>80018248</v>
      </c>
      <c r="B18" t="s">
        <v>282</v>
      </c>
      <c r="C18" t="s">
        <v>307</v>
      </c>
      <c r="D18" s="7" t="s">
        <v>250</v>
      </c>
      <c r="I18" s="3"/>
      <c r="J18" s="3"/>
      <c r="K18" s="58">
        <f t="shared" si="0"/>
        <v>0</v>
      </c>
      <c r="L18" s="58">
        <f t="shared" si="1"/>
        <v>0</v>
      </c>
    </row>
    <row r="19" spans="1:12" x14ac:dyDescent="0.25">
      <c r="A19" s="10">
        <v>25002095</v>
      </c>
      <c r="B19" t="s">
        <v>284</v>
      </c>
      <c r="C19" t="s">
        <v>308</v>
      </c>
      <c r="D19" s="7" t="s">
        <v>263</v>
      </c>
      <c r="E19" s="7">
        <v>15</v>
      </c>
      <c r="F19" s="7">
        <v>7.5</v>
      </c>
      <c r="G19" s="7">
        <v>5.5</v>
      </c>
      <c r="I19" s="3"/>
      <c r="J19" s="3">
        <v>2</v>
      </c>
      <c r="K19" s="58">
        <f t="shared" si="0"/>
        <v>30</v>
      </c>
      <c r="L19" s="58">
        <f t="shared" si="1"/>
        <v>15</v>
      </c>
    </row>
    <row r="20" spans="1:12" x14ac:dyDescent="0.25">
      <c r="A20" s="10">
        <v>40219005</v>
      </c>
      <c r="B20" t="s">
        <v>286</v>
      </c>
      <c r="C20" t="s">
        <v>309</v>
      </c>
      <c r="D20" s="7" t="s">
        <v>250</v>
      </c>
      <c r="E20" s="7">
        <v>15</v>
      </c>
      <c r="F20" s="7">
        <v>15</v>
      </c>
      <c r="G20" s="7">
        <v>4.5</v>
      </c>
      <c r="I20" s="3"/>
      <c r="J20" s="3">
        <v>6</v>
      </c>
      <c r="K20" s="58">
        <f t="shared" si="0"/>
        <v>40.5</v>
      </c>
      <c r="L20" s="58">
        <f t="shared" si="1"/>
        <v>25.5</v>
      </c>
    </row>
    <row r="21" spans="1:12" x14ac:dyDescent="0.25">
      <c r="A21" s="9" t="s">
        <v>288</v>
      </c>
      <c r="B21" s="8"/>
      <c r="C21" s="8"/>
    </row>
    <row r="22" spans="1:12" s="3" customFormat="1" x14ac:dyDescent="0.25">
      <c r="A22" s="10" t="s">
        <v>237</v>
      </c>
      <c r="B22" s="3" t="s">
        <v>238</v>
      </c>
      <c r="C22" s="3" t="s">
        <v>239</v>
      </c>
      <c r="D22" s="3" t="s">
        <v>240</v>
      </c>
      <c r="E22" s="7" t="s">
        <v>241</v>
      </c>
      <c r="F22" s="7" t="s">
        <v>242</v>
      </c>
      <c r="G22" s="7" t="s">
        <v>243</v>
      </c>
      <c r="H22" s="7" t="s">
        <v>244</v>
      </c>
      <c r="I22" s="7" t="s">
        <v>245</v>
      </c>
      <c r="J22" s="7" t="s">
        <v>246</v>
      </c>
      <c r="K22" s="56" t="s">
        <v>290</v>
      </c>
      <c r="L22" s="57" t="s">
        <v>328</v>
      </c>
    </row>
    <row r="23" spans="1:12" x14ac:dyDescent="0.25">
      <c r="A23" s="10">
        <v>40187982</v>
      </c>
      <c r="B23" t="s">
        <v>248</v>
      </c>
      <c r="C23" t="s">
        <v>249</v>
      </c>
      <c r="D23" s="3" t="s">
        <v>250</v>
      </c>
      <c r="E23" s="7">
        <v>30</v>
      </c>
      <c r="F23" s="7">
        <v>7.5</v>
      </c>
      <c r="G23" s="7">
        <v>4.5</v>
      </c>
      <c r="J23" s="7">
        <v>3</v>
      </c>
      <c r="K23" s="59">
        <f>E23+F23+G23+J23</f>
        <v>45</v>
      </c>
      <c r="L23" s="58">
        <f>F23+G23+J23</f>
        <v>15</v>
      </c>
    </row>
    <row r="24" spans="1:12" x14ac:dyDescent="0.25">
      <c r="A24" s="10">
        <v>20610787</v>
      </c>
      <c r="B24" t="s">
        <v>251</v>
      </c>
      <c r="C24" t="s">
        <v>252</v>
      </c>
      <c r="D24" s="3" t="s">
        <v>253</v>
      </c>
      <c r="E24" s="7">
        <v>37.5</v>
      </c>
      <c r="F24" s="7">
        <v>7.5</v>
      </c>
      <c r="G24" s="7">
        <v>13.5</v>
      </c>
      <c r="J24" s="7">
        <v>3</v>
      </c>
      <c r="K24" s="59">
        <f t="shared" ref="K24:K40" si="2">E24+F24+G24+J24</f>
        <v>61.5</v>
      </c>
      <c r="L24" s="58">
        <f>F24+G24+J24</f>
        <v>24</v>
      </c>
    </row>
    <row r="25" spans="1:12" x14ac:dyDescent="0.25">
      <c r="A25" s="10">
        <v>80067786</v>
      </c>
      <c r="B25" t="s">
        <v>254</v>
      </c>
      <c r="C25" t="s">
        <v>255</v>
      </c>
      <c r="D25" s="3" t="s">
        <v>250</v>
      </c>
      <c r="E25" s="7">
        <v>37.5</v>
      </c>
      <c r="F25" s="7">
        <v>7.5</v>
      </c>
      <c r="G25" s="7">
        <v>12.5</v>
      </c>
      <c r="J25" s="7">
        <v>3</v>
      </c>
      <c r="K25" s="59">
        <f t="shared" si="2"/>
        <v>60.5</v>
      </c>
      <c r="L25" s="58">
        <f t="shared" ref="L25:L40" si="3">F25+G25+J25</f>
        <v>23</v>
      </c>
    </row>
    <row r="26" spans="1:12" x14ac:dyDescent="0.25">
      <c r="A26" s="10">
        <v>40219006</v>
      </c>
      <c r="B26" t="s">
        <v>256</v>
      </c>
      <c r="C26" t="s">
        <v>257</v>
      </c>
      <c r="D26" s="3" t="s">
        <v>250</v>
      </c>
      <c r="E26" s="7">
        <v>37.5</v>
      </c>
      <c r="F26" s="7">
        <v>15</v>
      </c>
      <c r="G26" s="7">
        <v>14.5</v>
      </c>
      <c r="J26" s="7">
        <v>6</v>
      </c>
      <c r="K26" s="59">
        <f t="shared" si="2"/>
        <v>73</v>
      </c>
      <c r="L26" s="58">
        <f t="shared" si="3"/>
        <v>35.5</v>
      </c>
    </row>
    <row r="27" spans="1:12" x14ac:dyDescent="0.25">
      <c r="A27" s="10">
        <v>20612983</v>
      </c>
      <c r="B27" t="s">
        <v>258</v>
      </c>
      <c r="C27" t="s">
        <v>259</v>
      </c>
      <c r="D27" s="3" t="s">
        <v>260</v>
      </c>
      <c r="E27" s="7">
        <v>37.5</v>
      </c>
      <c r="F27" s="7">
        <v>7.5</v>
      </c>
      <c r="G27" s="7">
        <v>14</v>
      </c>
      <c r="J27" s="7">
        <v>3</v>
      </c>
      <c r="K27" s="59">
        <f t="shared" si="2"/>
        <v>62</v>
      </c>
      <c r="L27" s="58">
        <f t="shared" si="3"/>
        <v>24.5</v>
      </c>
    </row>
    <row r="28" spans="1:12" x14ac:dyDescent="0.25">
      <c r="A28" s="10">
        <v>25002121</v>
      </c>
      <c r="B28" t="s">
        <v>261</v>
      </c>
      <c r="C28" t="s">
        <v>262</v>
      </c>
      <c r="D28" s="3" t="s">
        <v>263</v>
      </c>
      <c r="E28" s="7">
        <v>37.5</v>
      </c>
      <c r="G28" s="7">
        <v>14</v>
      </c>
      <c r="K28" s="59">
        <f>E28+F28+G28+J28</f>
        <v>51.5</v>
      </c>
      <c r="L28" s="58">
        <f t="shared" si="3"/>
        <v>14</v>
      </c>
    </row>
    <row r="29" spans="1:12" x14ac:dyDescent="0.25">
      <c r="A29" s="10">
        <v>40157890</v>
      </c>
      <c r="B29" t="s">
        <v>264</v>
      </c>
      <c r="C29" t="s">
        <v>265</v>
      </c>
      <c r="D29" s="3" t="s">
        <v>260</v>
      </c>
      <c r="E29" s="7">
        <v>37.5</v>
      </c>
      <c r="F29" s="7">
        <v>15</v>
      </c>
      <c r="G29" s="7">
        <v>13.5</v>
      </c>
      <c r="J29" s="7">
        <v>6</v>
      </c>
      <c r="K29" s="59">
        <f t="shared" si="2"/>
        <v>72</v>
      </c>
      <c r="L29" s="58">
        <f t="shared" si="3"/>
        <v>34.5</v>
      </c>
    </row>
    <row r="30" spans="1:12" x14ac:dyDescent="0.25">
      <c r="A30" s="10">
        <v>20612249</v>
      </c>
      <c r="B30" t="s">
        <v>266</v>
      </c>
      <c r="C30" t="s">
        <v>267</v>
      </c>
      <c r="D30" s="3" t="s">
        <v>253</v>
      </c>
      <c r="E30" s="7">
        <v>30</v>
      </c>
      <c r="F30" s="7">
        <v>7.5</v>
      </c>
      <c r="G30" s="7">
        <v>10.5</v>
      </c>
      <c r="J30" s="7">
        <v>3</v>
      </c>
      <c r="K30" s="59">
        <f t="shared" si="2"/>
        <v>51</v>
      </c>
      <c r="L30" s="58">
        <f t="shared" si="3"/>
        <v>21</v>
      </c>
    </row>
    <row r="31" spans="1:12" x14ac:dyDescent="0.25">
      <c r="A31" s="10">
        <v>40204913</v>
      </c>
      <c r="B31" t="s">
        <v>268</v>
      </c>
      <c r="C31" t="s">
        <v>269</v>
      </c>
      <c r="D31" s="3" t="s">
        <v>250</v>
      </c>
      <c r="E31" s="7">
        <v>22.5</v>
      </c>
      <c r="F31" s="7">
        <v>7.5</v>
      </c>
      <c r="G31" s="7">
        <v>10</v>
      </c>
      <c r="J31" s="7">
        <v>3</v>
      </c>
      <c r="K31" s="59">
        <f t="shared" si="2"/>
        <v>43</v>
      </c>
      <c r="L31" s="58">
        <f t="shared" si="3"/>
        <v>20.5</v>
      </c>
    </row>
    <row r="32" spans="1:12" x14ac:dyDescent="0.25">
      <c r="A32" s="10">
        <v>40021970</v>
      </c>
      <c r="B32" t="s">
        <v>270</v>
      </c>
      <c r="C32" t="s">
        <v>271</v>
      </c>
      <c r="D32" s="3" t="s">
        <v>260</v>
      </c>
      <c r="E32" s="7">
        <v>30</v>
      </c>
      <c r="F32" s="7">
        <v>7.5</v>
      </c>
      <c r="G32" s="7">
        <v>12.5</v>
      </c>
      <c r="J32" s="7">
        <v>3</v>
      </c>
      <c r="K32" s="59">
        <f t="shared" si="2"/>
        <v>53</v>
      </c>
      <c r="L32" s="58">
        <f t="shared" si="3"/>
        <v>23</v>
      </c>
    </row>
    <row r="33" spans="1:12" x14ac:dyDescent="0.25">
      <c r="A33" s="10">
        <v>40114184</v>
      </c>
      <c r="B33" t="s">
        <v>272</v>
      </c>
      <c r="C33" t="s">
        <v>273</v>
      </c>
      <c r="D33" s="3" t="s">
        <v>260</v>
      </c>
      <c r="E33" s="7">
        <v>30</v>
      </c>
      <c r="F33" s="7">
        <v>7.5</v>
      </c>
      <c r="G33" s="7">
        <v>10.5</v>
      </c>
      <c r="J33" s="7">
        <v>3</v>
      </c>
      <c r="K33" s="59">
        <f t="shared" si="2"/>
        <v>51</v>
      </c>
      <c r="L33" s="58">
        <f t="shared" si="3"/>
        <v>21</v>
      </c>
    </row>
    <row r="34" spans="1:12" x14ac:dyDescent="0.25">
      <c r="A34" s="10">
        <v>40204915</v>
      </c>
      <c r="B34" t="s">
        <v>274</v>
      </c>
      <c r="C34" t="s">
        <v>275</v>
      </c>
      <c r="D34" s="3" t="s">
        <v>260</v>
      </c>
      <c r="E34" s="7">
        <v>30</v>
      </c>
      <c r="F34" s="7">
        <v>15</v>
      </c>
      <c r="G34" s="7">
        <v>11</v>
      </c>
      <c r="J34" s="7">
        <v>6</v>
      </c>
      <c r="K34" s="59">
        <f t="shared" si="2"/>
        <v>62</v>
      </c>
      <c r="L34" s="58">
        <f t="shared" si="3"/>
        <v>32</v>
      </c>
    </row>
    <row r="35" spans="1:12" x14ac:dyDescent="0.25">
      <c r="A35" s="10">
        <v>20610013</v>
      </c>
      <c r="B35" t="s">
        <v>276</v>
      </c>
      <c r="C35" t="s">
        <v>277</v>
      </c>
      <c r="D35" s="3" t="s">
        <v>253</v>
      </c>
      <c r="E35" s="7">
        <v>37.5</v>
      </c>
      <c r="F35" s="7">
        <v>7.5</v>
      </c>
      <c r="G35" s="7">
        <v>9</v>
      </c>
      <c r="J35" s="7">
        <v>3</v>
      </c>
      <c r="K35" s="59">
        <f t="shared" si="2"/>
        <v>57</v>
      </c>
      <c r="L35" s="58">
        <f t="shared" si="3"/>
        <v>19.5</v>
      </c>
    </row>
    <row r="36" spans="1:12" x14ac:dyDescent="0.25">
      <c r="A36" s="10">
        <v>25002113</v>
      </c>
      <c r="B36" t="s">
        <v>278</v>
      </c>
      <c r="C36" t="s">
        <v>279</v>
      </c>
      <c r="D36" s="3" t="s">
        <v>263</v>
      </c>
      <c r="E36" s="7">
        <v>37.5</v>
      </c>
      <c r="F36" s="7">
        <v>7.5</v>
      </c>
      <c r="G36" s="7">
        <v>13.5</v>
      </c>
      <c r="J36" s="7">
        <v>2</v>
      </c>
      <c r="K36" s="59">
        <f t="shared" si="2"/>
        <v>60.5</v>
      </c>
      <c r="L36" s="58">
        <f t="shared" si="3"/>
        <v>23</v>
      </c>
    </row>
    <row r="37" spans="1:12" x14ac:dyDescent="0.25">
      <c r="A37" s="10">
        <v>40200086</v>
      </c>
      <c r="B37" t="s">
        <v>280</v>
      </c>
      <c r="C37" t="s">
        <v>281</v>
      </c>
      <c r="D37" s="3" t="s">
        <v>260</v>
      </c>
      <c r="E37" s="7">
        <v>37.5</v>
      </c>
      <c r="F37" s="7">
        <v>7.5</v>
      </c>
      <c r="G37" s="7">
        <v>15</v>
      </c>
      <c r="J37" s="7">
        <v>3</v>
      </c>
      <c r="K37" s="59">
        <f t="shared" si="2"/>
        <v>63</v>
      </c>
      <c r="L37" s="58">
        <f t="shared" si="3"/>
        <v>25.5</v>
      </c>
    </row>
    <row r="38" spans="1:12" x14ac:dyDescent="0.25">
      <c r="A38" s="10">
        <v>80018248</v>
      </c>
      <c r="B38" t="s">
        <v>282</v>
      </c>
      <c r="C38" t="s">
        <v>283</v>
      </c>
      <c r="D38" s="3" t="s">
        <v>250</v>
      </c>
      <c r="E38" s="7">
        <v>37.5</v>
      </c>
      <c r="F38" s="7">
        <v>15</v>
      </c>
      <c r="G38" s="7">
        <v>13</v>
      </c>
      <c r="J38" s="7">
        <v>6</v>
      </c>
      <c r="K38" s="59">
        <f t="shared" si="2"/>
        <v>71.5</v>
      </c>
      <c r="L38" s="58">
        <f t="shared" si="3"/>
        <v>34</v>
      </c>
    </row>
    <row r="39" spans="1:12" x14ac:dyDescent="0.25">
      <c r="A39" s="10">
        <v>25002095</v>
      </c>
      <c r="B39" t="s">
        <v>284</v>
      </c>
      <c r="C39" t="s">
        <v>285</v>
      </c>
      <c r="D39" s="3" t="s">
        <v>263</v>
      </c>
      <c r="E39" s="7">
        <v>37.5</v>
      </c>
      <c r="G39" s="7">
        <v>11</v>
      </c>
      <c r="K39" s="59">
        <f t="shared" si="2"/>
        <v>48.5</v>
      </c>
      <c r="L39" s="58">
        <f t="shared" si="3"/>
        <v>11</v>
      </c>
    </row>
    <row r="40" spans="1:12" x14ac:dyDescent="0.25">
      <c r="A40" s="10">
        <v>40219005</v>
      </c>
      <c r="B40" t="s">
        <v>286</v>
      </c>
      <c r="C40" t="s">
        <v>287</v>
      </c>
      <c r="D40" s="3" t="s">
        <v>250</v>
      </c>
      <c r="E40" s="7">
        <v>37.5</v>
      </c>
      <c r="F40" s="7">
        <v>7.5</v>
      </c>
      <c r="G40" s="7">
        <v>17</v>
      </c>
      <c r="J40" s="7">
        <v>3</v>
      </c>
      <c r="K40" s="59">
        <f t="shared" si="2"/>
        <v>65</v>
      </c>
      <c r="L40" s="58">
        <f t="shared" si="3"/>
        <v>27.5</v>
      </c>
    </row>
    <row r="41" spans="1:12" x14ac:dyDescent="0.25">
      <c r="A41" s="11" t="s">
        <v>289</v>
      </c>
      <c r="B41" s="8"/>
      <c r="C41" s="8"/>
    </row>
    <row r="42" spans="1:12" s="3" customFormat="1" x14ac:dyDescent="0.25">
      <c r="A42" s="12" t="s">
        <v>237</v>
      </c>
      <c r="B42" s="7" t="s">
        <v>238</v>
      </c>
      <c r="C42" s="7" t="s">
        <v>239</v>
      </c>
      <c r="D42" s="7" t="s">
        <v>240</v>
      </c>
      <c r="E42" s="7" t="s">
        <v>241</v>
      </c>
      <c r="F42" s="7" t="s">
        <v>242</v>
      </c>
      <c r="G42" s="7" t="s">
        <v>243</v>
      </c>
      <c r="H42" s="7" t="s">
        <v>244</v>
      </c>
      <c r="I42" s="7" t="s">
        <v>245</v>
      </c>
      <c r="J42" s="7" t="s">
        <v>246</v>
      </c>
      <c r="K42" s="56" t="s">
        <v>247</v>
      </c>
      <c r="L42" s="57" t="s">
        <v>328</v>
      </c>
    </row>
    <row r="43" spans="1:12" x14ac:dyDescent="0.25">
      <c r="A43" s="10">
        <v>40187982</v>
      </c>
      <c r="B43" t="s">
        <v>248</v>
      </c>
      <c r="C43" t="s">
        <v>249</v>
      </c>
      <c r="D43" s="3" t="s">
        <v>250</v>
      </c>
      <c r="E43" s="7">
        <v>37.5</v>
      </c>
      <c r="G43" s="7">
        <v>9</v>
      </c>
      <c r="K43" s="59">
        <f>E43+G43</f>
        <v>46.5</v>
      </c>
      <c r="L43" s="58">
        <f>F43+G43+J43</f>
        <v>9</v>
      </c>
    </row>
    <row r="44" spans="1:12" x14ac:dyDescent="0.25">
      <c r="A44" s="10">
        <v>20610787</v>
      </c>
      <c r="B44" t="s">
        <v>251</v>
      </c>
      <c r="C44" t="s">
        <v>252</v>
      </c>
      <c r="D44" s="3" t="s">
        <v>253</v>
      </c>
      <c r="E44" s="7">
        <v>37.5</v>
      </c>
      <c r="F44" s="7">
        <v>7.5</v>
      </c>
      <c r="G44" s="7">
        <v>12.5</v>
      </c>
      <c r="J44" s="7">
        <v>3</v>
      </c>
      <c r="K44" s="59">
        <f t="shared" ref="K44:K60" si="4">E44+G44</f>
        <v>50</v>
      </c>
      <c r="L44" s="58">
        <f t="shared" ref="L44:L60" si="5">F44+G44+J44</f>
        <v>23</v>
      </c>
    </row>
    <row r="45" spans="1:12" x14ac:dyDescent="0.25">
      <c r="A45" s="10">
        <v>80067786</v>
      </c>
      <c r="B45" t="s">
        <v>254</v>
      </c>
      <c r="C45" t="s">
        <v>255</v>
      </c>
      <c r="D45" s="3" t="s">
        <v>250</v>
      </c>
      <c r="E45" s="7">
        <v>37.5</v>
      </c>
      <c r="F45" s="7">
        <v>15</v>
      </c>
      <c r="G45" s="7">
        <v>14</v>
      </c>
      <c r="J45" s="7">
        <v>6</v>
      </c>
      <c r="K45" s="59">
        <f t="shared" si="4"/>
        <v>51.5</v>
      </c>
      <c r="L45" s="58">
        <f t="shared" si="5"/>
        <v>35</v>
      </c>
    </row>
    <row r="46" spans="1:12" x14ac:dyDescent="0.25">
      <c r="A46" s="10">
        <v>40219006</v>
      </c>
      <c r="B46" t="s">
        <v>256</v>
      </c>
      <c r="C46" t="s">
        <v>257</v>
      </c>
      <c r="D46" s="3" t="s">
        <v>250</v>
      </c>
      <c r="E46" s="7">
        <v>37.5</v>
      </c>
      <c r="F46" s="7">
        <v>15</v>
      </c>
      <c r="G46" s="7">
        <v>13</v>
      </c>
      <c r="J46" s="7">
        <v>6</v>
      </c>
      <c r="K46" s="59">
        <f t="shared" si="4"/>
        <v>50.5</v>
      </c>
      <c r="L46" s="58">
        <f t="shared" si="5"/>
        <v>34</v>
      </c>
    </row>
    <row r="47" spans="1:12" x14ac:dyDescent="0.25">
      <c r="A47" s="10">
        <v>20612983</v>
      </c>
      <c r="B47" t="s">
        <v>258</v>
      </c>
      <c r="C47" t="s">
        <v>259</v>
      </c>
      <c r="D47" s="3" t="s">
        <v>260</v>
      </c>
      <c r="E47" s="7">
        <v>22.5</v>
      </c>
      <c r="F47" s="7">
        <v>15</v>
      </c>
      <c r="G47" s="7">
        <v>6.5</v>
      </c>
      <c r="J47" s="7">
        <v>6</v>
      </c>
      <c r="K47" s="59">
        <f t="shared" si="4"/>
        <v>29</v>
      </c>
      <c r="L47" s="58">
        <f t="shared" si="5"/>
        <v>27.5</v>
      </c>
    </row>
    <row r="48" spans="1:12" x14ac:dyDescent="0.25">
      <c r="A48" s="10">
        <v>25002121</v>
      </c>
      <c r="B48" t="s">
        <v>261</v>
      </c>
      <c r="C48" t="s">
        <v>262</v>
      </c>
      <c r="D48" s="3" t="s">
        <v>263</v>
      </c>
      <c r="E48" s="7">
        <v>37.5</v>
      </c>
      <c r="F48" s="7">
        <v>15</v>
      </c>
      <c r="G48" s="7">
        <v>10.5</v>
      </c>
      <c r="J48" s="7">
        <v>6</v>
      </c>
      <c r="K48" s="59">
        <f t="shared" si="4"/>
        <v>48</v>
      </c>
      <c r="L48" s="58">
        <f t="shared" si="5"/>
        <v>31.5</v>
      </c>
    </row>
    <row r="49" spans="1:12" x14ac:dyDescent="0.25">
      <c r="A49" s="10">
        <v>40157890</v>
      </c>
      <c r="B49" t="s">
        <v>264</v>
      </c>
      <c r="C49" t="s">
        <v>265</v>
      </c>
      <c r="D49" s="3" t="s">
        <v>260</v>
      </c>
      <c r="E49" s="7">
        <v>22.5</v>
      </c>
      <c r="F49" s="7">
        <v>15</v>
      </c>
      <c r="G49" s="7">
        <v>7.5</v>
      </c>
      <c r="J49" s="7">
        <v>6</v>
      </c>
      <c r="K49" s="59">
        <f t="shared" si="4"/>
        <v>30</v>
      </c>
      <c r="L49" s="58">
        <f t="shared" si="5"/>
        <v>28.5</v>
      </c>
    </row>
    <row r="50" spans="1:12" x14ac:dyDescent="0.25">
      <c r="A50" s="10">
        <v>20612249</v>
      </c>
      <c r="B50" t="s">
        <v>266</v>
      </c>
      <c r="C50" t="s">
        <v>267</v>
      </c>
      <c r="D50" s="3" t="s">
        <v>253</v>
      </c>
      <c r="E50" s="7">
        <v>37.5</v>
      </c>
      <c r="F50" s="7">
        <v>15</v>
      </c>
      <c r="G50" s="7">
        <v>13.5</v>
      </c>
      <c r="J50" s="7">
        <v>6</v>
      </c>
      <c r="K50" s="59">
        <f t="shared" si="4"/>
        <v>51</v>
      </c>
      <c r="L50" s="58">
        <f t="shared" si="5"/>
        <v>34.5</v>
      </c>
    </row>
    <row r="51" spans="1:12" x14ac:dyDescent="0.25">
      <c r="A51" s="10">
        <v>40204913</v>
      </c>
      <c r="B51" t="s">
        <v>268</v>
      </c>
      <c r="C51" t="s">
        <v>269</v>
      </c>
      <c r="D51" s="3" t="s">
        <v>250</v>
      </c>
      <c r="E51" s="7">
        <v>19.399999999999999</v>
      </c>
      <c r="F51" s="7">
        <v>15</v>
      </c>
      <c r="G51" s="7">
        <v>4.5</v>
      </c>
      <c r="J51" s="7">
        <v>6</v>
      </c>
      <c r="K51" s="59">
        <f t="shared" si="4"/>
        <v>23.9</v>
      </c>
      <c r="L51" s="58">
        <f t="shared" si="5"/>
        <v>25.5</v>
      </c>
    </row>
    <row r="52" spans="1:12" x14ac:dyDescent="0.25">
      <c r="A52" s="10">
        <v>40021970</v>
      </c>
      <c r="B52" t="s">
        <v>270</v>
      </c>
      <c r="C52" t="s">
        <v>271</v>
      </c>
      <c r="D52" s="3" t="s">
        <v>260</v>
      </c>
      <c r="E52" s="7">
        <v>34</v>
      </c>
      <c r="F52" s="7">
        <v>15</v>
      </c>
      <c r="G52" s="7">
        <v>11</v>
      </c>
      <c r="J52" s="7">
        <v>6</v>
      </c>
      <c r="K52" s="59">
        <f t="shared" si="4"/>
        <v>45</v>
      </c>
      <c r="L52" s="58">
        <f t="shared" si="5"/>
        <v>32</v>
      </c>
    </row>
    <row r="53" spans="1:12" x14ac:dyDescent="0.25">
      <c r="A53" s="10">
        <v>40114184</v>
      </c>
      <c r="B53" t="s">
        <v>272</v>
      </c>
      <c r="C53" t="s">
        <v>273</v>
      </c>
      <c r="D53" s="3" t="s">
        <v>260</v>
      </c>
      <c r="E53" s="7">
        <v>37.5</v>
      </c>
      <c r="F53" s="7">
        <v>15</v>
      </c>
      <c r="G53" s="7">
        <v>13</v>
      </c>
      <c r="J53" s="7">
        <v>6</v>
      </c>
      <c r="K53" s="59">
        <f t="shared" si="4"/>
        <v>50.5</v>
      </c>
      <c r="L53" s="58">
        <f t="shared" si="5"/>
        <v>34</v>
      </c>
    </row>
    <row r="54" spans="1:12" x14ac:dyDescent="0.25">
      <c r="A54" s="10">
        <v>40204915</v>
      </c>
      <c r="B54" t="s">
        <v>274</v>
      </c>
      <c r="C54" t="s">
        <v>275</v>
      </c>
      <c r="D54" s="3" t="s">
        <v>260</v>
      </c>
      <c r="E54" s="7">
        <v>37.5</v>
      </c>
      <c r="F54" s="7">
        <v>15</v>
      </c>
      <c r="G54" s="7">
        <v>12</v>
      </c>
      <c r="J54" s="7">
        <v>6</v>
      </c>
      <c r="K54" s="59">
        <f t="shared" si="4"/>
        <v>49.5</v>
      </c>
      <c r="L54" s="58">
        <f t="shared" si="5"/>
        <v>33</v>
      </c>
    </row>
    <row r="55" spans="1:12" x14ac:dyDescent="0.25">
      <c r="A55" s="10">
        <v>20610013</v>
      </c>
      <c r="B55" t="s">
        <v>276</v>
      </c>
      <c r="C55" t="s">
        <v>277</v>
      </c>
      <c r="D55" s="3" t="s">
        <v>253</v>
      </c>
      <c r="E55" s="7">
        <v>37.5</v>
      </c>
      <c r="F55" s="7">
        <v>15</v>
      </c>
      <c r="G55" s="7">
        <v>13.5</v>
      </c>
      <c r="J55" s="7">
        <v>6</v>
      </c>
      <c r="K55" s="59">
        <f t="shared" si="4"/>
        <v>51</v>
      </c>
      <c r="L55" s="58">
        <f t="shared" si="5"/>
        <v>34.5</v>
      </c>
    </row>
    <row r="56" spans="1:12" x14ac:dyDescent="0.25">
      <c r="A56" s="10">
        <v>25002113</v>
      </c>
      <c r="B56" t="s">
        <v>278</v>
      </c>
      <c r="C56" t="s">
        <v>279</v>
      </c>
      <c r="D56" s="3" t="s">
        <v>263</v>
      </c>
      <c r="E56" s="7">
        <v>37.5</v>
      </c>
      <c r="F56" s="7">
        <v>15</v>
      </c>
      <c r="G56" s="7">
        <v>10</v>
      </c>
      <c r="J56" s="7">
        <v>6</v>
      </c>
      <c r="K56" s="59">
        <f t="shared" si="4"/>
        <v>47.5</v>
      </c>
      <c r="L56" s="58">
        <f t="shared" si="5"/>
        <v>31</v>
      </c>
    </row>
    <row r="57" spans="1:12" x14ac:dyDescent="0.25">
      <c r="A57" s="10">
        <v>40200086</v>
      </c>
      <c r="B57" t="s">
        <v>280</v>
      </c>
      <c r="C57" t="s">
        <v>281</v>
      </c>
      <c r="D57" s="3" t="s">
        <v>260</v>
      </c>
      <c r="E57" s="7">
        <v>30</v>
      </c>
      <c r="F57" s="7">
        <v>15</v>
      </c>
      <c r="G57" s="7">
        <v>11</v>
      </c>
      <c r="J57" s="7">
        <v>6</v>
      </c>
      <c r="K57" s="59">
        <f t="shared" si="4"/>
        <v>41</v>
      </c>
      <c r="L57" s="58">
        <f t="shared" si="5"/>
        <v>32</v>
      </c>
    </row>
    <row r="58" spans="1:12" x14ac:dyDescent="0.25">
      <c r="A58" s="10">
        <v>80018248</v>
      </c>
      <c r="B58" t="s">
        <v>282</v>
      </c>
      <c r="C58" t="s">
        <v>283</v>
      </c>
      <c r="D58" s="3" t="s">
        <v>250</v>
      </c>
      <c r="E58" s="7">
        <v>37.5</v>
      </c>
      <c r="F58" s="7">
        <v>15</v>
      </c>
      <c r="G58" s="7">
        <v>13.5</v>
      </c>
      <c r="J58" s="7">
        <v>6</v>
      </c>
      <c r="K58" s="59">
        <f t="shared" si="4"/>
        <v>51</v>
      </c>
      <c r="L58" s="58">
        <f t="shared" si="5"/>
        <v>34.5</v>
      </c>
    </row>
    <row r="59" spans="1:12" x14ac:dyDescent="0.25">
      <c r="A59" s="10">
        <v>25002095</v>
      </c>
      <c r="B59" t="s">
        <v>284</v>
      </c>
      <c r="C59" t="s">
        <v>285</v>
      </c>
      <c r="D59" s="3" t="s">
        <v>263</v>
      </c>
      <c r="E59" s="7">
        <v>30</v>
      </c>
      <c r="G59" s="7">
        <v>11.5</v>
      </c>
      <c r="K59" s="59">
        <f t="shared" si="4"/>
        <v>41.5</v>
      </c>
      <c r="L59" s="58">
        <f t="shared" si="5"/>
        <v>11.5</v>
      </c>
    </row>
    <row r="60" spans="1:12" x14ac:dyDescent="0.25">
      <c r="A60" s="10">
        <v>40219005</v>
      </c>
      <c r="B60" t="s">
        <v>286</v>
      </c>
      <c r="C60" t="s">
        <v>287</v>
      </c>
      <c r="D60" s="3" t="s">
        <v>250</v>
      </c>
      <c r="E60" s="7">
        <v>37.5</v>
      </c>
      <c r="F60" s="7">
        <v>7.5</v>
      </c>
      <c r="G60" s="7">
        <v>13.5</v>
      </c>
      <c r="J60" s="7">
        <v>3</v>
      </c>
      <c r="K60" s="59">
        <f t="shared" si="4"/>
        <v>51</v>
      </c>
      <c r="L60" s="58">
        <f t="shared" si="5"/>
        <v>24</v>
      </c>
    </row>
    <row r="61" spans="1:12" x14ac:dyDescent="0.25">
      <c r="A61" s="13" t="s">
        <v>312</v>
      </c>
      <c r="B61" s="13"/>
      <c r="C61" s="13"/>
      <c r="D61" s="20"/>
      <c r="E61" s="20"/>
      <c r="F61" s="20"/>
      <c r="G61" s="20"/>
      <c r="H61" s="20"/>
      <c r="I61" s="20"/>
      <c r="J61" s="20"/>
      <c r="K61" s="14"/>
    </row>
    <row r="62" spans="1:12" x14ac:dyDescent="0.25">
      <c r="A62" t="s">
        <v>237</v>
      </c>
      <c r="B62" t="s">
        <v>238</v>
      </c>
      <c r="C62" t="s">
        <v>239</v>
      </c>
      <c r="D62" t="s">
        <v>240</v>
      </c>
      <c r="E62" s="7" t="s">
        <v>241</v>
      </c>
      <c r="F62" s="7" t="s">
        <v>242</v>
      </c>
      <c r="G62" s="7" t="s">
        <v>243</v>
      </c>
      <c r="H62" s="7" t="s">
        <v>244</v>
      </c>
      <c r="I62" s="7" t="s">
        <v>245</v>
      </c>
      <c r="J62" s="7" t="s">
        <v>246</v>
      </c>
      <c r="K62" s="56" t="s">
        <v>247</v>
      </c>
      <c r="L62" s="57" t="s">
        <v>328</v>
      </c>
    </row>
    <row r="63" spans="1:12" x14ac:dyDescent="0.25">
      <c r="A63" s="10">
        <v>40187982</v>
      </c>
      <c r="B63" t="s">
        <v>248</v>
      </c>
      <c r="C63" t="s">
        <v>249</v>
      </c>
      <c r="D63" t="s">
        <v>250</v>
      </c>
      <c r="E63" s="7">
        <v>37.5</v>
      </c>
      <c r="F63" s="7">
        <v>7.5</v>
      </c>
      <c r="G63" s="7">
        <v>12</v>
      </c>
      <c r="J63" s="7">
        <v>3</v>
      </c>
      <c r="K63" s="59">
        <f>E63+F63+G63+J63</f>
        <v>60</v>
      </c>
      <c r="L63" s="58">
        <f>F63+G63+J63</f>
        <v>22.5</v>
      </c>
    </row>
    <row r="64" spans="1:12" x14ac:dyDescent="0.25">
      <c r="A64" s="10">
        <v>20610787</v>
      </c>
      <c r="B64" t="s">
        <v>251</v>
      </c>
      <c r="C64" t="s">
        <v>252</v>
      </c>
      <c r="D64" t="s">
        <v>253</v>
      </c>
      <c r="E64" s="7">
        <v>37.5</v>
      </c>
      <c r="F64" s="7">
        <v>15</v>
      </c>
      <c r="G64" s="7">
        <v>13.5</v>
      </c>
      <c r="J64" s="7">
        <v>6</v>
      </c>
      <c r="K64" s="59">
        <f t="shared" ref="K64:K80" si="6">E64+F64+G64+J64</f>
        <v>72</v>
      </c>
      <c r="L64" s="58">
        <f t="shared" ref="L64:L80" si="7">F64+G64+J64</f>
        <v>34.5</v>
      </c>
    </row>
    <row r="65" spans="1:12" x14ac:dyDescent="0.25">
      <c r="A65" s="10">
        <v>80067786</v>
      </c>
      <c r="B65" t="s">
        <v>254</v>
      </c>
      <c r="C65" t="s">
        <v>255</v>
      </c>
      <c r="D65" t="s">
        <v>250</v>
      </c>
      <c r="E65" s="7">
        <v>30</v>
      </c>
      <c r="G65" s="7">
        <v>9</v>
      </c>
      <c r="K65" s="59">
        <f t="shared" si="6"/>
        <v>39</v>
      </c>
      <c r="L65" s="58">
        <f t="shared" si="7"/>
        <v>9</v>
      </c>
    </row>
    <row r="66" spans="1:12" x14ac:dyDescent="0.25">
      <c r="A66" s="10">
        <v>40219006</v>
      </c>
      <c r="B66" t="s">
        <v>256</v>
      </c>
      <c r="C66" t="s">
        <v>257</v>
      </c>
      <c r="D66" t="s">
        <v>250</v>
      </c>
      <c r="E66" s="7">
        <v>34</v>
      </c>
      <c r="F66" s="7">
        <v>15</v>
      </c>
      <c r="G66" s="7">
        <v>12</v>
      </c>
      <c r="J66" s="7">
        <v>6</v>
      </c>
      <c r="K66" s="59">
        <f t="shared" si="6"/>
        <v>67</v>
      </c>
      <c r="L66" s="58">
        <f t="shared" si="7"/>
        <v>33</v>
      </c>
    </row>
    <row r="67" spans="1:12" x14ac:dyDescent="0.25">
      <c r="A67" s="10">
        <v>20612983</v>
      </c>
      <c r="B67" t="s">
        <v>258</v>
      </c>
      <c r="C67" t="s">
        <v>259</v>
      </c>
      <c r="D67" t="s">
        <v>260</v>
      </c>
      <c r="E67" s="7">
        <v>37.5</v>
      </c>
      <c r="G67" s="7">
        <v>14.5</v>
      </c>
      <c r="K67" s="59">
        <f t="shared" si="6"/>
        <v>52</v>
      </c>
      <c r="L67" s="58">
        <f t="shared" si="7"/>
        <v>14.5</v>
      </c>
    </row>
    <row r="68" spans="1:12" x14ac:dyDescent="0.25">
      <c r="A68" s="10">
        <v>25002121</v>
      </c>
      <c r="B68" t="s">
        <v>261</v>
      </c>
      <c r="C68" t="s">
        <v>262</v>
      </c>
      <c r="D68" t="s">
        <v>263</v>
      </c>
      <c r="E68" s="7">
        <v>37.5</v>
      </c>
      <c r="F68" s="7">
        <v>7.5</v>
      </c>
      <c r="G68" s="7">
        <v>15</v>
      </c>
      <c r="J68" s="7">
        <v>3</v>
      </c>
      <c r="K68" s="59">
        <f t="shared" si="6"/>
        <v>63</v>
      </c>
      <c r="L68" s="58">
        <f t="shared" si="7"/>
        <v>25.5</v>
      </c>
    </row>
    <row r="69" spans="1:12" x14ac:dyDescent="0.25">
      <c r="A69" s="10">
        <v>40157890</v>
      </c>
      <c r="B69" t="s">
        <v>264</v>
      </c>
      <c r="C69" t="s">
        <v>265</v>
      </c>
      <c r="D69" t="s">
        <v>260</v>
      </c>
      <c r="E69" s="7">
        <v>37.5</v>
      </c>
      <c r="F69" s="7">
        <v>7.5</v>
      </c>
      <c r="G69" s="7">
        <v>15</v>
      </c>
      <c r="J69" s="7">
        <v>3</v>
      </c>
      <c r="K69" s="59">
        <f t="shared" si="6"/>
        <v>63</v>
      </c>
      <c r="L69" s="58">
        <f t="shared" si="7"/>
        <v>25.5</v>
      </c>
    </row>
    <row r="70" spans="1:12" x14ac:dyDescent="0.25">
      <c r="A70" s="10">
        <v>20612249</v>
      </c>
      <c r="B70" t="s">
        <v>266</v>
      </c>
      <c r="C70" t="s">
        <v>267</v>
      </c>
      <c r="D70" t="s">
        <v>253</v>
      </c>
      <c r="E70" s="7">
        <v>30</v>
      </c>
      <c r="F70" s="7">
        <v>15</v>
      </c>
      <c r="G70" s="7">
        <v>11</v>
      </c>
      <c r="J70" s="7">
        <v>6</v>
      </c>
      <c r="K70" s="59">
        <f t="shared" si="6"/>
        <v>62</v>
      </c>
      <c r="L70" s="58">
        <f t="shared" si="7"/>
        <v>32</v>
      </c>
    </row>
    <row r="71" spans="1:12" x14ac:dyDescent="0.25">
      <c r="A71" s="10">
        <v>40204913</v>
      </c>
      <c r="B71" t="s">
        <v>268</v>
      </c>
      <c r="C71" t="s">
        <v>269</v>
      </c>
      <c r="D71" t="s">
        <v>250</v>
      </c>
      <c r="E71" s="7">
        <v>37.5</v>
      </c>
      <c r="F71" s="7">
        <v>7.5</v>
      </c>
      <c r="G71" s="7">
        <v>15</v>
      </c>
      <c r="J71" s="7">
        <v>3</v>
      </c>
      <c r="K71" s="59">
        <f t="shared" si="6"/>
        <v>63</v>
      </c>
      <c r="L71" s="58">
        <f t="shared" si="7"/>
        <v>25.5</v>
      </c>
    </row>
    <row r="72" spans="1:12" x14ac:dyDescent="0.25">
      <c r="A72" s="10">
        <v>40021970</v>
      </c>
      <c r="B72" t="s">
        <v>270</v>
      </c>
      <c r="C72" t="s">
        <v>271</v>
      </c>
      <c r="D72" s="3" t="s">
        <v>260</v>
      </c>
      <c r="E72" s="7">
        <v>37.5</v>
      </c>
      <c r="G72" s="7">
        <v>15</v>
      </c>
      <c r="K72" s="59">
        <f t="shared" si="6"/>
        <v>52.5</v>
      </c>
      <c r="L72" s="58">
        <f t="shared" si="7"/>
        <v>15</v>
      </c>
    </row>
    <row r="73" spans="1:12" x14ac:dyDescent="0.25">
      <c r="A73" s="10">
        <v>40114184</v>
      </c>
      <c r="B73" t="s">
        <v>272</v>
      </c>
      <c r="C73" t="s">
        <v>273</v>
      </c>
      <c r="D73" t="s">
        <v>260</v>
      </c>
      <c r="E73" s="7">
        <v>37.5</v>
      </c>
      <c r="F73" s="7">
        <v>7.5</v>
      </c>
      <c r="G73" s="7">
        <v>14</v>
      </c>
      <c r="J73" s="7">
        <v>3</v>
      </c>
      <c r="K73" s="59">
        <f t="shared" si="6"/>
        <v>62</v>
      </c>
      <c r="L73" s="58">
        <f t="shared" si="7"/>
        <v>24.5</v>
      </c>
    </row>
    <row r="74" spans="1:12" x14ac:dyDescent="0.25">
      <c r="A74" s="10">
        <v>40204915</v>
      </c>
      <c r="B74" t="s">
        <v>274</v>
      </c>
      <c r="C74" t="s">
        <v>275</v>
      </c>
      <c r="D74" t="s">
        <v>260</v>
      </c>
      <c r="E74" s="7">
        <v>37.5</v>
      </c>
      <c r="F74" s="7">
        <v>15</v>
      </c>
      <c r="G74" s="7">
        <v>11.5</v>
      </c>
      <c r="J74" s="7">
        <v>6</v>
      </c>
      <c r="K74" s="59">
        <f t="shared" si="6"/>
        <v>70</v>
      </c>
      <c r="L74" s="58">
        <f t="shared" si="7"/>
        <v>32.5</v>
      </c>
    </row>
    <row r="75" spans="1:12" x14ac:dyDescent="0.25">
      <c r="A75" s="10">
        <v>20610013</v>
      </c>
      <c r="B75" t="s">
        <v>276</v>
      </c>
      <c r="C75" t="s">
        <v>277</v>
      </c>
      <c r="D75" t="s">
        <v>253</v>
      </c>
      <c r="E75" s="7">
        <v>37.5</v>
      </c>
      <c r="F75" s="7">
        <v>15</v>
      </c>
      <c r="G75" s="7">
        <v>15</v>
      </c>
      <c r="J75" s="7">
        <v>4.5</v>
      </c>
      <c r="K75" s="59">
        <f t="shared" si="6"/>
        <v>72</v>
      </c>
      <c r="L75" s="58">
        <f t="shared" si="7"/>
        <v>34.5</v>
      </c>
    </row>
    <row r="76" spans="1:12" x14ac:dyDescent="0.25">
      <c r="A76" s="10">
        <v>25002113</v>
      </c>
      <c r="B76" t="s">
        <v>278</v>
      </c>
      <c r="C76" t="s">
        <v>279</v>
      </c>
      <c r="D76" t="s">
        <v>263</v>
      </c>
      <c r="E76" s="7">
        <v>37.5</v>
      </c>
      <c r="F76" s="7">
        <v>15</v>
      </c>
      <c r="G76" s="7">
        <v>15</v>
      </c>
      <c r="J76" s="7">
        <v>6</v>
      </c>
      <c r="K76" s="59">
        <f t="shared" si="6"/>
        <v>73.5</v>
      </c>
      <c r="L76" s="58">
        <f t="shared" si="7"/>
        <v>36</v>
      </c>
    </row>
    <row r="77" spans="1:12" x14ac:dyDescent="0.25">
      <c r="A77" s="10">
        <v>40200086</v>
      </c>
      <c r="B77" t="s">
        <v>280</v>
      </c>
      <c r="C77" t="s">
        <v>281</v>
      </c>
      <c r="D77" t="s">
        <v>260</v>
      </c>
      <c r="E77" s="7">
        <v>37.5</v>
      </c>
      <c r="F77" s="7">
        <v>7.5</v>
      </c>
      <c r="G77" s="7">
        <v>17</v>
      </c>
      <c r="J77" s="7">
        <v>3</v>
      </c>
      <c r="K77" s="59">
        <f t="shared" si="6"/>
        <v>65</v>
      </c>
      <c r="L77" s="58">
        <f t="shared" si="7"/>
        <v>27.5</v>
      </c>
    </row>
    <row r="78" spans="1:12" x14ac:dyDescent="0.25">
      <c r="A78" s="10">
        <v>80018248</v>
      </c>
      <c r="B78" t="s">
        <v>282</v>
      </c>
      <c r="C78" t="s">
        <v>283</v>
      </c>
      <c r="D78" t="s">
        <v>250</v>
      </c>
      <c r="E78" s="7">
        <v>37.5</v>
      </c>
      <c r="F78" s="7">
        <v>15</v>
      </c>
      <c r="G78" s="7">
        <v>13</v>
      </c>
      <c r="J78" s="7">
        <v>6</v>
      </c>
      <c r="K78" s="59">
        <f t="shared" si="6"/>
        <v>71.5</v>
      </c>
      <c r="L78" s="58">
        <f t="shared" si="7"/>
        <v>34</v>
      </c>
    </row>
    <row r="79" spans="1:12" x14ac:dyDescent="0.25">
      <c r="A79" s="10">
        <v>25002095</v>
      </c>
      <c r="B79" t="s">
        <v>284</v>
      </c>
      <c r="C79" t="s">
        <v>285</v>
      </c>
      <c r="D79" t="s">
        <v>263</v>
      </c>
      <c r="E79" s="7">
        <v>37.5</v>
      </c>
      <c r="F79" s="7">
        <v>15</v>
      </c>
      <c r="G79" s="7">
        <v>13</v>
      </c>
      <c r="J79" s="7">
        <v>6</v>
      </c>
      <c r="K79" s="59">
        <f t="shared" si="6"/>
        <v>71.5</v>
      </c>
      <c r="L79" s="58">
        <f t="shared" si="7"/>
        <v>34</v>
      </c>
    </row>
    <row r="80" spans="1:12" x14ac:dyDescent="0.25">
      <c r="A80" s="10">
        <v>40219005</v>
      </c>
      <c r="B80" t="s">
        <v>286</v>
      </c>
      <c r="C80" t="s">
        <v>287</v>
      </c>
      <c r="D80" t="s">
        <v>250</v>
      </c>
      <c r="E80" s="7">
        <v>37.5</v>
      </c>
      <c r="F80" s="7">
        <v>7.5</v>
      </c>
      <c r="G80" s="7">
        <v>15</v>
      </c>
      <c r="J80" s="7">
        <v>3</v>
      </c>
      <c r="K80" s="59">
        <f t="shared" si="6"/>
        <v>63</v>
      </c>
      <c r="L80" s="58">
        <f t="shared" si="7"/>
        <v>25.5</v>
      </c>
    </row>
    <row r="81" spans="1:12" x14ac:dyDescent="0.25">
      <c r="A81" s="13" t="s">
        <v>317</v>
      </c>
      <c r="B81" s="13"/>
      <c r="C81" s="13"/>
      <c r="D81" s="20"/>
      <c r="E81" s="20"/>
      <c r="F81" s="20"/>
      <c r="G81" s="20"/>
      <c r="H81" s="20"/>
      <c r="I81" s="20"/>
      <c r="J81" s="20"/>
      <c r="K81" s="14"/>
    </row>
    <row r="82" spans="1:12" x14ac:dyDescent="0.25">
      <c r="A82" t="s">
        <v>237</v>
      </c>
      <c r="B82" t="s">
        <v>238</v>
      </c>
      <c r="C82" t="s">
        <v>239</v>
      </c>
      <c r="D82" t="s">
        <v>240</v>
      </c>
      <c r="E82" s="7" t="s">
        <v>241</v>
      </c>
      <c r="F82" s="7" t="s">
        <v>242</v>
      </c>
      <c r="G82" s="7" t="s">
        <v>243</v>
      </c>
      <c r="H82" s="7" t="s">
        <v>244</v>
      </c>
      <c r="I82" s="7" t="s">
        <v>245</v>
      </c>
      <c r="J82" s="7" t="s">
        <v>246</v>
      </c>
      <c r="K82" s="56" t="s">
        <v>247</v>
      </c>
      <c r="L82" s="57" t="s">
        <v>328</v>
      </c>
    </row>
    <row r="83" spans="1:12" x14ac:dyDescent="0.25">
      <c r="A83" s="10">
        <v>40187982</v>
      </c>
      <c r="B83" t="s">
        <v>248</v>
      </c>
      <c r="C83" t="s">
        <v>249</v>
      </c>
      <c r="D83" t="s">
        <v>250</v>
      </c>
      <c r="E83">
        <v>37.5</v>
      </c>
      <c r="F83" s="3">
        <v>8.5</v>
      </c>
      <c r="G83" s="3">
        <v>7.5</v>
      </c>
      <c r="J83" s="3">
        <v>3</v>
      </c>
      <c r="K83" s="58">
        <f>E83+F83+G83+J83</f>
        <v>56.5</v>
      </c>
      <c r="L83" s="58">
        <f>F83+G83+J83</f>
        <v>19</v>
      </c>
    </row>
    <row r="84" spans="1:12" x14ac:dyDescent="0.25">
      <c r="A84" s="10">
        <v>20610787</v>
      </c>
      <c r="B84" t="s">
        <v>251</v>
      </c>
      <c r="C84" t="s">
        <v>252</v>
      </c>
      <c r="D84" t="s">
        <v>253</v>
      </c>
      <c r="E84">
        <v>37.450000000000003</v>
      </c>
      <c r="F84" s="3">
        <v>13.5</v>
      </c>
      <c r="G84" s="3">
        <v>14.97</v>
      </c>
      <c r="J84" s="3">
        <v>6</v>
      </c>
      <c r="K84" s="58">
        <f>E84+F84+G84+J84</f>
        <v>71.92</v>
      </c>
      <c r="L84" s="58">
        <f t="shared" ref="L84:L100" si="8">F84+G84+J84</f>
        <v>34.47</v>
      </c>
    </row>
    <row r="85" spans="1:12" x14ac:dyDescent="0.25">
      <c r="A85" s="10">
        <v>80067786</v>
      </c>
      <c r="B85" t="s">
        <v>254</v>
      </c>
      <c r="C85" t="s">
        <v>255</v>
      </c>
      <c r="D85" t="s">
        <v>250</v>
      </c>
      <c r="E85">
        <v>37.5</v>
      </c>
      <c r="F85" s="3">
        <v>15</v>
      </c>
      <c r="G85" s="3">
        <v>15</v>
      </c>
      <c r="J85" s="3">
        <v>6</v>
      </c>
      <c r="K85" s="58">
        <f t="shared" ref="K85:K100" si="9">E85+F85+G85+J85</f>
        <v>73.5</v>
      </c>
      <c r="L85" s="58">
        <f t="shared" si="8"/>
        <v>36</v>
      </c>
    </row>
    <row r="86" spans="1:12" x14ac:dyDescent="0.25">
      <c r="A86" s="10">
        <v>40219006</v>
      </c>
      <c r="B86" t="s">
        <v>256</v>
      </c>
      <c r="C86" t="s">
        <v>257</v>
      </c>
      <c r="D86" t="s">
        <v>250</v>
      </c>
      <c r="E86">
        <v>37.5</v>
      </c>
      <c r="F86" s="3">
        <v>15</v>
      </c>
      <c r="G86" s="3">
        <v>7.5</v>
      </c>
      <c r="J86" s="3">
        <v>3</v>
      </c>
      <c r="K86" s="58">
        <f t="shared" si="9"/>
        <v>63</v>
      </c>
      <c r="L86" s="58">
        <f t="shared" si="8"/>
        <v>25.5</v>
      </c>
    </row>
    <row r="87" spans="1:12" x14ac:dyDescent="0.25">
      <c r="A87" s="10">
        <v>20612983</v>
      </c>
      <c r="B87" t="s">
        <v>258</v>
      </c>
      <c r="C87" t="s">
        <v>259</v>
      </c>
      <c r="D87" t="s">
        <v>260</v>
      </c>
      <c r="E87">
        <v>37.5</v>
      </c>
      <c r="F87" s="3">
        <v>11</v>
      </c>
      <c r="G87" s="3">
        <v>15</v>
      </c>
      <c r="J87" s="3">
        <v>6</v>
      </c>
      <c r="K87" s="58">
        <f t="shared" si="9"/>
        <v>69.5</v>
      </c>
      <c r="L87" s="58">
        <f t="shared" si="8"/>
        <v>32</v>
      </c>
    </row>
    <row r="88" spans="1:12" x14ac:dyDescent="0.25">
      <c r="A88" s="10">
        <v>25002121</v>
      </c>
      <c r="B88" t="s">
        <v>261</v>
      </c>
      <c r="C88" t="s">
        <v>262</v>
      </c>
      <c r="D88" t="s">
        <v>263</v>
      </c>
      <c r="E88">
        <v>26.5</v>
      </c>
      <c r="F88" s="3">
        <v>7.5</v>
      </c>
      <c r="G88" s="3"/>
      <c r="J88" s="3"/>
      <c r="K88" s="58">
        <f>E88+F88+G88+J88</f>
        <v>34</v>
      </c>
      <c r="L88" s="58">
        <f t="shared" si="8"/>
        <v>7.5</v>
      </c>
    </row>
    <row r="89" spans="1:12" x14ac:dyDescent="0.25">
      <c r="A89" s="10">
        <v>40157890</v>
      </c>
      <c r="B89" t="s">
        <v>264</v>
      </c>
      <c r="C89" t="s">
        <v>265</v>
      </c>
      <c r="D89" t="s">
        <v>260</v>
      </c>
      <c r="E89">
        <v>37.5</v>
      </c>
      <c r="F89" s="3">
        <v>12.5</v>
      </c>
      <c r="G89" s="3">
        <v>15</v>
      </c>
      <c r="J89" s="3">
        <v>6</v>
      </c>
      <c r="K89" s="58">
        <f t="shared" si="9"/>
        <v>71</v>
      </c>
      <c r="L89" s="58">
        <f t="shared" si="8"/>
        <v>33.5</v>
      </c>
    </row>
    <row r="90" spans="1:12" x14ac:dyDescent="0.25">
      <c r="A90" s="10">
        <v>20612249</v>
      </c>
      <c r="B90" t="s">
        <v>266</v>
      </c>
      <c r="C90" t="s">
        <v>267</v>
      </c>
      <c r="D90" t="s">
        <v>253</v>
      </c>
      <c r="E90">
        <v>37.5</v>
      </c>
      <c r="F90" s="3">
        <v>17</v>
      </c>
      <c r="G90" s="3">
        <v>7.5</v>
      </c>
      <c r="J90" s="3">
        <v>3</v>
      </c>
      <c r="K90" s="58">
        <f t="shared" si="9"/>
        <v>65</v>
      </c>
      <c r="L90" s="58">
        <f t="shared" si="8"/>
        <v>27.5</v>
      </c>
    </row>
    <row r="91" spans="1:12" x14ac:dyDescent="0.25">
      <c r="A91" s="10">
        <v>40204913</v>
      </c>
      <c r="B91" t="s">
        <v>268</v>
      </c>
      <c r="C91" t="s">
        <v>269</v>
      </c>
      <c r="D91" t="s">
        <v>250</v>
      </c>
      <c r="E91">
        <v>37.5</v>
      </c>
      <c r="F91" s="3">
        <v>9</v>
      </c>
      <c r="G91" s="3">
        <v>7.5</v>
      </c>
      <c r="J91" s="3">
        <v>1.5</v>
      </c>
      <c r="K91" s="58">
        <f t="shared" si="9"/>
        <v>55.5</v>
      </c>
      <c r="L91" s="58">
        <f t="shared" si="8"/>
        <v>18</v>
      </c>
    </row>
    <row r="92" spans="1:12" x14ac:dyDescent="0.25">
      <c r="A92" s="10">
        <v>40021970</v>
      </c>
      <c r="B92" t="s">
        <v>270</v>
      </c>
      <c r="C92" t="s">
        <v>271</v>
      </c>
      <c r="D92" t="s">
        <v>260</v>
      </c>
      <c r="E92">
        <v>37.5</v>
      </c>
      <c r="F92" s="3">
        <v>14</v>
      </c>
      <c r="G92" s="3">
        <v>15</v>
      </c>
      <c r="J92" s="3">
        <v>5.5</v>
      </c>
      <c r="K92" s="58">
        <f t="shared" si="9"/>
        <v>72</v>
      </c>
      <c r="L92" s="58">
        <f t="shared" si="8"/>
        <v>34.5</v>
      </c>
    </row>
    <row r="93" spans="1:12" x14ac:dyDescent="0.25">
      <c r="A93" s="10">
        <v>40114184</v>
      </c>
      <c r="B93" t="s">
        <v>272</v>
      </c>
      <c r="C93" t="s">
        <v>273</v>
      </c>
      <c r="D93" t="s">
        <v>260</v>
      </c>
      <c r="E93">
        <v>37.5</v>
      </c>
      <c r="F93" s="3">
        <v>13</v>
      </c>
      <c r="G93" s="3">
        <v>15</v>
      </c>
      <c r="J93" s="3">
        <v>5</v>
      </c>
      <c r="K93" s="58">
        <f t="shared" si="9"/>
        <v>70.5</v>
      </c>
      <c r="L93" s="58">
        <f t="shared" si="8"/>
        <v>33</v>
      </c>
    </row>
    <row r="94" spans="1:12" x14ac:dyDescent="0.25">
      <c r="A94" s="10">
        <v>40204915</v>
      </c>
      <c r="B94" t="s">
        <v>274</v>
      </c>
      <c r="C94" t="s">
        <v>275</v>
      </c>
      <c r="D94" t="s">
        <v>260</v>
      </c>
      <c r="E94">
        <v>37.5</v>
      </c>
      <c r="F94" s="3">
        <v>14</v>
      </c>
      <c r="G94" s="3">
        <v>7.5</v>
      </c>
      <c r="J94" s="3">
        <v>3</v>
      </c>
      <c r="K94" s="58">
        <f t="shared" si="9"/>
        <v>62</v>
      </c>
      <c r="L94" s="58">
        <f t="shared" si="8"/>
        <v>24.5</v>
      </c>
    </row>
    <row r="95" spans="1:12" x14ac:dyDescent="0.25">
      <c r="A95" s="10">
        <v>20610013</v>
      </c>
      <c r="B95" t="s">
        <v>276</v>
      </c>
      <c r="C95" t="s">
        <v>277</v>
      </c>
      <c r="D95" t="s">
        <v>253</v>
      </c>
      <c r="E95">
        <v>37.5</v>
      </c>
      <c r="F95" s="3">
        <v>13.5</v>
      </c>
      <c r="G95" s="3">
        <v>15</v>
      </c>
      <c r="J95" s="3">
        <v>6</v>
      </c>
      <c r="K95" s="58">
        <f t="shared" si="9"/>
        <v>72</v>
      </c>
      <c r="L95" s="58">
        <f t="shared" si="8"/>
        <v>34.5</v>
      </c>
    </row>
    <row r="96" spans="1:12" x14ac:dyDescent="0.25">
      <c r="A96" s="10">
        <v>25002113</v>
      </c>
      <c r="B96" t="s">
        <v>278</v>
      </c>
      <c r="C96" t="s">
        <v>279</v>
      </c>
      <c r="D96" t="s">
        <v>263</v>
      </c>
      <c r="E96">
        <v>37.5</v>
      </c>
      <c r="F96" s="3">
        <v>13.5</v>
      </c>
      <c r="G96" s="3">
        <v>7.5</v>
      </c>
      <c r="J96" s="3">
        <v>3</v>
      </c>
      <c r="K96" s="58">
        <f t="shared" si="9"/>
        <v>61.5</v>
      </c>
      <c r="L96" s="58">
        <f t="shared" si="8"/>
        <v>24</v>
      </c>
    </row>
    <row r="97" spans="1:13" x14ac:dyDescent="0.25">
      <c r="A97" s="10">
        <v>40200086</v>
      </c>
      <c r="B97" t="s">
        <v>280</v>
      </c>
      <c r="C97" t="s">
        <v>281</v>
      </c>
      <c r="D97" t="s">
        <v>260</v>
      </c>
      <c r="E97">
        <v>37.5</v>
      </c>
      <c r="F97" s="3">
        <v>10.5</v>
      </c>
      <c r="G97" s="3">
        <v>15</v>
      </c>
      <c r="J97" s="3">
        <v>6</v>
      </c>
      <c r="K97" s="58">
        <f t="shared" si="9"/>
        <v>69</v>
      </c>
      <c r="L97" s="58">
        <f t="shared" si="8"/>
        <v>31.5</v>
      </c>
    </row>
    <row r="98" spans="1:13" x14ac:dyDescent="0.25">
      <c r="A98" s="10">
        <v>80018248</v>
      </c>
      <c r="B98" t="s">
        <v>282</v>
      </c>
      <c r="C98" t="s">
        <v>283</v>
      </c>
      <c r="D98" t="s">
        <v>250</v>
      </c>
      <c r="E98">
        <v>37.5</v>
      </c>
      <c r="F98" s="3">
        <v>15</v>
      </c>
      <c r="G98" s="3">
        <v>15</v>
      </c>
      <c r="J98" s="3">
        <v>6</v>
      </c>
      <c r="K98" s="58">
        <f t="shared" si="9"/>
        <v>73.5</v>
      </c>
      <c r="L98" s="58">
        <f t="shared" si="8"/>
        <v>36</v>
      </c>
    </row>
    <row r="99" spans="1:13" x14ac:dyDescent="0.25">
      <c r="A99" s="10">
        <v>25002095</v>
      </c>
      <c r="B99" t="s">
        <v>284</v>
      </c>
      <c r="C99" t="s">
        <v>285</v>
      </c>
      <c r="D99" t="s">
        <v>263</v>
      </c>
      <c r="E99">
        <v>30</v>
      </c>
      <c r="F99" s="3">
        <v>12</v>
      </c>
      <c r="G99" s="3"/>
      <c r="J99" s="3"/>
      <c r="K99" s="58">
        <f t="shared" si="9"/>
        <v>42</v>
      </c>
      <c r="L99" s="58">
        <f t="shared" si="8"/>
        <v>12</v>
      </c>
    </row>
    <row r="100" spans="1:13" x14ac:dyDescent="0.25">
      <c r="A100" s="10">
        <v>40219005</v>
      </c>
      <c r="B100" t="s">
        <v>286</v>
      </c>
      <c r="C100" t="s">
        <v>287</v>
      </c>
      <c r="D100" t="s">
        <v>250</v>
      </c>
      <c r="E100">
        <v>30</v>
      </c>
      <c r="F100" s="3">
        <v>10.5</v>
      </c>
      <c r="G100" s="3">
        <v>7.5</v>
      </c>
      <c r="J100" s="3">
        <v>3</v>
      </c>
      <c r="K100" s="58">
        <f t="shared" si="9"/>
        <v>51</v>
      </c>
      <c r="L100" s="58">
        <f t="shared" si="8"/>
        <v>21</v>
      </c>
    </row>
    <row r="101" spans="1:13" x14ac:dyDescent="0.25">
      <c r="A101" s="11" t="s">
        <v>319</v>
      </c>
      <c r="B101" s="11"/>
      <c r="C101" s="11"/>
      <c r="D101" s="10"/>
      <c r="E101" s="10"/>
      <c r="F101" s="10"/>
      <c r="G101" s="10"/>
      <c r="H101" s="10"/>
      <c r="I101" s="10"/>
      <c r="J101" s="10"/>
      <c r="K101" s="10"/>
      <c r="M101" s="10"/>
    </row>
    <row r="102" spans="1:13" x14ac:dyDescent="0.25">
      <c r="A102" s="10" t="s">
        <v>237</v>
      </c>
      <c r="B102" s="10" t="s">
        <v>238</v>
      </c>
      <c r="C102" s="10" t="s">
        <v>239</v>
      </c>
      <c r="D102" s="10"/>
      <c r="E102" s="3" t="s">
        <v>241</v>
      </c>
      <c r="F102" s="3" t="s">
        <v>242</v>
      </c>
      <c r="G102" s="3" t="s">
        <v>243</v>
      </c>
      <c r="H102" s="3" t="s">
        <v>244</v>
      </c>
      <c r="I102" s="3" t="s">
        <v>245</v>
      </c>
      <c r="J102" s="3" t="s">
        <v>246</v>
      </c>
      <c r="K102" s="56" t="s">
        <v>247</v>
      </c>
      <c r="L102" s="57" t="s">
        <v>328</v>
      </c>
    </row>
    <row r="103" spans="1:13" x14ac:dyDescent="0.25">
      <c r="A103" s="10">
        <v>40187982</v>
      </c>
      <c r="B103" s="10" t="s">
        <v>248</v>
      </c>
      <c r="C103" s="10" t="s">
        <v>249</v>
      </c>
      <c r="D103" s="10" t="s">
        <v>250</v>
      </c>
      <c r="E103" s="3">
        <v>30</v>
      </c>
      <c r="F103" s="3"/>
      <c r="G103" s="3">
        <v>11.5</v>
      </c>
      <c r="H103" s="3">
        <v>7.5</v>
      </c>
      <c r="I103" s="3">
        <v>7.5</v>
      </c>
      <c r="J103" s="3">
        <v>6</v>
      </c>
      <c r="K103" s="58">
        <f>E103+G103+H103+I103+J103</f>
        <v>62.5</v>
      </c>
      <c r="L103" s="58">
        <f>G103+H103+I103+J103</f>
        <v>32.5</v>
      </c>
    </row>
    <row r="104" spans="1:13" x14ac:dyDescent="0.25">
      <c r="A104" s="10">
        <v>20610787</v>
      </c>
      <c r="B104" s="10" t="s">
        <v>251</v>
      </c>
      <c r="C104" s="10" t="s">
        <v>252</v>
      </c>
      <c r="D104" s="10" t="s">
        <v>253</v>
      </c>
      <c r="E104" s="3">
        <v>30</v>
      </c>
      <c r="F104" s="3"/>
      <c r="G104" s="3">
        <v>10.5</v>
      </c>
      <c r="H104" s="3">
        <v>7.5</v>
      </c>
      <c r="I104" s="3">
        <v>7.5</v>
      </c>
      <c r="J104" s="3">
        <v>6</v>
      </c>
      <c r="K104" s="58">
        <f t="shared" ref="K104:K120" si="10">E104+G104+H104+I104+J104</f>
        <v>61.5</v>
      </c>
      <c r="L104" s="58">
        <f t="shared" ref="L104:L119" si="11">G104+H104+I104+J104</f>
        <v>31.5</v>
      </c>
    </row>
    <row r="105" spans="1:13" x14ac:dyDescent="0.25">
      <c r="A105" s="10">
        <v>80067786</v>
      </c>
      <c r="B105" s="10" t="s">
        <v>254</v>
      </c>
      <c r="C105" s="10" t="s">
        <v>255</v>
      </c>
      <c r="D105" s="10" t="s">
        <v>250</v>
      </c>
      <c r="E105" s="3">
        <v>30</v>
      </c>
      <c r="F105" s="3"/>
      <c r="G105" s="3">
        <v>12</v>
      </c>
      <c r="H105" s="3"/>
      <c r="I105" s="3">
        <v>15</v>
      </c>
      <c r="J105" s="3">
        <v>5</v>
      </c>
      <c r="K105" s="58">
        <f t="shared" si="10"/>
        <v>62</v>
      </c>
      <c r="L105" s="58">
        <f t="shared" si="11"/>
        <v>32</v>
      </c>
    </row>
    <row r="106" spans="1:13" x14ac:dyDescent="0.25">
      <c r="A106" s="10">
        <v>40219006</v>
      </c>
      <c r="B106" s="10" t="s">
        <v>256</v>
      </c>
      <c r="C106" s="10" t="s">
        <v>257</v>
      </c>
      <c r="D106" s="10" t="s">
        <v>250</v>
      </c>
      <c r="E106" s="3">
        <v>22.5</v>
      </c>
      <c r="F106" s="3"/>
      <c r="G106" s="3">
        <v>7</v>
      </c>
      <c r="H106" s="3">
        <v>7.5</v>
      </c>
      <c r="I106" s="3"/>
      <c r="J106" s="3">
        <v>3</v>
      </c>
      <c r="K106" s="58">
        <f t="shared" si="10"/>
        <v>40</v>
      </c>
      <c r="L106" s="58">
        <f t="shared" si="11"/>
        <v>17.5</v>
      </c>
    </row>
    <row r="107" spans="1:13" x14ac:dyDescent="0.25">
      <c r="A107" s="10">
        <v>20612983</v>
      </c>
      <c r="B107" s="10" t="s">
        <v>258</v>
      </c>
      <c r="C107" s="10" t="s">
        <v>259</v>
      </c>
      <c r="D107" s="10" t="s">
        <v>260</v>
      </c>
      <c r="E107" s="3">
        <v>22.5</v>
      </c>
      <c r="F107" s="3"/>
      <c r="G107" s="3">
        <v>7.5</v>
      </c>
      <c r="H107" s="3"/>
      <c r="I107" s="3">
        <v>7.5</v>
      </c>
      <c r="J107" s="3">
        <v>3</v>
      </c>
      <c r="K107" s="58">
        <f t="shared" si="10"/>
        <v>40.5</v>
      </c>
      <c r="L107" s="58">
        <f t="shared" si="11"/>
        <v>18</v>
      </c>
    </row>
    <row r="108" spans="1:13" x14ac:dyDescent="0.25">
      <c r="A108" s="10">
        <v>25002121</v>
      </c>
      <c r="B108" s="10" t="s">
        <v>261</v>
      </c>
      <c r="C108" s="10" t="s">
        <v>262</v>
      </c>
      <c r="D108" s="10" t="s">
        <v>263</v>
      </c>
      <c r="E108" s="3">
        <v>30</v>
      </c>
      <c r="F108" s="3"/>
      <c r="G108" s="3">
        <v>10.5</v>
      </c>
      <c r="H108" s="3"/>
      <c r="I108" s="3">
        <v>7.5</v>
      </c>
      <c r="J108" s="3">
        <v>3</v>
      </c>
      <c r="K108" s="58">
        <f t="shared" si="10"/>
        <v>51</v>
      </c>
      <c r="L108" s="58">
        <f t="shared" si="11"/>
        <v>21</v>
      </c>
    </row>
    <row r="109" spans="1:13" x14ac:dyDescent="0.25">
      <c r="A109" s="10">
        <v>40157890</v>
      </c>
      <c r="B109" s="10" t="s">
        <v>264</v>
      </c>
      <c r="C109" s="10" t="s">
        <v>265</v>
      </c>
      <c r="D109" s="10" t="s">
        <v>260</v>
      </c>
      <c r="E109" s="3">
        <v>30</v>
      </c>
      <c r="F109" s="3"/>
      <c r="G109" s="3">
        <v>9</v>
      </c>
      <c r="H109" s="3">
        <v>7.5</v>
      </c>
      <c r="I109" s="3">
        <v>7.5</v>
      </c>
      <c r="J109" s="3">
        <v>6</v>
      </c>
      <c r="K109" s="58">
        <f t="shared" si="10"/>
        <v>60</v>
      </c>
      <c r="L109" s="58">
        <f t="shared" si="11"/>
        <v>30</v>
      </c>
    </row>
    <row r="110" spans="1:13" x14ac:dyDescent="0.25">
      <c r="A110" s="10">
        <v>20612249</v>
      </c>
      <c r="B110" s="10" t="s">
        <v>266</v>
      </c>
      <c r="C110" s="10" t="s">
        <v>267</v>
      </c>
      <c r="D110" s="10" t="s">
        <v>253</v>
      </c>
      <c r="E110" s="3">
        <v>30</v>
      </c>
      <c r="F110" s="3"/>
      <c r="G110" s="3">
        <v>12</v>
      </c>
      <c r="H110" s="3">
        <v>7.5</v>
      </c>
      <c r="I110" s="3">
        <v>7.5</v>
      </c>
      <c r="J110" s="3">
        <v>6</v>
      </c>
      <c r="K110" s="58">
        <f t="shared" si="10"/>
        <v>63</v>
      </c>
      <c r="L110" s="58">
        <f t="shared" si="11"/>
        <v>33</v>
      </c>
    </row>
    <row r="111" spans="1:13" x14ac:dyDescent="0.25">
      <c r="A111" s="10">
        <v>40204913</v>
      </c>
      <c r="B111" s="10" t="s">
        <v>268</v>
      </c>
      <c r="C111" s="10" t="s">
        <v>269</v>
      </c>
      <c r="D111" s="10" t="s">
        <v>250</v>
      </c>
      <c r="E111" s="3">
        <v>30</v>
      </c>
      <c r="F111" s="3"/>
      <c r="G111" s="3">
        <v>6.5</v>
      </c>
      <c r="H111" s="3"/>
      <c r="I111" s="3"/>
      <c r="J111" s="3"/>
      <c r="K111" s="58">
        <f t="shared" si="10"/>
        <v>36.5</v>
      </c>
      <c r="L111" s="58">
        <f t="shared" si="11"/>
        <v>6.5</v>
      </c>
    </row>
    <row r="112" spans="1:13" x14ac:dyDescent="0.25">
      <c r="A112" s="10">
        <v>40021970</v>
      </c>
      <c r="B112" s="10" t="s">
        <v>270</v>
      </c>
      <c r="C112" s="10" t="s">
        <v>271</v>
      </c>
      <c r="D112" s="10" t="s">
        <v>260</v>
      </c>
      <c r="E112" s="3">
        <v>22.5</v>
      </c>
      <c r="F112" s="3"/>
      <c r="G112" s="3">
        <v>7.5</v>
      </c>
      <c r="H112" s="3">
        <v>7.5</v>
      </c>
      <c r="I112" s="3">
        <v>7.5</v>
      </c>
      <c r="J112" s="3">
        <v>6</v>
      </c>
      <c r="K112" s="58">
        <f t="shared" si="10"/>
        <v>51</v>
      </c>
      <c r="L112" s="58">
        <f t="shared" si="11"/>
        <v>28.5</v>
      </c>
    </row>
    <row r="113" spans="1:13" x14ac:dyDescent="0.25">
      <c r="A113" s="10">
        <v>40114184</v>
      </c>
      <c r="B113" s="10" t="s">
        <v>272</v>
      </c>
      <c r="C113" s="10" t="s">
        <v>273</v>
      </c>
      <c r="D113" s="10" t="s">
        <v>260</v>
      </c>
      <c r="E113" s="3">
        <v>30</v>
      </c>
      <c r="F113" s="3"/>
      <c r="G113" s="3">
        <v>9.5</v>
      </c>
      <c r="H113" s="3">
        <v>7.5</v>
      </c>
      <c r="I113" s="3">
        <v>7.5</v>
      </c>
      <c r="J113" s="3">
        <v>5</v>
      </c>
      <c r="K113" s="58">
        <f t="shared" si="10"/>
        <v>59.5</v>
      </c>
      <c r="L113" s="58">
        <f t="shared" si="11"/>
        <v>29.5</v>
      </c>
    </row>
    <row r="114" spans="1:13" x14ac:dyDescent="0.25">
      <c r="A114" s="10">
        <v>40204915</v>
      </c>
      <c r="B114" s="10" t="s">
        <v>274</v>
      </c>
      <c r="C114" s="10" t="s">
        <v>275</v>
      </c>
      <c r="D114" s="10" t="s">
        <v>260</v>
      </c>
      <c r="E114" s="3">
        <v>30</v>
      </c>
      <c r="F114" s="3"/>
      <c r="G114" s="3">
        <v>12</v>
      </c>
      <c r="H114" s="3">
        <v>7.5</v>
      </c>
      <c r="I114" s="3">
        <v>7.5</v>
      </c>
      <c r="J114" s="3">
        <v>6.5</v>
      </c>
      <c r="K114" s="58">
        <f t="shared" si="10"/>
        <v>63.5</v>
      </c>
      <c r="L114" s="58">
        <f t="shared" si="11"/>
        <v>33.5</v>
      </c>
    </row>
    <row r="115" spans="1:13" x14ac:dyDescent="0.25">
      <c r="A115" s="10">
        <v>20610013</v>
      </c>
      <c r="B115" s="10" t="s">
        <v>276</v>
      </c>
      <c r="C115" s="10" t="s">
        <v>277</v>
      </c>
      <c r="D115" s="10" t="s">
        <v>253</v>
      </c>
      <c r="E115" s="3">
        <v>22.5</v>
      </c>
      <c r="F115" s="3"/>
      <c r="G115" s="3">
        <v>7.5</v>
      </c>
      <c r="H115" s="3">
        <v>7.5</v>
      </c>
      <c r="I115" s="3">
        <v>7.5</v>
      </c>
      <c r="J115" s="3">
        <v>4</v>
      </c>
      <c r="K115" s="58">
        <f t="shared" si="10"/>
        <v>49</v>
      </c>
      <c r="L115" s="58">
        <f t="shared" si="11"/>
        <v>26.5</v>
      </c>
    </row>
    <row r="116" spans="1:13" x14ac:dyDescent="0.25">
      <c r="A116" s="10">
        <v>25002113</v>
      </c>
      <c r="B116" s="10" t="s">
        <v>278</v>
      </c>
      <c r="C116" s="10" t="s">
        <v>279</v>
      </c>
      <c r="D116" s="10" t="s">
        <v>263</v>
      </c>
      <c r="E116" s="3">
        <v>30</v>
      </c>
      <c r="F116" s="3"/>
      <c r="G116" s="3">
        <v>9</v>
      </c>
      <c r="H116" s="3">
        <v>7.5</v>
      </c>
      <c r="I116" s="3">
        <v>7.5</v>
      </c>
      <c r="J116" s="3">
        <v>6</v>
      </c>
      <c r="K116" s="58">
        <f t="shared" si="10"/>
        <v>60</v>
      </c>
      <c r="L116" s="58">
        <f t="shared" si="11"/>
        <v>30</v>
      </c>
    </row>
    <row r="117" spans="1:13" x14ac:dyDescent="0.25">
      <c r="A117" s="10">
        <v>40200086</v>
      </c>
      <c r="B117" s="10" t="s">
        <v>280</v>
      </c>
      <c r="C117" s="10" t="s">
        <v>281</v>
      </c>
      <c r="D117" s="10" t="s">
        <v>260</v>
      </c>
      <c r="E117" s="3">
        <v>22.5</v>
      </c>
      <c r="F117" s="3"/>
      <c r="G117" s="3">
        <v>9</v>
      </c>
      <c r="H117" s="3">
        <v>7.5</v>
      </c>
      <c r="I117" s="3">
        <v>7.5</v>
      </c>
      <c r="J117" s="3">
        <v>6</v>
      </c>
      <c r="K117" s="58">
        <f t="shared" si="10"/>
        <v>52.5</v>
      </c>
      <c r="L117" s="58">
        <f t="shared" si="11"/>
        <v>30</v>
      </c>
    </row>
    <row r="118" spans="1:13" x14ac:dyDescent="0.25">
      <c r="A118" s="10">
        <v>80018248</v>
      </c>
      <c r="B118" s="10" t="s">
        <v>282</v>
      </c>
      <c r="C118" s="10" t="s">
        <v>283</v>
      </c>
      <c r="D118" s="10" t="s">
        <v>250</v>
      </c>
      <c r="E118" s="3">
        <v>30</v>
      </c>
      <c r="F118" s="3"/>
      <c r="G118" s="3">
        <v>10.5</v>
      </c>
      <c r="H118" s="3"/>
      <c r="I118" s="3">
        <v>15</v>
      </c>
      <c r="J118" s="3">
        <v>5</v>
      </c>
      <c r="K118" s="58">
        <f t="shared" si="10"/>
        <v>60.5</v>
      </c>
      <c r="L118" s="58">
        <f t="shared" si="11"/>
        <v>30.5</v>
      </c>
    </row>
    <row r="119" spans="1:13" x14ac:dyDescent="0.25">
      <c r="A119" s="10">
        <v>25002095</v>
      </c>
      <c r="B119" s="10" t="s">
        <v>284</v>
      </c>
      <c r="C119" s="10" t="s">
        <v>285</v>
      </c>
      <c r="D119" s="10" t="s">
        <v>263</v>
      </c>
      <c r="E119" s="3">
        <v>30</v>
      </c>
      <c r="F119" s="3"/>
      <c r="G119" s="3">
        <v>12</v>
      </c>
      <c r="H119" s="3"/>
      <c r="I119" s="3"/>
      <c r="J119" s="3"/>
      <c r="K119" s="58">
        <f t="shared" si="10"/>
        <v>42</v>
      </c>
      <c r="L119" s="58">
        <f t="shared" si="11"/>
        <v>12</v>
      </c>
    </row>
    <row r="120" spans="1:13" x14ac:dyDescent="0.25">
      <c r="A120" s="10">
        <v>40219005</v>
      </c>
      <c r="B120" s="10" t="s">
        <v>286</v>
      </c>
      <c r="C120" s="10" t="s">
        <v>287</v>
      </c>
      <c r="D120" s="10" t="s">
        <v>250</v>
      </c>
      <c r="E120" s="3">
        <v>30</v>
      </c>
      <c r="F120" s="3"/>
      <c r="G120" s="3">
        <v>7.5</v>
      </c>
      <c r="H120" s="3">
        <v>7.5</v>
      </c>
      <c r="I120" s="3">
        <v>7.5</v>
      </c>
      <c r="J120" s="3">
        <v>6</v>
      </c>
      <c r="K120" s="58">
        <f t="shared" si="10"/>
        <v>58.5</v>
      </c>
      <c r="L120" s="58">
        <f>G120+H120+I120+J120</f>
        <v>28.5</v>
      </c>
    </row>
    <row r="121" spans="1:13" x14ac:dyDescent="0.25">
      <c r="A121" s="10" t="s">
        <v>321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M121" s="10"/>
    </row>
    <row r="122" spans="1:13" x14ac:dyDescent="0.25">
      <c r="A122" s="10" t="s">
        <v>237</v>
      </c>
      <c r="B122" s="10" t="s">
        <v>238</v>
      </c>
      <c r="C122" s="10" t="s">
        <v>239</v>
      </c>
      <c r="D122" s="10" t="s">
        <v>240</v>
      </c>
      <c r="E122" s="3" t="s">
        <v>241</v>
      </c>
      <c r="F122" s="3" t="s">
        <v>242</v>
      </c>
      <c r="G122" s="3" t="s">
        <v>243</v>
      </c>
      <c r="H122" s="3" t="s">
        <v>244</v>
      </c>
      <c r="I122" s="3" t="s">
        <v>245</v>
      </c>
      <c r="J122" s="3" t="s">
        <v>246</v>
      </c>
      <c r="K122" s="56" t="s">
        <v>247</v>
      </c>
      <c r="L122" s="57" t="s">
        <v>328</v>
      </c>
    </row>
    <row r="123" spans="1:13" x14ac:dyDescent="0.25">
      <c r="A123" s="10">
        <v>20610787</v>
      </c>
      <c r="B123" s="10" t="s">
        <v>251</v>
      </c>
      <c r="C123" s="10" t="s">
        <v>252</v>
      </c>
      <c r="D123" s="10" t="s">
        <v>253</v>
      </c>
      <c r="E123" s="3">
        <v>37.479999999999997</v>
      </c>
      <c r="F123" s="3">
        <v>7.5</v>
      </c>
      <c r="G123" s="3">
        <v>17</v>
      </c>
      <c r="H123" s="3"/>
      <c r="I123" s="3"/>
      <c r="J123" s="3">
        <v>3</v>
      </c>
      <c r="K123" s="58">
        <f>E123+F123+G123+J123</f>
        <v>64.97999999999999</v>
      </c>
      <c r="L123" s="58">
        <f>F123+G123+J123</f>
        <v>27.5</v>
      </c>
    </row>
    <row r="124" spans="1:13" x14ac:dyDescent="0.25">
      <c r="A124" s="10">
        <v>80067786</v>
      </c>
      <c r="B124" s="10" t="s">
        <v>254</v>
      </c>
      <c r="C124" s="10" t="s">
        <v>255</v>
      </c>
      <c r="D124" s="10" t="s">
        <v>250</v>
      </c>
      <c r="E124" s="3">
        <v>37.5</v>
      </c>
      <c r="F124" s="3"/>
      <c r="G124" s="3">
        <v>10.5</v>
      </c>
      <c r="H124" s="3"/>
      <c r="I124" s="3"/>
      <c r="J124" s="3"/>
      <c r="K124" s="58">
        <f>E124+F124+G124+J124</f>
        <v>48</v>
      </c>
      <c r="L124" s="58">
        <f t="shared" ref="L124:L140" si="12">F124+G124+J124</f>
        <v>10.5</v>
      </c>
    </row>
    <row r="125" spans="1:13" x14ac:dyDescent="0.25">
      <c r="A125" s="10">
        <v>40219006</v>
      </c>
      <c r="B125" s="10" t="s">
        <v>256</v>
      </c>
      <c r="C125" s="10" t="s">
        <v>257</v>
      </c>
      <c r="D125" s="10" t="s">
        <v>250</v>
      </c>
      <c r="E125" s="3">
        <v>37.5</v>
      </c>
      <c r="F125" s="3">
        <v>7.5</v>
      </c>
      <c r="G125" s="3">
        <v>9.5</v>
      </c>
      <c r="H125" s="3"/>
      <c r="I125" s="3"/>
      <c r="J125" s="3">
        <v>3</v>
      </c>
      <c r="K125" s="58">
        <f t="shared" ref="K125:K138" si="13">E125+F125+G125+J125</f>
        <v>57.5</v>
      </c>
      <c r="L125" s="58">
        <f t="shared" si="12"/>
        <v>20</v>
      </c>
    </row>
    <row r="126" spans="1:13" x14ac:dyDescent="0.25">
      <c r="A126" s="10">
        <v>20612983</v>
      </c>
      <c r="B126" s="10" t="s">
        <v>258</v>
      </c>
      <c r="C126" s="10" t="s">
        <v>259</v>
      </c>
      <c r="D126" s="10" t="s">
        <v>260</v>
      </c>
      <c r="E126" s="3">
        <v>37.5</v>
      </c>
      <c r="F126" s="3">
        <v>7.5</v>
      </c>
      <c r="G126" s="3">
        <v>15.5</v>
      </c>
      <c r="H126" s="3"/>
      <c r="I126" s="3"/>
      <c r="J126" s="3">
        <v>3</v>
      </c>
      <c r="K126" s="58">
        <f t="shared" si="13"/>
        <v>63.5</v>
      </c>
      <c r="L126" s="58">
        <f t="shared" si="12"/>
        <v>26</v>
      </c>
    </row>
    <row r="127" spans="1:13" x14ac:dyDescent="0.25">
      <c r="A127" s="10">
        <v>25002121</v>
      </c>
      <c r="B127" s="10" t="s">
        <v>261</v>
      </c>
      <c r="C127" s="10" t="s">
        <v>262</v>
      </c>
      <c r="D127" s="10" t="s">
        <v>263</v>
      </c>
      <c r="E127" s="3">
        <v>37.5</v>
      </c>
      <c r="F127" s="3">
        <v>7.5</v>
      </c>
      <c r="G127" s="3">
        <v>13.5</v>
      </c>
      <c r="H127" s="3"/>
      <c r="I127" s="3"/>
      <c r="J127" s="3">
        <v>3</v>
      </c>
      <c r="K127" s="58">
        <f t="shared" si="13"/>
        <v>61.5</v>
      </c>
      <c r="L127" s="58">
        <f t="shared" si="12"/>
        <v>24</v>
      </c>
    </row>
    <row r="128" spans="1:13" x14ac:dyDescent="0.25">
      <c r="A128" s="10">
        <v>40157890</v>
      </c>
      <c r="B128" s="10" t="s">
        <v>264</v>
      </c>
      <c r="C128" s="10" t="s">
        <v>265</v>
      </c>
      <c r="D128" s="10" t="s">
        <v>260</v>
      </c>
      <c r="E128" s="3">
        <v>37.5</v>
      </c>
      <c r="F128" s="3">
        <v>7.5</v>
      </c>
      <c r="G128" s="3">
        <v>15</v>
      </c>
      <c r="H128" s="3"/>
      <c r="I128" s="3"/>
      <c r="J128" s="3">
        <v>3</v>
      </c>
      <c r="K128" s="58">
        <f t="shared" si="13"/>
        <v>63</v>
      </c>
      <c r="L128" s="58">
        <f t="shared" si="12"/>
        <v>25.5</v>
      </c>
    </row>
    <row r="129" spans="1:12" x14ac:dyDescent="0.25">
      <c r="A129" s="10">
        <v>20612249</v>
      </c>
      <c r="B129" s="10" t="s">
        <v>266</v>
      </c>
      <c r="C129" s="10" t="s">
        <v>267</v>
      </c>
      <c r="D129" s="10" t="s">
        <v>253</v>
      </c>
      <c r="E129" s="3">
        <v>15</v>
      </c>
      <c r="F129" s="3">
        <v>7.5</v>
      </c>
      <c r="G129" s="3">
        <v>4.5</v>
      </c>
      <c r="H129" s="3"/>
      <c r="I129" s="3"/>
      <c r="J129" s="3">
        <v>3</v>
      </c>
      <c r="K129" s="58">
        <f t="shared" si="13"/>
        <v>30</v>
      </c>
      <c r="L129" s="58">
        <f>F129+G129+J129</f>
        <v>15</v>
      </c>
    </row>
    <row r="130" spans="1:12" x14ac:dyDescent="0.25">
      <c r="A130" s="10">
        <v>40204913</v>
      </c>
      <c r="B130" s="10" t="s">
        <v>268</v>
      </c>
      <c r="C130" s="10" t="s">
        <v>269</v>
      </c>
      <c r="D130" s="10" t="s">
        <v>250</v>
      </c>
      <c r="E130" s="3">
        <v>37.5</v>
      </c>
      <c r="F130" s="3">
        <v>7.5</v>
      </c>
      <c r="G130" s="3">
        <v>14</v>
      </c>
      <c r="H130" s="3"/>
      <c r="I130" s="3"/>
      <c r="J130" s="3">
        <v>3</v>
      </c>
      <c r="K130" s="58">
        <f t="shared" si="13"/>
        <v>62</v>
      </c>
      <c r="L130" s="58">
        <f t="shared" si="12"/>
        <v>24.5</v>
      </c>
    </row>
    <row r="131" spans="1:12" x14ac:dyDescent="0.25">
      <c r="A131" s="10">
        <v>40021970</v>
      </c>
      <c r="B131" s="10" t="s">
        <v>270</v>
      </c>
      <c r="C131" s="10" t="s">
        <v>271</v>
      </c>
      <c r="D131" s="10" t="s">
        <v>260</v>
      </c>
      <c r="E131" s="3">
        <v>37.5</v>
      </c>
      <c r="F131" s="3">
        <v>7.5</v>
      </c>
      <c r="G131" s="3">
        <v>14</v>
      </c>
      <c r="H131" s="3"/>
      <c r="I131" s="3"/>
      <c r="J131" s="3">
        <v>3</v>
      </c>
      <c r="K131" s="58">
        <f t="shared" si="13"/>
        <v>62</v>
      </c>
      <c r="L131" s="58">
        <f t="shared" si="12"/>
        <v>24.5</v>
      </c>
    </row>
    <row r="132" spans="1:12" x14ac:dyDescent="0.25">
      <c r="A132" s="10">
        <v>40114184</v>
      </c>
      <c r="B132" s="10" t="s">
        <v>272</v>
      </c>
      <c r="C132" s="10" t="s">
        <v>273</v>
      </c>
      <c r="D132" s="10" t="s">
        <v>260</v>
      </c>
      <c r="E132" s="3">
        <v>37.5</v>
      </c>
      <c r="F132" s="3">
        <v>7.5</v>
      </c>
      <c r="G132" s="3">
        <v>12</v>
      </c>
      <c r="H132" s="3"/>
      <c r="I132" s="3"/>
      <c r="J132" s="3">
        <v>3</v>
      </c>
      <c r="K132" s="58">
        <f t="shared" si="13"/>
        <v>60</v>
      </c>
      <c r="L132" s="58">
        <f t="shared" si="12"/>
        <v>22.5</v>
      </c>
    </row>
    <row r="133" spans="1:12" x14ac:dyDescent="0.25">
      <c r="A133" s="10">
        <v>40204915</v>
      </c>
      <c r="B133" s="10" t="s">
        <v>274</v>
      </c>
      <c r="C133" s="10" t="s">
        <v>275</v>
      </c>
      <c r="D133" s="10" t="s">
        <v>260</v>
      </c>
      <c r="E133" s="3">
        <v>37.5</v>
      </c>
      <c r="F133" s="3">
        <v>7.5</v>
      </c>
      <c r="G133" s="3">
        <v>12.5</v>
      </c>
      <c r="H133" s="3"/>
      <c r="I133" s="3"/>
      <c r="J133" s="3">
        <v>3</v>
      </c>
      <c r="K133" s="58">
        <f t="shared" si="13"/>
        <v>60.5</v>
      </c>
      <c r="L133" s="58">
        <f t="shared" si="12"/>
        <v>23</v>
      </c>
    </row>
    <row r="134" spans="1:12" x14ac:dyDescent="0.25">
      <c r="A134" s="10">
        <v>20610013</v>
      </c>
      <c r="B134" s="10" t="s">
        <v>276</v>
      </c>
      <c r="C134" s="10" t="s">
        <v>277</v>
      </c>
      <c r="D134" s="10" t="s">
        <v>253</v>
      </c>
      <c r="E134" s="3">
        <v>37.5</v>
      </c>
      <c r="F134" s="3">
        <v>7.5</v>
      </c>
      <c r="G134" s="3">
        <v>15</v>
      </c>
      <c r="H134" s="3"/>
      <c r="I134" s="3"/>
      <c r="J134" s="3">
        <v>3</v>
      </c>
      <c r="K134" s="58">
        <f t="shared" si="13"/>
        <v>63</v>
      </c>
      <c r="L134" s="58">
        <f t="shared" si="12"/>
        <v>25.5</v>
      </c>
    </row>
    <row r="135" spans="1:12" x14ac:dyDescent="0.25">
      <c r="A135" s="10">
        <v>25002113</v>
      </c>
      <c r="B135" s="10" t="s">
        <v>278</v>
      </c>
      <c r="C135" s="10" t="s">
        <v>279</v>
      </c>
      <c r="D135" s="10" t="s">
        <v>263</v>
      </c>
      <c r="E135" s="3">
        <v>37.5</v>
      </c>
      <c r="F135" s="3"/>
      <c r="G135" s="3">
        <v>15</v>
      </c>
      <c r="H135" s="3"/>
      <c r="I135" s="3"/>
      <c r="J135" s="3"/>
      <c r="K135" s="58">
        <f t="shared" si="13"/>
        <v>52.5</v>
      </c>
      <c r="L135" s="58">
        <f t="shared" si="12"/>
        <v>15</v>
      </c>
    </row>
    <row r="136" spans="1:12" x14ac:dyDescent="0.25">
      <c r="A136" s="10">
        <v>40192062</v>
      </c>
      <c r="B136" s="10" t="s">
        <v>322</v>
      </c>
      <c r="C136" s="10" t="s">
        <v>323</v>
      </c>
      <c r="D136" s="10" t="s">
        <v>250</v>
      </c>
      <c r="E136" s="3">
        <v>37.5</v>
      </c>
      <c r="F136" s="3">
        <v>15</v>
      </c>
      <c r="G136" s="3">
        <v>12</v>
      </c>
      <c r="H136" s="3"/>
      <c r="I136" s="3"/>
      <c r="J136" s="3">
        <v>6</v>
      </c>
      <c r="K136" s="58">
        <f t="shared" si="13"/>
        <v>70.5</v>
      </c>
      <c r="L136" s="58">
        <f t="shared" si="12"/>
        <v>33</v>
      </c>
    </row>
    <row r="137" spans="1:12" x14ac:dyDescent="0.25">
      <c r="A137" s="10">
        <v>40200086</v>
      </c>
      <c r="B137" s="10" t="s">
        <v>280</v>
      </c>
      <c r="C137" s="10" t="s">
        <v>281</v>
      </c>
      <c r="D137" s="10" t="s">
        <v>260</v>
      </c>
      <c r="E137" s="3">
        <v>37.5</v>
      </c>
      <c r="F137" s="3">
        <v>7.5</v>
      </c>
      <c r="G137" s="3">
        <v>15</v>
      </c>
      <c r="H137" s="3"/>
      <c r="I137" s="3"/>
      <c r="J137" s="3">
        <v>3</v>
      </c>
      <c r="K137" s="58">
        <f t="shared" si="13"/>
        <v>63</v>
      </c>
      <c r="L137" s="58">
        <f t="shared" si="12"/>
        <v>25.5</v>
      </c>
    </row>
    <row r="138" spans="1:12" x14ac:dyDescent="0.25">
      <c r="A138" s="10">
        <v>80018248</v>
      </c>
      <c r="B138" s="10" t="s">
        <v>282</v>
      </c>
      <c r="C138" s="10" t="s">
        <v>283</v>
      </c>
      <c r="D138" s="10" t="s">
        <v>250</v>
      </c>
      <c r="E138" s="3">
        <v>30</v>
      </c>
      <c r="F138" s="3">
        <v>7.5</v>
      </c>
      <c r="G138" s="3">
        <v>9.5</v>
      </c>
      <c r="H138" s="3"/>
      <c r="I138" s="3"/>
      <c r="J138" s="3">
        <v>3</v>
      </c>
      <c r="K138" s="58">
        <f t="shared" si="13"/>
        <v>50</v>
      </c>
      <c r="L138" s="58">
        <f t="shared" si="12"/>
        <v>20</v>
      </c>
    </row>
    <row r="139" spans="1:12" x14ac:dyDescent="0.25">
      <c r="A139" s="10">
        <v>25002095</v>
      </c>
      <c r="B139" s="10" t="s">
        <v>284</v>
      </c>
      <c r="C139" s="10" t="s">
        <v>285</v>
      </c>
      <c r="D139" s="10" t="s">
        <v>263</v>
      </c>
      <c r="E139" s="3">
        <v>34</v>
      </c>
      <c r="F139" s="3">
        <v>7.5</v>
      </c>
      <c r="G139" s="3">
        <v>6.5</v>
      </c>
      <c r="H139" s="3"/>
      <c r="I139" s="3"/>
      <c r="J139" s="3">
        <v>3</v>
      </c>
      <c r="K139" s="58">
        <f>E139+F139+G139+J139</f>
        <v>51</v>
      </c>
      <c r="L139" s="58">
        <f t="shared" si="12"/>
        <v>17</v>
      </c>
    </row>
    <row r="140" spans="1:12" x14ac:dyDescent="0.25">
      <c r="A140" s="10">
        <v>40219005</v>
      </c>
      <c r="B140" s="10" t="s">
        <v>286</v>
      </c>
      <c r="C140" s="10" t="s">
        <v>287</v>
      </c>
      <c r="D140" s="10" t="s">
        <v>250</v>
      </c>
      <c r="E140" s="3">
        <v>30</v>
      </c>
      <c r="F140" s="3">
        <v>7.5</v>
      </c>
      <c r="G140" s="3">
        <v>12</v>
      </c>
      <c r="H140" s="3"/>
      <c r="I140" s="3"/>
      <c r="J140" s="3">
        <v>3</v>
      </c>
      <c r="K140" s="58">
        <f>E140+F140+G140+J140</f>
        <v>52.5</v>
      </c>
      <c r="L140" s="58">
        <f t="shared" si="12"/>
        <v>22.5</v>
      </c>
    </row>
    <row r="141" spans="1:12" x14ac:dyDescent="0.25">
      <c r="A141" s="11" t="s">
        <v>326</v>
      </c>
      <c r="B141" s="13"/>
      <c r="C141" s="13"/>
    </row>
    <row r="142" spans="1:12" x14ac:dyDescent="0.25">
      <c r="A142" s="10" t="s">
        <v>237</v>
      </c>
      <c r="B142" t="s">
        <v>238</v>
      </c>
      <c r="C142" t="s">
        <v>239</v>
      </c>
      <c r="D142" s="7" t="s">
        <v>240</v>
      </c>
      <c r="E142" s="7" t="s">
        <v>241</v>
      </c>
      <c r="F142" s="7" t="s">
        <v>242</v>
      </c>
      <c r="G142" s="7" t="s">
        <v>243</v>
      </c>
      <c r="H142" s="54" t="s">
        <v>245</v>
      </c>
      <c r="I142" s="54" t="s">
        <v>244</v>
      </c>
      <c r="J142" s="3" t="s">
        <v>246</v>
      </c>
      <c r="K142" s="56" t="s">
        <v>247</v>
      </c>
      <c r="L142" s="57" t="s">
        <v>328</v>
      </c>
    </row>
    <row r="143" spans="1:12" x14ac:dyDescent="0.25">
      <c r="A143" s="62">
        <v>40187982</v>
      </c>
      <c r="B143" t="s">
        <v>248</v>
      </c>
      <c r="C143" t="s">
        <v>249</v>
      </c>
      <c r="D143" s="7" t="s">
        <v>250</v>
      </c>
      <c r="E143" s="7">
        <v>37.5</v>
      </c>
      <c r="F143" s="7">
        <v>7.5</v>
      </c>
      <c r="G143" s="7">
        <v>14</v>
      </c>
      <c r="H143"/>
      <c r="I143"/>
      <c r="J143" s="3">
        <v>3</v>
      </c>
      <c r="K143" s="58">
        <f>E143+F143+G143+J143</f>
        <v>62</v>
      </c>
      <c r="L143" s="58">
        <f>F143+G143+J143</f>
        <v>24.5</v>
      </c>
    </row>
    <row r="144" spans="1:12" x14ac:dyDescent="0.25">
      <c r="A144" s="62">
        <v>20610787</v>
      </c>
      <c r="B144" t="s">
        <v>251</v>
      </c>
      <c r="C144" t="s">
        <v>252</v>
      </c>
      <c r="D144" s="7" t="s">
        <v>253</v>
      </c>
      <c r="E144" s="7">
        <v>37.5</v>
      </c>
      <c r="F144" s="7">
        <v>7.48</v>
      </c>
      <c r="G144" s="7">
        <v>13.5</v>
      </c>
      <c r="H144"/>
      <c r="I144"/>
      <c r="J144" s="3">
        <v>3</v>
      </c>
      <c r="K144" s="58">
        <f t="shared" ref="K144:K160" si="14">E144+F144+G144+J144</f>
        <v>61.480000000000004</v>
      </c>
      <c r="L144" s="58">
        <f>F144+G144+J144</f>
        <v>23.98</v>
      </c>
    </row>
    <row r="145" spans="1:12" x14ac:dyDescent="0.25">
      <c r="A145" s="62">
        <v>80067786</v>
      </c>
      <c r="B145" t="s">
        <v>254</v>
      </c>
      <c r="C145" t="s">
        <v>255</v>
      </c>
      <c r="D145" s="7" t="s">
        <v>250</v>
      </c>
      <c r="E145" s="7">
        <v>30</v>
      </c>
      <c r="F145" s="7">
        <v>7.5</v>
      </c>
      <c r="G145" s="7">
        <v>12</v>
      </c>
      <c r="H145"/>
      <c r="I145"/>
      <c r="J145" s="3">
        <v>3</v>
      </c>
      <c r="K145" s="58">
        <f t="shared" si="14"/>
        <v>52.5</v>
      </c>
      <c r="L145" s="58">
        <f t="shared" ref="L145:L160" si="15">F145+G145+J145</f>
        <v>22.5</v>
      </c>
    </row>
    <row r="146" spans="1:12" x14ac:dyDescent="0.25">
      <c r="A146" s="62">
        <v>40219006</v>
      </c>
      <c r="B146" t="s">
        <v>256</v>
      </c>
      <c r="C146" t="s">
        <v>257</v>
      </c>
      <c r="D146" s="7" t="s">
        <v>250</v>
      </c>
      <c r="E146" s="7">
        <v>37.5</v>
      </c>
      <c r="G146" s="7">
        <v>14.5</v>
      </c>
      <c r="H146"/>
      <c r="I146"/>
      <c r="J146" s="3"/>
      <c r="K146" s="58">
        <f t="shared" si="14"/>
        <v>52</v>
      </c>
      <c r="L146" s="58">
        <f t="shared" si="15"/>
        <v>14.5</v>
      </c>
    </row>
    <row r="147" spans="1:12" x14ac:dyDescent="0.25">
      <c r="A147" s="62">
        <v>20612983</v>
      </c>
      <c r="B147" t="s">
        <v>258</v>
      </c>
      <c r="C147" t="s">
        <v>259</v>
      </c>
      <c r="D147" s="7" t="s">
        <v>260</v>
      </c>
      <c r="E147" s="7">
        <v>37.5</v>
      </c>
      <c r="F147" s="7">
        <v>7.5</v>
      </c>
      <c r="G147" s="7">
        <v>11</v>
      </c>
      <c r="H147"/>
      <c r="I147"/>
      <c r="J147" s="3">
        <v>3</v>
      </c>
      <c r="K147" s="58">
        <f t="shared" si="14"/>
        <v>59</v>
      </c>
      <c r="L147" s="58">
        <f t="shared" si="15"/>
        <v>21.5</v>
      </c>
    </row>
    <row r="148" spans="1:12" x14ac:dyDescent="0.25">
      <c r="A148" s="62">
        <v>25002121</v>
      </c>
      <c r="B148" t="s">
        <v>261</v>
      </c>
      <c r="C148" t="s">
        <v>262</v>
      </c>
      <c r="D148" s="7" t="s">
        <v>263</v>
      </c>
      <c r="E148" s="7">
        <v>37.5</v>
      </c>
      <c r="F148" s="7">
        <v>7.5</v>
      </c>
      <c r="G148" s="7">
        <v>9</v>
      </c>
      <c r="H148"/>
      <c r="I148"/>
      <c r="J148" s="3">
        <v>3</v>
      </c>
      <c r="K148" s="58">
        <f t="shared" si="14"/>
        <v>57</v>
      </c>
      <c r="L148" s="58">
        <f t="shared" si="15"/>
        <v>19.5</v>
      </c>
    </row>
    <row r="149" spans="1:12" x14ac:dyDescent="0.25">
      <c r="A149" s="62">
        <v>40157890</v>
      </c>
      <c r="B149" t="s">
        <v>264</v>
      </c>
      <c r="C149" t="s">
        <v>265</v>
      </c>
      <c r="D149" s="7" t="s">
        <v>260</v>
      </c>
      <c r="E149" s="7">
        <v>37.5</v>
      </c>
      <c r="F149" s="7">
        <v>7.5</v>
      </c>
      <c r="G149" s="7">
        <v>13.5</v>
      </c>
      <c r="H149"/>
      <c r="I149"/>
      <c r="J149" s="3">
        <v>3</v>
      </c>
      <c r="K149" s="58">
        <f t="shared" si="14"/>
        <v>61.5</v>
      </c>
      <c r="L149" s="58">
        <f t="shared" si="15"/>
        <v>24</v>
      </c>
    </row>
    <row r="150" spans="1:12" x14ac:dyDescent="0.25">
      <c r="A150" s="62">
        <v>20612249</v>
      </c>
      <c r="B150" t="s">
        <v>266</v>
      </c>
      <c r="C150" t="s">
        <v>267</v>
      </c>
      <c r="D150" s="7" t="s">
        <v>253</v>
      </c>
      <c r="E150" s="7">
        <v>22.5</v>
      </c>
      <c r="F150" s="7">
        <v>15</v>
      </c>
      <c r="G150" s="7">
        <v>9</v>
      </c>
      <c r="H150"/>
      <c r="I150"/>
      <c r="J150" s="3">
        <v>4</v>
      </c>
      <c r="K150" s="58">
        <f t="shared" si="14"/>
        <v>50.5</v>
      </c>
      <c r="L150" s="58">
        <f t="shared" si="15"/>
        <v>28</v>
      </c>
    </row>
    <row r="151" spans="1:12" x14ac:dyDescent="0.25">
      <c r="A151" s="62">
        <v>40204913</v>
      </c>
      <c r="B151" t="s">
        <v>268</v>
      </c>
      <c r="C151" t="s">
        <v>269</v>
      </c>
      <c r="D151" s="7" t="s">
        <v>250</v>
      </c>
      <c r="E151" s="7">
        <v>30</v>
      </c>
      <c r="F151" s="7">
        <v>7.5</v>
      </c>
      <c r="G151" s="7">
        <v>10.5</v>
      </c>
      <c r="H151"/>
      <c r="I151"/>
      <c r="J151" s="3">
        <v>1.5</v>
      </c>
      <c r="K151" s="58">
        <f t="shared" si="14"/>
        <v>49.5</v>
      </c>
      <c r="L151" s="58">
        <f t="shared" si="15"/>
        <v>19.5</v>
      </c>
    </row>
    <row r="152" spans="1:12" x14ac:dyDescent="0.25">
      <c r="A152" s="62">
        <v>40021970</v>
      </c>
      <c r="B152" t="s">
        <v>270</v>
      </c>
      <c r="C152" t="s">
        <v>271</v>
      </c>
      <c r="D152" s="7" t="s">
        <v>260</v>
      </c>
      <c r="E152" s="7">
        <v>37.5</v>
      </c>
      <c r="G152" s="7">
        <v>12.5</v>
      </c>
      <c r="H152"/>
      <c r="I152"/>
      <c r="J152" s="3"/>
      <c r="K152" s="58">
        <f t="shared" si="14"/>
        <v>50</v>
      </c>
      <c r="L152" s="58">
        <f t="shared" si="15"/>
        <v>12.5</v>
      </c>
    </row>
    <row r="153" spans="1:12" x14ac:dyDescent="0.25">
      <c r="A153" s="62">
        <v>40114184</v>
      </c>
      <c r="B153" t="s">
        <v>272</v>
      </c>
      <c r="C153" t="s">
        <v>273</v>
      </c>
      <c r="D153" s="7" t="s">
        <v>260</v>
      </c>
      <c r="E153" s="7">
        <v>30</v>
      </c>
      <c r="F153" s="7">
        <v>7.5</v>
      </c>
      <c r="G153" s="7">
        <v>12</v>
      </c>
      <c r="H153"/>
      <c r="I153"/>
      <c r="J153" s="3">
        <v>3</v>
      </c>
      <c r="K153" s="58">
        <f t="shared" si="14"/>
        <v>52.5</v>
      </c>
      <c r="L153" s="58">
        <f t="shared" si="15"/>
        <v>22.5</v>
      </c>
    </row>
    <row r="154" spans="1:12" x14ac:dyDescent="0.25">
      <c r="A154" s="62">
        <v>40204915</v>
      </c>
      <c r="B154" t="s">
        <v>274</v>
      </c>
      <c r="C154" t="s">
        <v>275</v>
      </c>
      <c r="D154" s="7" t="s">
        <v>260</v>
      </c>
      <c r="E154" s="7">
        <v>37.5</v>
      </c>
      <c r="F154" s="7">
        <v>7.5</v>
      </c>
      <c r="G154" s="7">
        <v>13</v>
      </c>
      <c r="H154"/>
      <c r="I154"/>
      <c r="J154" s="3">
        <v>3</v>
      </c>
      <c r="K154" s="58">
        <f t="shared" si="14"/>
        <v>61</v>
      </c>
      <c r="L154" s="58">
        <f t="shared" si="15"/>
        <v>23.5</v>
      </c>
    </row>
    <row r="155" spans="1:12" x14ac:dyDescent="0.25">
      <c r="A155" s="62">
        <v>20610013</v>
      </c>
      <c r="B155" t="s">
        <v>276</v>
      </c>
      <c r="C155" t="s">
        <v>277</v>
      </c>
      <c r="D155" s="7" t="s">
        <v>253</v>
      </c>
      <c r="E155" s="7">
        <v>37.5</v>
      </c>
      <c r="F155" s="7">
        <v>7.5</v>
      </c>
      <c r="G155" s="7">
        <v>10.5</v>
      </c>
      <c r="H155"/>
      <c r="I155"/>
      <c r="J155" s="3">
        <v>3</v>
      </c>
      <c r="K155" s="58">
        <f t="shared" si="14"/>
        <v>58.5</v>
      </c>
      <c r="L155" s="58">
        <f t="shared" si="15"/>
        <v>21</v>
      </c>
    </row>
    <row r="156" spans="1:12" x14ac:dyDescent="0.25">
      <c r="A156" s="62">
        <v>25002113</v>
      </c>
      <c r="B156" t="s">
        <v>278</v>
      </c>
      <c r="C156" t="s">
        <v>279</v>
      </c>
      <c r="D156" s="7" t="s">
        <v>263</v>
      </c>
      <c r="E156" s="7">
        <v>37.5</v>
      </c>
      <c r="F156" s="7">
        <v>7.5</v>
      </c>
      <c r="G156" s="7">
        <v>18</v>
      </c>
      <c r="H156" s="65"/>
      <c r="I156" s="65"/>
      <c r="J156" s="65">
        <v>3</v>
      </c>
      <c r="K156" s="58">
        <f t="shared" si="14"/>
        <v>66</v>
      </c>
      <c r="L156" s="58">
        <f t="shared" si="15"/>
        <v>28.5</v>
      </c>
    </row>
    <row r="157" spans="1:12" x14ac:dyDescent="0.25">
      <c r="A157" s="62">
        <v>40200086</v>
      </c>
      <c r="B157" t="s">
        <v>280</v>
      </c>
      <c r="C157" t="s">
        <v>281</v>
      </c>
      <c r="D157" s="7" t="s">
        <v>260</v>
      </c>
      <c r="E157" s="7">
        <v>30</v>
      </c>
      <c r="F157" s="7">
        <v>7.5</v>
      </c>
      <c r="G157" s="7">
        <v>10.5</v>
      </c>
      <c r="H157"/>
      <c r="I157"/>
      <c r="J157" s="3">
        <v>3</v>
      </c>
      <c r="K157" s="58">
        <f t="shared" si="14"/>
        <v>51</v>
      </c>
      <c r="L157" s="58">
        <f t="shared" si="15"/>
        <v>21</v>
      </c>
    </row>
    <row r="158" spans="1:12" x14ac:dyDescent="0.25">
      <c r="A158" s="62">
        <v>80018248</v>
      </c>
      <c r="B158" t="s">
        <v>282</v>
      </c>
      <c r="C158" t="s">
        <v>283</v>
      </c>
      <c r="D158" s="7" t="s">
        <v>250</v>
      </c>
      <c r="E158" s="7">
        <v>37.5</v>
      </c>
      <c r="F158" s="7">
        <v>7.5</v>
      </c>
      <c r="G158" s="7">
        <v>13.5</v>
      </c>
      <c r="H158"/>
      <c r="I158"/>
      <c r="J158" s="3">
        <v>3</v>
      </c>
      <c r="K158" s="58">
        <f t="shared" si="14"/>
        <v>61.5</v>
      </c>
      <c r="L158" s="58">
        <f t="shared" si="15"/>
        <v>24</v>
      </c>
    </row>
    <row r="159" spans="1:12" x14ac:dyDescent="0.25">
      <c r="A159" s="62">
        <v>25002095</v>
      </c>
      <c r="B159" t="s">
        <v>284</v>
      </c>
      <c r="C159" t="s">
        <v>285</v>
      </c>
      <c r="D159" s="7" t="s">
        <v>263</v>
      </c>
      <c r="E159" s="7">
        <v>30</v>
      </c>
      <c r="G159" s="7">
        <v>9.5</v>
      </c>
      <c r="H159"/>
      <c r="I159"/>
      <c r="J159" s="3"/>
      <c r="K159" s="58">
        <f t="shared" si="14"/>
        <v>39.5</v>
      </c>
      <c r="L159" s="58">
        <f t="shared" si="15"/>
        <v>9.5</v>
      </c>
    </row>
    <row r="160" spans="1:12" x14ac:dyDescent="0.25">
      <c r="A160" s="62">
        <v>40219005</v>
      </c>
      <c r="B160" t="s">
        <v>286</v>
      </c>
      <c r="C160" t="s">
        <v>287</v>
      </c>
      <c r="D160" s="7" t="s">
        <v>250</v>
      </c>
      <c r="E160" s="7">
        <v>37.5</v>
      </c>
      <c r="F160" s="7">
        <v>7.5</v>
      </c>
      <c r="G160" s="7">
        <v>10.5</v>
      </c>
      <c r="H160"/>
      <c r="I160"/>
      <c r="J160" s="3">
        <v>3</v>
      </c>
      <c r="K160" s="58">
        <f t="shared" si="14"/>
        <v>58.5</v>
      </c>
      <c r="L160" s="58">
        <f t="shared" si="15"/>
        <v>21</v>
      </c>
    </row>
    <row r="161" spans="1:12" x14ac:dyDescent="0.25">
      <c r="A161" s="67" t="s">
        <v>341</v>
      </c>
      <c r="B161" s="67"/>
      <c r="C161" s="67"/>
    </row>
    <row r="162" spans="1:12" x14ac:dyDescent="0.25">
      <c r="A162" s="10" t="s">
        <v>237</v>
      </c>
      <c r="B162" t="s">
        <v>238</v>
      </c>
      <c r="C162" t="s">
        <v>239</v>
      </c>
      <c r="D162" s="7" t="s">
        <v>240</v>
      </c>
      <c r="E162" s="7" t="s">
        <v>241</v>
      </c>
      <c r="F162" s="7" t="s">
        <v>242</v>
      </c>
      <c r="G162" s="7" t="s">
        <v>243</v>
      </c>
      <c r="H162" s="65" t="s">
        <v>244</v>
      </c>
      <c r="I162" s="65" t="s">
        <v>245</v>
      </c>
      <c r="J162" s="65" t="s">
        <v>246</v>
      </c>
      <c r="K162" s="56" t="s">
        <v>247</v>
      </c>
      <c r="L162" s="57" t="s">
        <v>328</v>
      </c>
    </row>
    <row r="163" spans="1:12" x14ac:dyDescent="0.25">
      <c r="A163" s="10">
        <v>40187982</v>
      </c>
      <c r="B163" t="s">
        <v>248</v>
      </c>
      <c r="C163" t="s">
        <v>249</v>
      </c>
      <c r="D163" s="7" t="s">
        <v>250</v>
      </c>
      <c r="E163" s="7">
        <v>34</v>
      </c>
      <c r="G163" s="7">
        <v>4.5</v>
      </c>
      <c r="H163" s="65"/>
      <c r="I163" s="65"/>
      <c r="J163" s="65"/>
      <c r="K163" s="58">
        <f>E163+F163+G163+J163</f>
        <v>38.5</v>
      </c>
      <c r="L163" s="58">
        <f>F163+G163+J163</f>
        <v>4.5</v>
      </c>
    </row>
    <row r="164" spans="1:12" x14ac:dyDescent="0.25">
      <c r="A164" s="10">
        <v>20610787</v>
      </c>
      <c r="B164" t="s">
        <v>251</v>
      </c>
      <c r="C164" t="s">
        <v>252</v>
      </c>
      <c r="D164" s="7" t="s">
        <v>253</v>
      </c>
      <c r="E164" s="7">
        <v>37.5</v>
      </c>
      <c r="F164" s="7">
        <v>7.5</v>
      </c>
      <c r="G164" s="7">
        <v>15</v>
      </c>
      <c r="H164" s="65"/>
      <c r="I164" s="65"/>
      <c r="J164" s="65">
        <v>3</v>
      </c>
      <c r="K164" s="58">
        <f t="shared" ref="K164:K179" si="16">E164+F164+G164+J164</f>
        <v>63</v>
      </c>
      <c r="L164" s="58">
        <f>F164+G164+J164</f>
        <v>25.5</v>
      </c>
    </row>
    <row r="165" spans="1:12" x14ac:dyDescent="0.25">
      <c r="A165" s="10">
        <v>80067786</v>
      </c>
      <c r="B165" t="s">
        <v>254</v>
      </c>
      <c r="C165" t="s">
        <v>255</v>
      </c>
      <c r="D165" s="7" t="s">
        <v>250</v>
      </c>
      <c r="E165" s="7">
        <v>37.5</v>
      </c>
      <c r="F165" s="7">
        <v>7.5</v>
      </c>
      <c r="G165" s="7">
        <v>12.5</v>
      </c>
      <c r="H165" s="65"/>
      <c r="I165" s="65"/>
      <c r="J165" s="65">
        <v>3</v>
      </c>
      <c r="K165" s="58">
        <f t="shared" si="16"/>
        <v>60.5</v>
      </c>
      <c r="L165" s="58">
        <f>F165+G165+J165</f>
        <v>23</v>
      </c>
    </row>
    <row r="166" spans="1:12" x14ac:dyDescent="0.25">
      <c r="A166" s="10">
        <v>40219006</v>
      </c>
      <c r="B166" t="s">
        <v>256</v>
      </c>
      <c r="C166" t="s">
        <v>257</v>
      </c>
      <c r="D166" s="7" t="s">
        <v>250</v>
      </c>
      <c r="E166" s="7">
        <v>37.5</v>
      </c>
      <c r="F166" s="7">
        <v>7.5</v>
      </c>
      <c r="G166" s="7">
        <v>14</v>
      </c>
      <c r="H166" s="65"/>
      <c r="I166" s="65"/>
      <c r="J166" s="65">
        <v>3</v>
      </c>
      <c r="K166" s="58">
        <f t="shared" si="16"/>
        <v>62</v>
      </c>
      <c r="L166" s="58">
        <f t="shared" ref="L166:L179" si="17">F166+G166+J166</f>
        <v>24.5</v>
      </c>
    </row>
    <row r="167" spans="1:12" x14ac:dyDescent="0.25">
      <c r="A167" s="10">
        <v>20612983</v>
      </c>
      <c r="B167" t="s">
        <v>258</v>
      </c>
      <c r="C167" t="s">
        <v>259</v>
      </c>
      <c r="D167" s="7" t="s">
        <v>260</v>
      </c>
      <c r="E167" s="7">
        <v>30</v>
      </c>
      <c r="F167" s="7">
        <v>7.5</v>
      </c>
      <c r="G167" s="7">
        <v>12</v>
      </c>
      <c r="H167" s="65"/>
      <c r="I167" s="65"/>
      <c r="J167" s="65">
        <v>3</v>
      </c>
      <c r="K167" s="58">
        <f t="shared" si="16"/>
        <v>52.5</v>
      </c>
      <c r="L167" s="58">
        <f>F167+G167+J167</f>
        <v>22.5</v>
      </c>
    </row>
    <row r="168" spans="1:12" x14ac:dyDescent="0.25">
      <c r="A168" s="10">
        <v>25002121</v>
      </c>
      <c r="B168" t="s">
        <v>261</v>
      </c>
      <c r="C168" t="s">
        <v>262</v>
      </c>
      <c r="D168" s="7" t="s">
        <v>263</v>
      </c>
      <c r="E168" s="7">
        <v>37.5</v>
      </c>
      <c r="F168" s="7">
        <v>7.5</v>
      </c>
      <c r="G168" s="7">
        <v>12</v>
      </c>
      <c r="H168" s="65"/>
      <c r="I168" s="65"/>
      <c r="J168" s="65">
        <v>3</v>
      </c>
      <c r="K168" s="58">
        <f t="shared" si="16"/>
        <v>60</v>
      </c>
      <c r="L168" s="58">
        <f t="shared" si="17"/>
        <v>22.5</v>
      </c>
    </row>
    <row r="169" spans="1:12" x14ac:dyDescent="0.25">
      <c r="A169" s="10">
        <v>40157890</v>
      </c>
      <c r="B169" t="s">
        <v>264</v>
      </c>
      <c r="C169" t="s">
        <v>265</v>
      </c>
      <c r="D169" s="7" t="s">
        <v>260</v>
      </c>
      <c r="E169" s="7">
        <v>30</v>
      </c>
      <c r="F169" s="7">
        <v>7.5</v>
      </c>
      <c r="G169" s="7">
        <v>12</v>
      </c>
      <c r="H169" s="65"/>
      <c r="I169" s="65"/>
      <c r="J169" s="65">
        <v>3</v>
      </c>
      <c r="K169" s="58">
        <f t="shared" si="16"/>
        <v>52.5</v>
      </c>
      <c r="L169" s="58">
        <f t="shared" si="17"/>
        <v>22.5</v>
      </c>
    </row>
    <row r="170" spans="1:12" x14ac:dyDescent="0.25">
      <c r="A170" s="10">
        <v>20612249</v>
      </c>
      <c r="B170" t="s">
        <v>266</v>
      </c>
      <c r="C170" t="s">
        <v>267</v>
      </c>
      <c r="D170" s="7" t="s">
        <v>253</v>
      </c>
      <c r="E170" s="7">
        <v>22.5</v>
      </c>
      <c r="F170" s="7">
        <v>7.5</v>
      </c>
      <c r="G170" s="7">
        <v>5</v>
      </c>
      <c r="H170" s="65"/>
      <c r="I170" s="65"/>
      <c r="J170" s="65">
        <v>3</v>
      </c>
      <c r="K170" s="58">
        <f t="shared" si="16"/>
        <v>38</v>
      </c>
      <c r="L170" s="58">
        <f t="shared" si="17"/>
        <v>15.5</v>
      </c>
    </row>
    <row r="171" spans="1:12" x14ac:dyDescent="0.25">
      <c r="A171" s="10">
        <v>40204913</v>
      </c>
      <c r="B171" t="s">
        <v>268</v>
      </c>
      <c r="C171" t="s">
        <v>269</v>
      </c>
      <c r="D171" s="7" t="s">
        <v>250</v>
      </c>
      <c r="E171" s="7">
        <v>22.5</v>
      </c>
      <c r="F171" s="7">
        <v>7.5</v>
      </c>
      <c r="G171" s="7">
        <v>11.5</v>
      </c>
      <c r="H171" s="65"/>
      <c r="I171" s="65"/>
      <c r="J171" s="65">
        <v>3</v>
      </c>
      <c r="K171" s="58">
        <f t="shared" si="16"/>
        <v>44.5</v>
      </c>
      <c r="L171" s="58">
        <f t="shared" si="17"/>
        <v>22</v>
      </c>
    </row>
    <row r="172" spans="1:12" x14ac:dyDescent="0.25">
      <c r="A172" s="10">
        <v>40021970</v>
      </c>
      <c r="B172" t="s">
        <v>270</v>
      </c>
      <c r="C172" t="s">
        <v>271</v>
      </c>
      <c r="D172" s="7" t="s">
        <v>260</v>
      </c>
      <c r="E172" s="7">
        <v>37.5</v>
      </c>
      <c r="F172" s="7">
        <v>7.5</v>
      </c>
      <c r="G172" s="7">
        <v>19</v>
      </c>
      <c r="H172" s="65"/>
      <c r="I172" s="65"/>
      <c r="J172" s="65">
        <v>3</v>
      </c>
      <c r="K172" s="58">
        <f t="shared" si="16"/>
        <v>67</v>
      </c>
      <c r="L172" s="58">
        <f t="shared" si="17"/>
        <v>29.5</v>
      </c>
    </row>
    <row r="173" spans="1:12" x14ac:dyDescent="0.25">
      <c r="A173" s="10">
        <v>40114184</v>
      </c>
      <c r="B173" t="s">
        <v>272</v>
      </c>
      <c r="C173" t="s">
        <v>273</v>
      </c>
      <c r="D173" s="7" t="s">
        <v>260</v>
      </c>
      <c r="E173" s="7">
        <v>37.5</v>
      </c>
      <c r="F173" s="7">
        <v>7.5</v>
      </c>
      <c r="G173" s="7">
        <v>12</v>
      </c>
      <c r="H173" s="65"/>
      <c r="I173" s="65"/>
      <c r="J173" s="65">
        <v>3</v>
      </c>
      <c r="K173" s="58">
        <f t="shared" si="16"/>
        <v>60</v>
      </c>
      <c r="L173" s="58">
        <f t="shared" si="17"/>
        <v>22.5</v>
      </c>
    </row>
    <row r="174" spans="1:12" x14ac:dyDescent="0.25">
      <c r="A174" s="10">
        <v>40204915</v>
      </c>
      <c r="B174" t="s">
        <v>274</v>
      </c>
      <c r="C174" t="s">
        <v>275</v>
      </c>
      <c r="D174" s="7" t="s">
        <v>260</v>
      </c>
      <c r="E174" s="7">
        <v>37.5</v>
      </c>
      <c r="F174" s="7">
        <v>7.5</v>
      </c>
      <c r="G174" s="7">
        <v>12.5</v>
      </c>
      <c r="H174" s="65"/>
      <c r="I174" s="65"/>
      <c r="J174" s="65">
        <v>3</v>
      </c>
      <c r="K174" s="58">
        <f t="shared" si="16"/>
        <v>60.5</v>
      </c>
      <c r="L174" s="58">
        <f t="shared" si="17"/>
        <v>23</v>
      </c>
    </row>
    <row r="175" spans="1:12" x14ac:dyDescent="0.25">
      <c r="A175" s="10">
        <v>20610013</v>
      </c>
      <c r="B175" t="s">
        <v>276</v>
      </c>
      <c r="C175" t="s">
        <v>277</v>
      </c>
      <c r="D175" s="7" t="s">
        <v>253</v>
      </c>
      <c r="E175" s="7">
        <v>37.5</v>
      </c>
      <c r="G175" s="7">
        <v>15</v>
      </c>
      <c r="H175" s="65"/>
      <c r="I175" s="65"/>
      <c r="J175" s="65"/>
      <c r="K175" s="58">
        <f t="shared" si="16"/>
        <v>52.5</v>
      </c>
      <c r="L175" s="58">
        <f t="shared" si="17"/>
        <v>15</v>
      </c>
    </row>
    <row r="176" spans="1:12" x14ac:dyDescent="0.25">
      <c r="A176" s="10">
        <v>25002113</v>
      </c>
      <c r="B176" t="s">
        <v>278</v>
      </c>
      <c r="C176" t="s">
        <v>279</v>
      </c>
      <c r="D176" s="7" t="s">
        <v>263</v>
      </c>
      <c r="E176" s="7">
        <v>37.5</v>
      </c>
      <c r="F176" s="7">
        <v>7.5</v>
      </c>
      <c r="G176" s="7">
        <v>18</v>
      </c>
      <c r="H176" s="65"/>
      <c r="I176" s="65"/>
      <c r="J176" s="65">
        <v>3</v>
      </c>
      <c r="K176" s="58">
        <f t="shared" si="16"/>
        <v>66</v>
      </c>
      <c r="L176" s="58">
        <f t="shared" si="17"/>
        <v>28.5</v>
      </c>
    </row>
    <row r="177" spans="1:12" x14ac:dyDescent="0.25">
      <c r="A177" s="10">
        <v>40200086</v>
      </c>
      <c r="B177" t="s">
        <v>280</v>
      </c>
      <c r="C177" t="s">
        <v>281</v>
      </c>
      <c r="D177" s="7" t="s">
        <v>260</v>
      </c>
      <c r="E177" s="7">
        <v>37.5</v>
      </c>
      <c r="F177" s="7">
        <v>7.5</v>
      </c>
      <c r="G177" s="7">
        <v>17</v>
      </c>
      <c r="H177" s="65"/>
      <c r="I177" s="65"/>
      <c r="J177" s="65">
        <v>3</v>
      </c>
      <c r="K177" s="58">
        <f t="shared" si="16"/>
        <v>65</v>
      </c>
      <c r="L177" s="58">
        <f t="shared" si="17"/>
        <v>27.5</v>
      </c>
    </row>
    <row r="178" spans="1:12" x14ac:dyDescent="0.25">
      <c r="A178" s="10">
        <v>80018248</v>
      </c>
      <c r="B178" t="s">
        <v>282</v>
      </c>
      <c r="C178" t="s">
        <v>283</v>
      </c>
      <c r="D178" s="7" t="s">
        <v>250</v>
      </c>
      <c r="E178" s="7">
        <v>30</v>
      </c>
      <c r="G178" s="7">
        <v>11.5</v>
      </c>
      <c r="H178" s="65"/>
      <c r="I178" s="65"/>
      <c r="J178" s="65"/>
      <c r="K178" s="58">
        <f t="shared" si="16"/>
        <v>41.5</v>
      </c>
      <c r="L178" s="58">
        <f t="shared" si="17"/>
        <v>11.5</v>
      </c>
    </row>
    <row r="179" spans="1:12" x14ac:dyDescent="0.25">
      <c r="A179" s="10">
        <v>25002095</v>
      </c>
      <c r="B179" t="s">
        <v>284</v>
      </c>
      <c r="C179" t="s">
        <v>285</v>
      </c>
      <c r="D179" s="7" t="s">
        <v>263</v>
      </c>
      <c r="E179" s="7">
        <v>34</v>
      </c>
      <c r="G179" s="7">
        <v>11</v>
      </c>
      <c r="H179" s="65"/>
      <c r="I179" s="65"/>
      <c r="J179" s="65"/>
      <c r="K179" s="58">
        <f t="shared" si="16"/>
        <v>45</v>
      </c>
      <c r="L179" s="58">
        <f t="shared" si="17"/>
        <v>11</v>
      </c>
    </row>
    <row r="180" spans="1:12" x14ac:dyDescent="0.25">
      <c r="A180" s="10">
        <v>40219005</v>
      </c>
      <c r="B180" t="s">
        <v>286</v>
      </c>
      <c r="C180" t="s">
        <v>287</v>
      </c>
      <c r="D180" s="7" t="s">
        <v>250</v>
      </c>
      <c r="E180" s="7">
        <v>30</v>
      </c>
      <c r="G180" s="7">
        <v>12</v>
      </c>
      <c r="H180" s="65"/>
      <c r="I180" s="65"/>
      <c r="J180" s="65"/>
      <c r="K180" s="58">
        <f>E180+F180+G180+J180</f>
        <v>42</v>
      </c>
      <c r="L180" s="58">
        <f>F180+G180+J180</f>
        <v>12</v>
      </c>
    </row>
    <row r="181" spans="1:12" x14ac:dyDescent="0.25">
      <c r="D181" s="7"/>
    </row>
  </sheetData>
  <mergeCells count="1">
    <mergeCell ref="A161:C161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A7E6-3554-43C4-8DC4-6EDC844234F5}">
  <dimension ref="A2:K34"/>
  <sheetViews>
    <sheetView topLeftCell="A10" workbookViewId="0">
      <selection activeCell="M19" sqref="M19"/>
    </sheetView>
  </sheetViews>
  <sheetFormatPr defaultRowHeight="15" x14ac:dyDescent="0.25"/>
  <cols>
    <col min="1" max="1" width="12.140625" style="3" customWidth="1"/>
    <col min="2" max="2" width="12.5703125" style="3" customWidth="1"/>
    <col min="3" max="9" width="12.5703125" customWidth="1"/>
    <col min="10" max="10" width="10.7109375" customWidth="1"/>
    <col min="11" max="11" width="20.140625" style="65" customWidth="1"/>
    <col min="12" max="22" width="29.5703125" customWidth="1"/>
  </cols>
  <sheetData>
    <row r="2" spans="1:11" s="3" customFormat="1" x14ac:dyDescent="0.25">
      <c r="A2" s="58" t="s">
        <v>327</v>
      </c>
      <c r="B2" s="58" t="s">
        <v>331</v>
      </c>
      <c r="C2" s="58" t="s">
        <v>330</v>
      </c>
      <c r="D2" s="58" t="s">
        <v>332</v>
      </c>
      <c r="E2" s="58" t="s">
        <v>333</v>
      </c>
      <c r="F2" s="58" t="s">
        <v>334</v>
      </c>
      <c r="G2" s="58" t="s">
        <v>335</v>
      </c>
      <c r="H2" s="58" t="s">
        <v>336</v>
      </c>
      <c r="I2" s="58" t="s">
        <v>337</v>
      </c>
      <c r="J2" s="58" t="s">
        <v>339</v>
      </c>
      <c r="K2" s="65" t="s">
        <v>340</v>
      </c>
    </row>
    <row r="3" spans="1:11" x14ac:dyDescent="0.25">
      <c r="A3" s="58" t="s">
        <v>204</v>
      </c>
      <c r="B3" s="58">
        <v>13.5</v>
      </c>
      <c r="C3" s="58">
        <v>15</v>
      </c>
      <c r="D3" s="58">
        <v>9</v>
      </c>
      <c r="E3" s="58">
        <v>22.5</v>
      </c>
      <c r="F3" s="58">
        <v>19</v>
      </c>
      <c r="G3" s="58">
        <v>32.5</v>
      </c>
      <c r="H3" s="58">
        <v>27.5</v>
      </c>
      <c r="I3" s="58">
        <v>24.5</v>
      </c>
      <c r="J3" s="63">
        <f>AVERAGE(B3:I3)</f>
        <v>20.4375</v>
      </c>
      <c r="K3" s="65">
        <f>AVERAGE(J3:J20)</f>
        <v>24.301736111111111</v>
      </c>
    </row>
    <row r="4" spans="1:11" x14ac:dyDescent="0.25">
      <c r="A4" s="58" t="s">
        <v>23</v>
      </c>
      <c r="B4" s="58">
        <v>0</v>
      </c>
      <c r="C4" s="58">
        <v>24</v>
      </c>
      <c r="D4" s="58">
        <v>23</v>
      </c>
      <c r="E4" s="58">
        <v>34.5</v>
      </c>
      <c r="F4" s="58">
        <v>34.47</v>
      </c>
      <c r="G4" s="58">
        <v>31.5</v>
      </c>
      <c r="H4" s="58">
        <v>10.5</v>
      </c>
      <c r="I4" s="58">
        <v>23.98</v>
      </c>
      <c r="J4" s="63">
        <f>AVERAGE(B4:I4)</f>
        <v>22.743749999999999</v>
      </c>
      <c r="K4" s="65">
        <v>24.301736111111111</v>
      </c>
    </row>
    <row r="5" spans="1:11" x14ac:dyDescent="0.25">
      <c r="A5" s="58" t="s">
        <v>137</v>
      </c>
      <c r="B5" s="58">
        <v>26</v>
      </c>
      <c r="C5" s="58">
        <v>23</v>
      </c>
      <c r="D5" s="58">
        <v>35</v>
      </c>
      <c r="E5" s="58">
        <v>9</v>
      </c>
      <c r="F5" s="58">
        <v>36</v>
      </c>
      <c r="G5" s="58">
        <v>32</v>
      </c>
      <c r="H5" s="58">
        <v>20</v>
      </c>
      <c r="I5" s="58">
        <v>22.5</v>
      </c>
      <c r="J5" s="66">
        <f t="shared" ref="J5:J20" si="0">AVERAGE(B5:I5)</f>
        <v>25.4375</v>
      </c>
      <c r="K5" s="65">
        <v>24.301736111111111</v>
      </c>
    </row>
    <row r="6" spans="1:11" x14ac:dyDescent="0.25">
      <c r="A6" s="58" t="s">
        <v>178</v>
      </c>
      <c r="B6" s="58">
        <v>16</v>
      </c>
      <c r="C6" s="58">
        <v>35.5</v>
      </c>
      <c r="D6" s="58">
        <v>34</v>
      </c>
      <c r="E6" s="58">
        <v>33</v>
      </c>
      <c r="F6" s="58">
        <v>25.5</v>
      </c>
      <c r="G6" s="58">
        <v>17.5</v>
      </c>
      <c r="H6" s="58">
        <v>26</v>
      </c>
      <c r="I6" s="58">
        <v>14.5</v>
      </c>
      <c r="J6" s="66">
        <f t="shared" si="0"/>
        <v>25.25</v>
      </c>
      <c r="K6" s="65">
        <v>24.301736111111111</v>
      </c>
    </row>
    <row r="7" spans="1:11" x14ac:dyDescent="0.25">
      <c r="A7" s="58" t="s">
        <v>221</v>
      </c>
      <c r="B7" s="58">
        <v>25.5</v>
      </c>
      <c r="C7" s="58">
        <v>24.5</v>
      </c>
      <c r="D7" s="58">
        <v>27.5</v>
      </c>
      <c r="E7" s="58">
        <v>14.5</v>
      </c>
      <c r="F7" s="58">
        <v>32</v>
      </c>
      <c r="G7" s="58">
        <v>18</v>
      </c>
      <c r="H7" s="58">
        <v>24</v>
      </c>
      <c r="I7" s="58">
        <v>21.5</v>
      </c>
      <c r="J7" s="63">
        <f t="shared" si="0"/>
        <v>23.4375</v>
      </c>
      <c r="K7" s="65">
        <v>24.301736111111111</v>
      </c>
    </row>
    <row r="8" spans="1:11" x14ac:dyDescent="0.25">
      <c r="A8" s="58" t="s">
        <v>224</v>
      </c>
      <c r="B8" s="58">
        <v>0</v>
      </c>
      <c r="C8" s="58">
        <v>14</v>
      </c>
      <c r="D8" s="58">
        <v>31.5</v>
      </c>
      <c r="E8" s="58">
        <v>25.5</v>
      </c>
      <c r="F8" s="58">
        <v>7.5</v>
      </c>
      <c r="G8" s="58">
        <v>21</v>
      </c>
      <c r="H8" s="58">
        <v>25.5</v>
      </c>
      <c r="I8" s="58">
        <v>19.5</v>
      </c>
      <c r="J8" s="63">
        <f t="shared" si="0"/>
        <v>18.0625</v>
      </c>
      <c r="K8" s="65">
        <v>24.301736111111111</v>
      </c>
    </row>
    <row r="9" spans="1:11" x14ac:dyDescent="0.25">
      <c r="A9" s="58" t="s">
        <v>219</v>
      </c>
      <c r="B9" s="58">
        <v>25.5</v>
      </c>
      <c r="C9" s="58">
        <v>34.5</v>
      </c>
      <c r="D9" s="58">
        <v>28.5</v>
      </c>
      <c r="E9" s="58">
        <v>25.5</v>
      </c>
      <c r="F9" s="58">
        <v>33.5</v>
      </c>
      <c r="G9" s="58">
        <v>30</v>
      </c>
      <c r="H9" s="58">
        <v>15</v>
      </c>
      <c r="I9" s="58">
        <v>24</v>
      </c>
      <c r="J9" s="66">
        <f t="shared" si="0"/>
        <v>27.0625</v>
      </c>
      <c r="K9" s="65">
        <v>24.301736111111111</v>
      </c>
    </row>
    <row r="10" spans="1:11" x14ac:dyDescent="0.25">
      <c r="A10" s="58" t="s">
        <v>188</v>
      </c>
      <c r="B10" s="58">
        <v>25</v>
      </c>
      <c r="C10" s="58">
        <v>21</v>
      </c>
      <c r="D10" s="58">
        <v>34.5</v>
      </c>
      <c r="E10" s="58">
        <v>32</v>
      </c>
      <c r="F10" s="58">
        <v>27.5</v>
      </c>
      <c r="G10" s="58">
        <v>33</v>
      </c>
      <c r="H10" s="58">
        <v>24.5</v>
      </c>
      <c r="I10" s="58">
        <v>28</v>
      </c>
      <c r="J10" s="66">
        <f t="shared" si="0"/>
        <v>28.1875</v>
      </c>
      <c r="K10" s="65">
        <v>24.301736111111111</v>
      </c>
    </row>
    <row r="11" spans="1:11" x14ac:dyDescent="0.25">
      <c r="A11" s="58" t="s">
        <v>205</v>
      </c>
      <c r="B11" s="58">
        <v>24</v>
      </c>
      <c r="C11" s="58">
        <v>20.5</v>
      </c>
      <c r="D11" s="58">
        <v>25.5</v>
      </c>
      <c r="E11" s="58">
        <v>25.5</v>
      </c>
      <c r="F11" s="58">
        <v>18</v>
      </c>
      <c r="G11" s="58">
        <v>6.5</v>
      </c>
      <c r="H11" s="58">
        <v>24.5</v>
      </c>
      <c r="I11" s="58">
        <v>19.5</v>
      </c>
      <c r="J11" s="63">
        <f t="shared" si="0"/>
        <v>20.5</v>
      </c>
      <c r="K11" s="65">
        <v>24.301736111111111</v>
      </c>
    </row>
    <row r="12" spans="1:11" x14ac:dyDescent="0.25">
      <c r="A12" s="58" t="s">
        <v>103</v>
      </c>
      <c r="B12" s="58">
        <v>25.5</v>
      </c>
      <c r="C12" s="58">
        <v>23</v>
      </c>
      <c r="D12" s="58">
        <v>32</v>
      </c>
      <c r="E12" s="58">
        <v>15</v>
      </c>
      <c r="F12" s="58">
        <v>34.5</v>
      </c>
      <c r="G12" s="58">
        <v>28.5</v>
      </c>
      <c r="H12" s="58">
        <v>22.5</v>
      </c>
      <c r="I12" s="58">
        <v>12.5</v>
      </c>
      <c r="J12" s="66">
        <f>AVERAGE(B12:I12)</f>
        <v>24.1875</v>
      </c>
      <c r="K12" s="65">
        <v>24.301736111111111</v>
      </c>
    </row>
    <row r="13" spans="1:11" x14ac:dyDescent="0.25">
      <c r="A13" s="58" t="s">
        <v>122</v>
      </c>
      <c r="B13" s="58">
        <v>25.5</v>
      </c>
      <c r="C13" s="58">
        <v>21</v>
      </c>
      <c r="D13" s="58">
        <v>34</v>
      </c>
      <c r="E13" s="58">
        <v>24.5</v>
      </c>
      <c r="F13" s="58">
        <v>33</v>
      </c>
      <c r="G13" s="58">
        <v>29.5</v>
      </c>
      <c r="H13" s="58">
        <v>23</v>
      </c>
      <c r="I13" s="58">
        <v>22.5</v>
      </c>
      <c r="J13" s="66">
        <f t="shared" si="0"/>
        <v>26.625</v>
      </c>
      <c r="K13" s="65">
        <v>24.301736111111111</v>
      </c>
    </row>
    <row r="14" spans="1:11" x14ac:dyDescent="0.25">
      <c r="A14" s="58" t="s">
        <v>207</v>
      </c>
      <c r="B14" s="58">
        <v>25</v>
      </c>
      <c r="C14" s="58">
        <v>32</v>
      </c>
      <c r="D14" s="58">
        <v>33</v>
      </c>
      <c r="E14" s="58">
        <v>32.5</v>
      </c>
      <c r="F14" s="58">
        <v>24.5</v>
      </c>
      <c r="G14" s="58">
        <v>33.5</v>
      </c>
      <c r="H14" s="58">
        <v>25.5</v>
      </c>
      <c r="I14" s="58">
        <v>23.5</v>
      </c>
      <c r="J14" s="66">
        <f t="shared" si="0"/>
        <v>28.6875</v>
      </c>
      <c r="K14" s="65">
        <v>24.301736111111111</v>
      </c>
    </row>
    <row r="15" spans="1:11" x14ac:dyDescent="0.25">
      <c r="A15" s="58" t="s">
        <v>186</v>
      </c>
      <c r="B15" s="58">
        <v>15</v>
      </c>
      <c r="C15" s="58">
        <v>19.5</v>
      </c>
      <c r="D15" s="58">
        <v>34.5</v>
      </c>
      <c r="E15" s="58">
        <v>34.5</v>
      </c>
      <c r="F15" s="58">
        <v>34.5</v>
      </c>
      <c r="G15" s="58">
        <v>26.5</v>
      </c>
      <c r="H15" s="58">
        <v>15</v>
      </c>
      <c r="I15" s="58">
        <v>21</v>
      </c>
      <c r="J15" s="66">
        <f t="shared" si="0"/>
        <v>25.0625</v>
      </c>
      <c r="K15" s="65">
        <v>24.301736111111111</v>
      </c>
    </row>
    <row r="16" spans="1:11" x14ac:dyDescent="0.25">
      <c r="A16" s="58" t="s">
        <v>189</v>
      </c>
      <c r="B16" s="58">
        <v>25.5</v>
      </c>
      <c r="C16" s="58">
        <v>23</v>
      </c>
      <c r="D16" s="58">
        <v>31</v>
      </c>
      <c r="E16" s="58">
        <v>36</v>
      </c>
      <c r="F16" s="58">
        <v>24</v>
      </c>
      <c r="G16" s="58">
        <v>30</v>
      </c>
      <c r="H16" s="58">
        <v>33</v>
      </c>
      <c r="I16" s="58">
        <v>22.5</v>
      </c>
      <c r="J16" s="66">
        <f t="shared" si="0"/>
        <v>28.125</v>
      </c>
      <c r="K16" s="65">
        <v>24.301736111111111</v>
      </c>
    </row>
    <row r="17" spans="1:11" x14ac:dyDescent="0.25">
      <c r="A17" s="58" t="s">
        <v>156</v>
      </c>
      <c r="B17" s="58">
        <v>25.5</v>
      </c>
      <c r="C17" s="58">
        <v>25.5</v>
      </c>
      <c r="D17" s="58">
        <v>32</v>
      </c>
      <c r="E17" s="58">
        <v>27.5</v>
      </c>
      <c r="F17" s="58">
        <v>31.5</v>
      </c>
      <c r="G17" s="58">
        <v>30</v>
      </c>
      <c r="H17" s="58">
        <v>25.5</v>
      </c>
      <c r="I17" s="58">
        <v>21</v>
      </c>
      <c r="J17" s="66">
        <f t="shared" si="0"/>
        <v>27.3125</v>
      </c>
      <c r="K17" s="65">
        <v>24.301736111111111</v>
      </c>
    </row>
    <row r="18" spans="1:11" x14ac:dyDescent="0.25">
      <c r="A18" s="58" t="s">
        <v>223</v>
      </c>
      <c r="B18" s="58">
        <v>0</v>
      </c>
      <c r="C18" s="58">
        <v>34</v>
      </c>
      <c r="D18" s="58">
        <v>34.5</v>
      </c>
      <c r="E18" s="58">
        <v>34</v>
      </c>
      <c r="F18" s="58">
        <v>36</v>
      </c>
      <c r="G18" s="58">
        <v>30.5</v>
      </c>
      <c r="H18" s="58">
        <v>20</v>
      </c>
      <c r="I18" s="58">
        <v>24</v>
      </c>
      <c r="J18" s="66">
        <f t="shared" si="0"/>
        <v>26.625</v>
      </c>
      <c r="K18" s="65">
        <v>24.301736111111111</v>
      </c>
    </row>
    <row r="19" spans="1:11" x14ac:dyDescent="0.25">
      <c r="A19" s="58" t="s">
        <v>74</v>
      </c>
      <c r="B19" s="58">
        <v>15</v>
      </c>
      <c r="C19" s="58">
        <v>11</v>
      </c>
      <c r="D19" s="58">
        <v>11.5</v>
      </c>
      <c r="E19" s="58">
        <v>34</v>
      </c>
      <c r="F19" s="58">
        <v>12</v>
      </c>
      <c r="G19" s="58">
        <v>12</v>
      </c>
      <c r="H19" s="58">
        <v>17</v>
      </c>
      <c r="I19" s="58">
        <v>9.5</v>
      </c>
      <c r="J19" s="63">
        <f t="shared" si="0"/>
        <v>15.25</v>
      </c>
      <c r="K19" s="65">
        <v>24.301736111111111</v>
      </c>
    </row>
    <row r="20" spans="1:11" x14ac:dyDescent="0.25">
      <c r="A20" s="58" t="s">
        <v>162</v>
      </c>
      <c r="B20" s="58">
        <v>25.5</v>
      </c>
      <c r="C20" s="58">
        <v>27.5</v>
      </c>
      <c r="D20" s="58">
        <v>24</v>
      </c>
      <c r="E20" s="58">
        <v>25.5</v>
      </c>
      <c r="F20" s="58">
        <v>21</v>
      </c>
      <c r="G20" s="58">
        <v>28.5</v>
      </c>
      <c r="H20" s="58">
        <v>22.5</v>
      </c>
      <c r="I20" s="58">
        <v>21</v>
      </c>
      <c r="J20" s="63">
        <f t="shared" si="0"/>
        <v>24.4375</v>
      </c>
      <c r="K20" s="65">
        <v>24.301736111111111</v>
      </c>
    </row>
    <row r="22" spans="1:11" x14ac:dyDescent="0.25">
      <c r="I22" s="64"/>
    </row>
    <row r="31" spans="1:11" x14ac:dyDescent="0.25">
      <c r="A31" s="61"/>
      <c r="B31" s="61"/>
    </row>
    <row r="34" spans="9:9" x14ac:dyDescent="0.25">
      <c r="I34" s="55" t="s">
        <v>338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662F-013C-4319-8BFB-4EEC938897D2}">
  <dimension ref="A3:J45"/>
  <sheetViews>
    <sheetView topLeftCell="A2" workbookViewId="0">
      <selection activeCell="J16" sqref="J16"/>
    </sheetView>
  </sheetViews>
  <sheetFormatPr defaultRowHeight="15" x14ac:dyDescent="0.25"/>
  <cols>
    <col min="4" max="5" width="9.140625" customWidth="1"/>
    <col min="8" max="8" width="11.28515625" customWidth="1"/>
  </cols>
  <sheetData>
    <row r="3" spans="1:10" x14ac:dyDescent="0.25">
      <c r="B3" s="7" t="s">
        <v>230</v>
      </c>
      <c r="C3" s="7" t="s">
        <v>324</v>
      </c>
      <c r="D3" s="7" t="s">
        <v>314</v>
      </c>
      <c r="E3" s="7" t="s">
        <v>342</v>
      </c>
      <c r="F3" s="7" t="s">
        <v>234</v>
      </c>
      <c r="G3" s="7" t="s">
        <v>232</v>
      </c>
      <c r="H3" s="7" t="s">
        <v>325</v>
      </c>
      <c r="I3" s="7" t="s">
        <v>315</v>
      </c>
      <c r="J3" s="7" t="s">
        <v>311</v>
      </c>
    </row>
    <row r="4" spans="1:10" hidden="1" x14ac:dyDescent="0.25"/>
    <row r="5" spans="1:10" x14ac:dyDescent="0.25">
      <c r="A5" s="65" t="s">
        <v>23</v>
      </c>
      <c r="B5" s="5">
        <f>11.33</f>
        <v>11.33</v>
      </c>
      <c r="C5" s="16">
        <f>21</f>
        <v>21</v>
      </c>
      <c r="D5" s="16">
        <v>0</v>
      </c>
      <c r="E5" s="16">
        <v>20</v>
      </c>
      <c r="F5" s="5">
        <v>38.5</v>
      </c>
      <c r="G5" s="6">
        <f t="shared" ref="G5:G22" si="0">B5/F5</f>
        <v>0.29428571428571426</v>
      </c>
      <c r="H5" s="6">
        <f t="shared" ref="H5:H22" si="1">C5/F5</f>
        <v>0.54545454545454541</v>
      </c>
      <c r="I5" s="22">
        <f>D5/F5</f>
        <v>0</v>
      </c>
      <c r="J5" s="21">
        <f t="shared" ref="J5:J22" si="2">I5+G5+H5</f>
        <v>0.83974025974025968</v>
      </c>
    </row>
    <row r="6" spans="1:10" x14ac:dyDescent="0.25">
      <c r="A6" s="65" t="s">
        <v>74</v>
      </c>
      <c r="B6" s="5">
        <v>11</v>
      </c>
      <c r="C6" s="16">
        <f>14</f>
        <v>14</v>
      </c>
      <c r="D6" s="16">
        <v>0</v>
      </c>
      <c r="E6" s="16">
        <v>17</v>
      </c>
      <c r="F6" s="5">
        <v>63</v>
      </c>
      <c r="G6" s="6">
        <f t="shared" si="0"/>
        <v>0.17460317460317459</v>
      </c>
      <c r="H6" s="6">
        <f t="shared" si="1"/>
        <v>0.22222222222222221</v>
      </c>
      <c r="I6" s="22">
        <f t="shared" ref="I6:I22" si="3">D6/F6</f>
        <v>0</v>
      </c>
      <c r="J6" s="21">
        <f t="shared" si="2"/>
        <v>0.3968253968253968</v>
      </c>
    </row>
    <row r="7" spans="1:10" x14ac:dyDescent="0.25">
      <c r="A7" s="65" t="s">
        <v>103</v>
      </c>
      <c r="B7" s="5">
        <f>1.5+3.8</f>
        <v>5.3</v>
      </c>
      <c r="C7" s="16">
        <f>4+16.83</f>
        <v>20.83</v>
      </c>
      <c r="D7" s="16">
        <v>0</v>
      </c>
      <c r="E7" s="16">
        <v>23</v>
      </c>
      <c r="F7" s="5">
        <v>60.5</v>
      </c>
      <c r="G7" s="6">
        <f t="shared" si="0"/>
        <v>8.7603305785123958E-2</v>
      </c>
      <c r="H7" s="6">
        <f t="shared" si="1"/>
        <v>0.34429752066115699</v>
      </c>
      <c r="I7" s="22">
        <f t="shared" si="3"/>
        <v>0</v>
      </c>
      <c r="J7" s="21">
        <f t="shared" si="2"/>
        <v>0.43190082644628092</v>
      </c>
    </row>
    <row r="8" spans="1:10" x14ac:dyDescent="0.25">
      <c r="A8" s="65" t="s">
        <v>122</v>
      </c>
      <c r="B8" s="5">
        <f>3.66+3.75</f>
        <v>7.41</v>
      </c>
      <c r="C8" s="16">
        <v>14.5</v>
      </c>
      <c r="D8" s="16">
        <v>0</v>
      </c>
      <c r="E8" s="16">
        <v>19</v>
      </c>
      <c r="F8" s="5">
        <v>62</v>
      </c>
      <c r="G8" s="6">
        <f t="shared" si="0"/>
        <v>0.11951612903225807</v>
      </c>
      <c r="H8" s="6">
        <f t="shared" si="1"/>
        <v>0.23387096774193547</v>
      </c>
      <c r="I8" s="22">
        <f t="shared" si="3"/>
        <v>0</v>
      </c>
      <c r="J8" s="21">
        <f t="shared" si="2"/>
        <v>0.35338709677419355</v>
      </c>
    </row>
    <row r="9" spans="1:10" x14ac:dyDescent="0.25">
      <c r="A9" s="65" t="s">
        <v>137</v>
      </c>
      <c r="B9" s="5">
        <f>1.6+11</f>
        <v>12.6</v>
      </c>
      <c r="C9" s="16">
        <f>14.25</f>
        <v>14.25</v>
      </c>
      <c r="D9" s="16">
        <v>0</v>
      </c>
      <c r="E9" s="16">
        <v>12</v>
      </c>
      <c r="F9" s="5">
        <v>52.5</v>
      </c>
      <c r="G9" s="6">
        <f t="shared" si="0"/>
        <v>0.24</v>
      </c>
      <c r="H9" s="6">
        <f t="shared" si="1"/>
        <v>0.27142857142857141</v>
      </c>
      <c r="I9" s="22">
        <f t="shared" si="3"/>
        <v>0</v>
      </c>
      <c r="J9" s="21">
        <f t="shared" si="2"/>
        <v>0.51142857142857134</v>
      </c>
    </row>
    <row r="10" spans="1:10" x14ac:dyDescent="0.25">
      <c r="A10" s="65" t="s">
        <v>156</v>
      </c>
      <c r="B10" s="5">
        <f>3.083+11</f>
        <v>14.083</v>
      </c>
      <c r="C10" s="16">
        <f>46.83</f>
        <v>46.83</v>
      </c>
      <c r="D10" s="16">
        <v>0</v>
      </c>
      <c r="E10" s="16">
        <v>39</v>
      </c>
      <c r="F10" s="5">
        <v>60</v>
      </c>
      <c r="G10" s="6">
        <f t="shared" si="0"/>
        <v>0.23471666666666666</v>
      </c>
      <c r="H10" s="6">
        <f t="shared" si="1"/>
        <v>0.78049999999999997</v>
      </c>
      <c r="I10" s="22">
        <f t="shared" si="3"/>
        <v>0</v>
      </c>
      <c r="J10" s="21">
        <f t="shared" si="2"/>
        <v>1.0152166666666667</v>
      </c>
    </row>
    <row r="11" spans="1:10" x14ac:dyDescent="0.25">
      <c r="A11" s="65" t="s">
        <v>162</v>
      </c>
      <c r="B11" s="5">
        <v>11.2</v>
      </c>
      <c r="C11" s="16">
        <f>43.083</f>
        <v>43.082999999999998</v>
      </c>
      <c r="D11" s="16">
        <v>0</v>
      </c>
      <c r="E11" s="16">
        <v>26</v>
      </c>
      <c r="F11" s="5">
        <v>52.5</v>
      </c>
      <c r="G11" s="6">
        <f t="shared" si="0"/>
        <v>0.21333333333333332</v>
      </c>
      <c r="H11" s="6">
        <f t="shared" si="1"/>
        <v>0.82062857142857137</v>
      </c>
      <c r="I11" s="22">
        <f t="shared" si="3"/>
        <v>0</v>
      </c>
      <c r="J11" s="21">
        <f t="shared" si="2"/>
        <v>1.0339619047619046</v>
      </c>
    </row>
    <row r="12" spans="1:10" x14ac:dyDescent="0.25">
      <c r="A12" s="65" t="s">
        <v>178</v>
      </c>
      <c r="B12" s="5">
        <v>2.8330000000000002</v>
      </c>
      <c r="C12" s="16">
        <f>18</f>
        <v>18</v>
      </c>
      <c r="D12" s="16">
        <v>0</v>
      </c>
      <c r="E12" s="16">
        <v>22</v>
      </c>
      <c r="F12" s="5">
        <v>38</v>
      </c>
      <c r="G12" s="6">
        <f t="shared" si="0"/>
        <v>7.455263157894737E-2</v>
      </c>
      <c r="H12" s="6">
        <f t="shared" si="1"/>
        <v>0.47368421052631576</v>
      </c>
      <c r="I12" s="22">
        <f t="shared" si="3"/>
        <v>0</v>
      </c>
      <c r="J12" s="21">
        <f t="shared" si="2"/>
        <v>0.54823684210526313</v>
      </c>
    </row>
    <row r="13" spans="1:10" x14ac:dyDescent="0.25">
      <c r="A13" s="65" t="s">
        <v>186</v>
      </c>
      <c r="B13" s="5">
        <v>10.3</v>
      </c>
      <c r="C13" s="16">
        <f>24</f>
        <v>24</v>
      </c>
      <c r="D13" s="16">
        <v>0</v>
      </c>
      <c r="E13" s="16">
        <v>21</v>
      </c>
      <c r="F13" s="5">
        <v>44.5</v>
      </c>
      <c r="G13" s="6">
        <f t="shared" si="0"/>
        <v>0.2314606741573034</v>
      </c>
      <c r="H13" s="6">
        <f t="shared" si="1"/>
        <v>0.5393258426966292</v>
      </c>
      <c r="I13" s="22">
        <f t="shared" si="3"/>
        <v>0</v>
      </c>
      <c r="J13" s="21">
        <f t="shared" si="2"/>
        <v>0.77078651685393262</v>
      </c>
    </row>
    <row r="14" spans="1:10" x14ac:dyDescent="0.25">
      <c r="A14" s="65" t="s">
        <v>188</v>
      </c>
      <c r="B14" s="5">
        <v>5.4</v>
      </c>
      <c r="C14" s="16">
        <f>15.5</f>
        <v>15.5</v>
      </c>
      <c r="D14" s="16">
        <v>0</v>
      </c>
      <c r="E14" s="16">
        <v>25</v>
      </c>
      <c r="F14" s="5">
        <v>67</v>
      </c>
      <c r="G14" s="6">
        <f t="shared" si="0"/>
        <v>8.0597014925373134E-2</v>
      </c>
      <c r="H14" s="6">
        <f t="shared" si="1"/>
        <v>0.23134328358208955</v>
      </c>
      <c r="I14" s="22">
        <f t="shared" si="3"/>
        <v>0</v>
      </c>
      <c r="J14" s="21">
        <f t="shared" si="2"/>
        <v>0.31194029850746269</v>
      </c>
    </row>
    <row r="15" spans="1:10" x14ac:dyDescent="0.25">
      <c r="A15" s="65" t="s">
        <v>189</v>
      </c>
      <c r="B15" s="5">
        <v>9.5</v>
      </c>
      <c r="C15" s="16">
        <f>4+41.5</f>
        <v>45.5</v>
      </c>
      <c r="D15" s="16">
        <v>0</v>
      </c>
      <c r="E15" s="16">
        <v>14</v>
      </c>
      <c r="F15" s="5">
        <v>60</v>
      </c>
      <c r="G15" s="6">
        <f t="shared" si="0"/>
        <v>0.15833333333333333</v>
      </c>
      <c r="H15" s="6">
        <f t="shared" si="1"/>
        <v>0.7583333333333333</v>
      </c>
      <c r="I15" s="22">
        <f t="shared" si="3"/>
        <v>0</v>
      </c>
      <c r="J15" s="21">
        <f t="shared" si="2"/>
        <v>0.91666666666666663</v>
      </c>
    </row>
    <row r="16" spans="1:10" x14ac:dyDescent="0.25">
      <c r="A16" s="65" t="s">
        <v>204</v>
      </c>
      <c r="B16" s="5">
        <v>11.5</v>
      </c>
      <c r="C16" s="16">
        <f>1.33+12.58</f>
        <v>13.91</v>
      </c>
      <c r="D16" s="16">
        <v>0</v>
      </c>
      <c r="E16" s="16">
        <v>23</v>
      </c>
      <c r="F16" s="5">
        <v>60.5</v>
      </c>
      <c r="G16" s="6">
        <f t="shared" si="0"/>
        <v>0.19008264462809918</v>
      </c>
      <c r="H16" s="6">
        <f t="shared" si="1"/>
        <v>0.22991735537190083</v>
      </c>
      <c r="I16" s="22">
        <f t="shared" si="3"/>
        <v>0</v>
      </c>
      <c r="J16" s="21">
        <f t="shared" si="2"/>
        <v>0.42000000000000004</v>
      </c>
    </row>
    <row r="17" spans="1:10" x14ac:dyDescent="0.25">
      <c r="A17" s="65" t="s">
        <v>205</v>
      </c>
      <c r="B17" s="5">
        <v>9.16</v>
      </c>
      <c r="C17" s="16">
        <v>9.8000000000000007</v>
      </c>
      <c r="D17" s="16">
        <v>0</v>
      </c>
      <c r="E17" s="16">
        <v>14</v>
      </c>
      <c r="F17" s="5">
        <v>52.5</v>
      </c>
      <c r="G17" s="6">
        <f t="shared" si="0"/>
        <v>0.17447619047619048</v>
      </c>
      <c r="H17" s="6">
        <f t="shared" si="1"/>
        <v>0.18666666666666668</v>
      </c>
      <c r="I17" s="22">
        <f t="shared" si="3"/>
        <v>0</v>
      </c>
      <c r="J17" s="21">
        <f t="shared" si="2"/>
        <v>0.36114285714285715</v>
      </c>
    </row>
    <row r="18" spans="1:10" x14ac:dyDescent="0.25">
      <c r="A18" s="65" t="s">
        <v>207</v>
      </c>
      <c r="B18" s="5">
        <v>8.83</v>
      </c>
      <c r="C18" s="16">
        <f>1.9+21.24</f>
        <v>23.139999999999997</v>
      </c>
      <c r="D18" s="16">
        <v>0</v>
      </c>
      <c r="E18" s="16">
        <v>34</v>
      </c>
      <c r="F18" s="5">
        <v>66</v>
      </c>
      <c r="G18" s="6">
        <f t="shared" si="0"/>
        <v>0.13378787878787879</v>
      </c>
      <c r="H18" s="6">
        <f t="shared" si="1"/>
        <v>0.35060606060606059</v>
      </c>
      <c r="I18" s="22">
        <f t="shared" si="3"/>
        <v>0</v>
      </c>
      <c r="J18" s="21">
        <f t="shared" si="2"/>
        <v>0.48439393939393938</v>
      </c>
    </row>
    <row r="19" spans="1:10" x14ac:dyDescent="0.25">
      <c r="A19" s="65" t="s">
        <v>219</v>
      </c>
      <c r="B19" s="5">
        <v>9.16</v>
      </c>
      <c r="C19" s="16">
        <f>4+10.08</f>
        <v>14.08</v>
      </c>
      <c r="D19" s="16">
        <v>0</v>
      </c>
      <c r="E19" s="16">
        <v>25</v>
      </c>
      <c r="F19" s="5">
        <v>65</v>
      </c>
      <c r="G19" s="6">
        <f t="shared" si="0"/>
        <v>0.14092307692307693</v>
      </c>
      <c r="H19" s="6">
        <f t="shared" si="1"/>
        <v>0.21661538461538463</v>
      </c>
      <c r="I19" s="22">
        <f t="shared" si="3"/>
        <v>0</v>
      </c>
      <c r="J19" s="21">
        <f t="shared" si="2"/>
        <v>0.35753846153846158</v>
      </c>
    </row>
    <row r="20" spans="1:10" x14ac:dyDescent="0.25">
      <c r="A20" s="65" t="s">
        <v>221</v>
      </c>
      <c r="B20" s="5">
        <v>13.5</v>
      </c>
      <c r="C20" s="16">
        <f>4+14.77</f>
        <v>18.77</v>
      </c>
      <c r="D20" s="16">
        <v>0</v>
      </c>
      <c r="E20" s="16">
        <v>30</v>
      </c>
      <c r="F20" s="5">
        <v>41.5</v>
      </c>
      <c r="G20" s="6">
        <f t="shared" si="0"/>
        <v>0.3253012048192771</v>
      </c>
      <c r="H20" s="6">
        <f t="shared" si="1"/>
        <v>0.45228915662650604</v>
      </c>
      <c r="I20" s="22">
        <f t="shared" si="3"/>
        <v>0</v>
      </c>
      <c r="J20" s="21">
        <f t="shared" si="2"/>
        <v>0.77759036144578308</v>
      </c>
    </row>
    <row r="21" spans="1:10" x14ac:dyDescent="0.25">
      <c r="A21" s="65" t="s">
        <v>223</v>
      </c>
      <c r="B21" s="5">
        <v>5.9</v>
      </c>
      <c r="C21" s="16">
        <v>11</v>
      </c>
      <c r="D21" s="16">
        <v>0</v>
      </c>
      <c r="E21" s="16">
        <v>11</v>
      </c>
      <c r="F21" s="5">
        <v>45</v>
      </c>
      <c r="G21" s="6">
        <f t="shared" si="0"/>
        <v>0.13111111111111112</v>
      </c>
      <c r="H21" s="6">
        <f t="shared" si="1"/>
        <v>0.24444444444444444</v>
      </c>
      <c r="I21" s="22">
        <f t="shared" si="3"/>
        <v>0</v>
      </c>
      <c r="J21" s="21">
        <f t="shared" si="2"/>
        <v>0.37555555555555553</v>
      </c>
    </row>
    <row r="22" spans="1:10" x14ac:dyDescent="0.25">
      <c r="A22" s="65" t="s">
        <v>224</v>
      </c>
      <c r="B22" s="5">
        <v>8.33</v>
      </c>
      <c r="C22" s="16">
        <f>1.33+17.91</f>
        <v>19.240000000000002</v>
      </c>
      <c r="D22" s="16">
        <v>0</v>
      </c>
      <c r="E22" s="16">
        <v>21</v>
      </c>
      <c r="F22" s="5">
        <v>42</v>
      </c>
      <c r="G22" s="6">
        <f t="shared" si="0"/>
        <v>0.19833333333333333</v>
      </c>
      <c r="H22" s="6">
        <f t="shared" si="1"/>
        <v>0.45809523809523817</v>
      </c>
      <c r="I22" s="22">
        <f t="shared" si="3"/>
        <v>0</v>
      </c>
      <c r="J22" s="21">
        <f t="shared" si="2"/>
        <v>0.65642857142857147</v>
      </c>
    </row>
    <row r="24" spans="1:10" hidden="1" x14ac:dyDescent="0.25"/>
    <row r="28" spans="1:10" x14ac:dyDescent="0.25">
      <c r="I28" s="5"/>
    </row>
    <row r="29" spans="1:10" x14ac:dyDescent="0.25">
      <c r="I29" s="5"/>
    </row>
    <row r="30" spans="1:10" x14ac:dyDescent="0.25">
      <c r="I30" s="5"/>
    </row>
    <row r="31" spans="1:10" x14ac:dyDescent="0.25">
      <c r="I31" s="5"/>
    </row>
    <row r="32" spans="1:10" x14ac:dyDescent="0.25">
      <c r="I32" s="5"/>
    </row>
    <row r="33" spans="9:9" x14ac:dyDescent="0.25">
      <c r="I33" s="5"/>
    </row>
    <row r="34" spans="9:9" x14ac:dyDescent="0.25">
      <c r="I34" s="5"/>
    </row>
    <row r="35" spans="9:9" x14ac:dyDescent="0.25">
      <c r="I35" s="5"/>
    </row>
    <row r="36" spans="9:9" x14ac:dyDescent="0.25">
      <c r="I36" s="5"/>
    </row>
    <row r="37" spans="9:9" x14ac:dyDescent="0.25">
      <c r="I37" s="5"/>
    </row>
    <row r="38" spans="9:9" x14ac:dyDescent="0.25">
      <c r="I38" s="5"/>
    </row>
    <row r="39" spans="9:9" x14ac:dyDescent="0.25">
      <c r="I39" s="5"/>
    </row>
    <row r="40" spans="9:9" x14ac:dyDescent="0.25">
      <c r="I40" s="5"/>
    </row>
    <row r="41" spans="9:9" x14ac:dyDescent="0.25">
      <c r="I41" s="5"/>
    </row>
    <row r="42" spans="9:9" x14ac:dyDescent="0.25">
      <c r="I42" s="5"/>
    </row>
    <row r="43" spans="9:9" x14ac:dyDescent="0.25">
      <c r="I43" s="5"/>
    </row>
    <row r="44" spans="9:9" x14ac:dyDescent="0.25">
      <c r="I44" s="5"/>
    </row>
    <row r="45" spans="9:9" x14ac:dyDescent="0.25">
      <c r="I45" s="5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1474-D1FD-43B0-88CA-82B8185CF3BE}">
  <dimension ref="A2:N44"/>
  <sheetViews>
    <sheetView tabSelected="1" workbookViewId="0">
      <selection activeCell="Q2" sqref="Q2"/>
    </sheetView>
  </sheetViews>
  <sheetFormatPr defaultRowHeight="15" x14ac:dyDescent="0.25"/>
  <cols>
    <col min="1" max="1" width="12.5703125" bestFit="1" customWidth="1"/>
    <col min="3" max="3" width="9.85546875" customWidth="1"/>
    <col min="4" max="5" width="9.140625" customWidth="1"/>
    <col min="9" max="9" width="11.28515625" customWidth="1"/>
  </cols>
  <sheetData>
    <row r="2" spans="1:14" ht="21" x14ac:dyDescent="0.35">
      <c r="B2" s="65" t="s">
        <v>20</v>
      </c>
      <c r="C2" s="65" t="s">
        <v>343</v>
      </c>
      <c r="D2" s="65" t="s">
        <v>20</v>
      </c>
      <c r="H2" s="71" t="s">
        <v>344</v>
      </c>
      <c r="I2" s="71"/>
      <c r="J2" s="71"/>
      <c r="K2" s="71"/>
      <c r="N2" s="72" t="s">
        <v>346</v>
      </c>
    </row>
    <row r="3" spans="1:14" x14ac:dyDescent="0.25">
      <c r="A3" s="73" t="s">
        <v>348</v>
      </c>
      <c r="B3" s="74" t="s">
        <v>230</v>
      </c>
      <c r="C3" s="74" t="s">
        <v>324</v>
      </c>
      <c r="D3" s="74" t="s">
        <v>314</v>
      </c>
      <c r="E3" s="75" t="s">
        <v>342</v>
      </c>
      <c r="F3" s="59" t="s">
        <v>234</v>
      </c>
      <c r="G3" s="59" t="s">
        <v>347</v>
      </c>
      <c r="H3" s="76" t="s">
        <v>232</v>
      </c>
      <c r="I3" s="76" t="s">
        <v>325</v>
      </c>
      <c r="J3" s="76" t="s">
        <v>315</v>
      </c>
      <c r="K3" s="77" t="s">
        <v>311</v>
      </c>
    </row>
    <row r="4" spans="1:14" x14ac:dyDescent="0.25">
      <c r="A4" s="58" t="s">
        <v>162</v>
      </c>
      <c r="B4" s="78">
        <v>11.2</v>
      </c>
      <c r="C4" s="79">
        <f>43.083</f>
        <v>43.082999999999998</v>
      </c>
      <c r="D4" s="79">
        <v>0</v>
      </c>
      <c r="E4" s="80">
        <v>26</v>
      </c>
      <c r="F4" s="78">
        <v>52.5</v>
      </c>
      <c r="G4" s="78">
        <v>25</v>
      </c>
      <c r="H4" s="81">
        <f>B4/F4</f>
        <v>0.21333333333333332</v>
      </c>
      <c r="I4" s="81">
        <f>C4/F4</f>
        <v>0.82062857142857137</v>
      </c>
      <c r="J4" s="82">
        <f t="shared" ref="J4:J21" si="0">D4/F4</f>
        <v>0</v>
      </c>
      <c r="K4" s="83">
        <f>J4+H4+I4</f>
        <v>1.0339619047619046</v>
      </c>
    </row>
    <row r="5" spans="1:14" x14ac:dyDescent="0.25">
      <c r="A5" s="58" t="s">
        <v>156</v>
      </c>
      <c r="B5" s="78">
        <f>3.083+11</f>
        <v>14.083</v>
      </c>
      <c r="C5" s="79">
        <f>46.83</f>
        <v>46.83</v>
      </c>
      <c r="D5" s="79">
        <v>0</v>
      </c>
      <c r="E5" s="80">
        <v>39</v>
      </c>
      <c r="F5" s="78">
        <v>60</v>
      </c>
      <c r="G5" s="78">
        <v>30</v>
      </c>
      <c r="H5" s="81">
        <f>B5/F5</f>
        <v>0.23471666666666666</v>
      </c>
      <c r="I5" s="81">
        <f>C5/F5</f>
        <v>0.78049999999999997</v>
      </c>
      <c r="J5" s="82">
        <f t="shared" si="0"/>
        <v>0</v>
      </c>
      <c r="K5" s="83">
        <f>J5+H5+I5</f>
        <v>1.0152166666666667</v>
      </c>
    </row>
    <row r="6" spans="1:14" x14ac:dyDescent="0.25">
      <c r="A6" s="58" t="s">
        <v>189</v>
      </c>
      <c r="B6" s="78">
        <v>9.5</v>
      </c>
      <c r="C6" s="79">
        <f>4+41.5</f>
        <v>45.5</v>
      </c>
      <c r="D6" s="79">
        <v>0</v>
      </c>
      <c r="E6" s="80">
        <v>14</v>
      </c>
      <c r="F6" s="78">
        <v>60</v>
      </c>
      <c r="G6" s="78">
        <v>15</v>
      </c>
      <c r="H6" s="81">
        <f>B6/F6</f>
        <v>0.15833333333333333</v>
      </c>
      <c r="I6" s="81">
        <f>C6/F6</f>
        <v>0.7583333333333333</v>
      </c>
      <c r="J6" s="82">
        <f t="shared" si="0"/>
        <v>0</v>
      </c>
      <c r="K6" s="83">
        <f>J6+H6+I6</f>
        <v>0.91666666666666663</v>
      </c>
    </row>
    <row r="7" spans="1:14" x14ac:dyDescent="0.25">
      <c r="A7" s="58" t="s">
        <v>23</v>
      </c>
      <c r="B7" s="78">
        <f>11.33</f>
        <v>11.33</v>
      </c>
      <c r="C7" s="79">
        <f>21</f>
        <v>21</v>
      </c>
      <c r="D7" s="79">
        <v>0</v>
      </c>
      <c r="E7" s="80">
        <v>20</v>
      </c>
      <c r="F7" s="78">
        <v>38.5</v>
      </c>
      <c r="G7" s="78"/>
      <c r="H7" s="81">
        <f t="shared" ref="H7" si="1">B7/F7</f>
        <v>0.29428571428571426</v>
      </c>
      <c r="I7" s="81">
        <f t="shared" ref="I7" si="2">C7/F7</f>
        <v>0.54545454545454541</v>
      </c>
      <c r="J7" s="82">
        <f t="shared" si="0"/>
        <v>0</v>
      </c>
      <c r="K7" s="83">
        <f t="shared" ref="K7" si="3">J7+H7+I7</f>
        <v>0.83974025974025968</v>
      </c>
    </row>
    <row r="8" spans="1:14" x14ac:dyDescent="0.25">
      <c r="A8" s="58" t="s">
        <v>221</v>
      </c>
      <c r="B8" s="78">
        <v>13.5</v>
      </c>
      <c r="C8" s="79">
        <f>4+14.77</f>
        <v>18.77</v>
      </c>
      <c r="D8" s="79">
        <v>0</v>
      </c>
      <c r="E8" s="80">
        <v>30</v>
      </c>
      <c r="F8" s="78">
        <v>41.5</v>
      </c>
      <c r="G8" s="78"/>
      <c r="H8" s="81">
        <f t="shared" ref="H8:H21" si="4">B8/F8</f>
        <v>0.3253012048192771</v>
      </c>
      <c r="I8" s="81">
        <f t="shared" ref="I8:I21" si="5">C8/F8</f>
        <v>0.45228915662650604</v>
      </c>
      <c r="J8" s="82">
        <f t="shared" si="0"/>
        <v>0</v>
      </c>
      <c r="K8" s="83">
        <f t="shared" ref="K8:K21" si="6">J8+H8+I8</f>
        <v>0.77759036144578308</v>
      </c>
    </row>
    <row r="9" spans="1:14" x14ac:dyDescent="0.25">
      <c r="A9" s="58" t="s">
        <v>186</v>
      </c>
      <c r="B9" s="78">
        <v>10.3</v>
      </c>
      <c r="C9" s="79">
        <f>24</f>
        <v>24</v>
      </c>
      <c r="D9" s="79">
        <v>0</v>
      </c>
      <c r="E9" s="80">
        <v>21</v>
      </c>
      <c r="F9" s="78">
        <v>44.5</v>
      </c>
      <c r="G9" s="78"/>
      <c r="H9" s="81">
        <f t="shared" si="4"/>
        <v>0.2314606741573034</v>
      </c>
      <c r="I9" s="81">
        <f t="shared" si="5"/>
        <v>0.5393258426966292</v>
      </c>
      <c r="J9" s="82">
        <f t="shared" si="0"/>
        <v>0</v>
      </c>
      <c r="K9" s="83">
        <f t="shared" si="6"/>
        <v>0.77078651685393262</v>
      </c>
    </row>
    <row r="10" spans="1:14" x14ac:dyDescent="0.25">
      <c r="A10" s="58" t="s">
        <v>224</v>
      </c>
      <c r="B10" s="78">
        <v>8.33</v>
      </c>
      <c r="C10" s="79">
        <f>1.33+17.91</f>
        <v>19.240000000000002</v>
      </c>
      <c r="D10" s="79">
        <v>0</v>
      </c>
      <c r="E10" s="80">
        <v>21</v>
      </c>
      <c r="F10" s="78">
        <v>42</v>
      </c>
      <c r="G10" s="78"/>
      <c r="H10" s="81">
        <f t="shared" si="4"/>
        <v>0.19833333333333333</v>
      </c>
      <c r="I10" s="81">
        <f t="shared" si="5"/>
        <v>0.45809523809523817</v>
      </c>
      <c r="J10" s="82">
        <f t="shared" si="0"/>
        <v>0</v>
      </c>
      <c r="K10" s="83">
        <f t="shared" si="6"/>
        <v>0.65642857142857147</v>
      </c>
    </row>
    <row r="11" spans="1:14" x14ac:dyDescent="0.25">
      <c r="A11" s="58" t="s">
        <v>178</v>
      </c>
      <c r="B11" s="78">
        <v>2.8330000000000002</v>
      </c>
      <c r="C11" s="79">
        <f>18</f>
        <v>18</v>
      </c>
      <c r="D11" s="79">
        <v>0</v>
      </c>
      <c r="E11" s="80">
        <v>22</v>
      </c>
      <c r="F11" s="78">
        <v>38</v>
      </c>
      <c r="G11" s="78"/>
      <c r="H11" s="81">
        <f t="shared" si="4"/>
        <v>7.455263157894737E-2</v>
      </c>
      <c r="I11" s="81">
        <f t="shared" si="5"/>
        <v>0.47368421052631576</v>
      </c>
      <c r="J11" s="82">
        <f t="shared" si="0"/>
        <v>0</v>
      </c>
      <c r="K11" s="83">
        <f t="shared" si="6"/>
        <v>0.54823684210526313</v>
      </c>
    </row>
    <row r="12" spans="1:14" x14ac:dyDescent="0.25">
      <c r="A12" s="58" t="s">
        <v>207</v>
      </c>
      <c r="B12" s="78">
        <v>8.83</v>
      </c>
      <c r="C12" s="79">
        <v>27</v>
      </c>
      <c r="D12" s="79">
        <v>0</v>
      </c>
      <c r="E12" s="80">
        <v>34</v>
      </c>
      <c r="F12" s="78">
        <v>66</v>
      </c>
      <c r="G12" s="78"/>
      <c r="H12" s="81">
        <f t="shared" si="4"/>
        <v>0.13378787878787879</v>
      </c>
      <c r="I12" s="81">
        <f t="shared" si="5"/>
        <v>0.40909090909090912</v>
      </c>
      <c r="J12" s="82">
        <f t="shared" si="0"/>
        <v>0</v>
      </c>
      <c r="K12" s="83">
        <f t="shared" si="6"/>
        <v>0.54287878787878796</v>
      </c>
    </row>
    <row r="13" spans="1:14" x14ac:dyDescent="0.25">
      <c r="A13" s="58" t="s">
        <v>137</v>
      </c>
      <c r="B13" s="78">
        <f>1.6+11</f>
        <v>12.6</v>
      </c>
      <c r="C13" s="79">
        <f>14.25</f>
        <v>14.25</v>
      </c>
      <c r="D13" s="79">
        <v>0</v>
      </c>
      <c r="E13" s="80">
        <v>12</v>
      </c>
      <c r="F13" s="78">
        <v>52.5</v>
      </c>
      <c r="G13" s="78"/>
      <c r="H13" s="81">
        <f t="shared" si="4"/>
        <v>0.24</v>
      </c>
      <c r="I13" s="81">
        <f t="shared" si="5"/>
        <v>0.27142857142857141</v>
      </c>
      <c r="J13" s="82">
        <f t="shared" si="0"/>
        <v>0</v>
      </c>
      <c r="K13" s="83">
        <f t="shared" si="6"/>
        <v>0.51142857142857134</v>
      </c>
    </row>
    <row r="14" spans="1:14" x14ac:dyDescent="0.25">
      <c r="A14" s="58" t="s">
        <v>103</v>
      </c>
      <c r="B14" s="78">
        <f>1.5+3.8</f>
        <v>5.3</v>
      </c>
      <c r="C14" s="79">
        <f>4+16.83</f>
        <v>20.83</v>
      </c>
      <c r="D14" s="79">
        <v>0</v>
      </c>
      <c r="E14" s="80">
        <v>23</v>
      </c>
      <c r="F14" s="78">
        <v>60.5</v>
      </c>
      <c r="G14" s="78"/>
      <c r="H14" s="81">
        <f t="shared" si="4"/>
        <v>8.7603305785123958E-2</v>
      </c>
      <c r="I14" s="81">
        <f t="shared" si="5"/>
        <v>0.34429752066115699</v>
      </c>
      <c r="J14" s="82">
        <f t="shared" si="0"/>
        <v>0</v>
      </c>
      <c r="K14" s="83">
        <f t="shared" si="6"/>
        <v>0.43190082644628092</v>
      </c>
    </row>
    <row r="15" spans="1:14" x14ac:dyDescent="0.25">
      <c r="A15" s="58" t="s">
        <v>204</v>
      </c>
      <c r="B15" s="78">
        <v>11.5</v>
      </c>
      <c r="C15" s="79">
        <f>1.33+12.58</f>
        <v>13.91</v>
      </c>
      <c r="D15" s="79">
        <v>0</v>
      </c>
      <c r="E15" s="80">
        <v>23</v>
      </c>
      <c r="F15" s="78">
        <v>60.5</v>
      </c>
      <c r="G15" s="78"/>
      <c r="H15" s="81">
        <f t="shared" si="4"/>
        <v>0.19008264462809918</v>
      </c>
      <c r="I15" s="81">
        <f t="shared" si="5"/>
        <v>0.22991735537190083</v>
      </c>
      <c r="J15" s="82">
        <f t="shared" si="0"/>
        <v>0</v>
      </c>
      <c r="K15" s="83">
        <f t="shared" si="6"/>
        <v>0.42000000000000004</v>
      </c>
    </row>
    <row r="16" spans="1:14" x14ac:dyDescent="0.25">
      <c r="A16" s="58" t="s">
        <v>74</v>
      </c>
      <c r="B16" s="78">
        <v>11</v>
      </c>
      <c r="C16" s="79">
        <f>14</f>
        <v>14</v>
      </c>
      <c r="D16" s="79">
        <v>0</v>
      </c>
      <c r="E16" s="80">
        <v>17</v>
      </c>
      <c r="F16" s="78">
        <v>63</v>
      </c>
      <c r="G16" s="78"/>
      <c r="H16" s="81">
        <f t="shared" si="4"/>
        <v>0.17460317460317459</v>
      </c>
      <c r="I16" s="81">
        <f t="shared" si="5"/>
        <v>0.22222222222222221</v>
      </c>
      <c r="J16" s="82">
        <f t="shared" si="0"/>
        <v>0</v>
      </c>
      <c r="K16" s="83">
        <f t="shared" si="6"/>
        <v>0.3968253968253968</v>
      </c>
    </row>
    <row r="17" spans="1:11" x14ac:dyDescent="0.25">
      <c r="A17" s="58" t="s">
        <v>223</v>
      </c>
      <c r="B17" s="78">
        <v>5.9</v>
      </c>
      <c r="C17" s="79">
        <v>11</v>
      </c>
      <c r="D17" s="79">
        <v>0</v>
      </c>
      <c r="E17" s="80">
        <v>11</v>
      </c>
      <c r="F17" s="78">
        <v>45</v>
      </c>
      <c r="G17" s="78"/>
      <c r="H17" s="81">
        <f t="shared" si="4"/>
        <v>0.13111111111111112</v>
      </c>
      <c r="I17" s="81">
        <f t="shared" si="5"/>
        <v>0.24444444444444444</v>
      </c>
      <c r="J17" s="82">
        <f t="shared" si="0"/>
        <v>0</v>
      </c>
      <c r="K17" s="83">
        <f t="shared" si="6"/>
        <v>0.37555555555555553</v>
      </c>
    </row>
    <row r="18" spans="1:11" x14ac:dyDescent="0.25">
      <c r="A18" s="58" t="s">
        <v>205</v>
      </c>
      <c r="B18" s="78">
        <v>9.16</v>
      </c>
      <c r="C18" s="79">
        <v>9.8000000000000007</v>
      </c>
      <c r="D18" s="79">
        <v>0</v>
      </c>
      <c r="E18" s="80">
        <v>14</v>
      </c>
      <c r="F18" s="78">
        <v>52.5</v>
      </c>
      <c r="G18" s="78"/>
      <c r="H18" s="81">
        <f t="shared" si="4"/>
        <v>0.17447619047619048</v>
      </c>
      <c r="I18" s="81">
        <f t="shared" si="5"/>
        <v>0.18666666666666668</v>
      </c>
      <c r="J18" s="82">
        <f t="shared" si="0"/>
        <v>0</v>
      </c>
      <c r="K18" s="83">
        <f t="shared" si="6"/>
        <v>0.36114285714285715</v>
      </c>
    </row>
    <row r="19" spans="1:11" x14ac:dyDescent="0.25">
      <c r="A19" s="58" t="s">
        <v>219</v>
      </c>
      <c r="B19" s="78">
        <v>9.16</v>
      </c>
      <c r="C19" s="79">
        <f>4+10.08</f>
        <v>14.08</v>
      </c>
      <c r="D19" s="79">
        <v>0</v>
      </c>
      <c r="E19" s="80">
        <v>25</v>
      </c>
      <c r="F19" s="78">
        <v>65</v>
      </c>
      <c r="G19" s="78"/>
      <c r="H19" s="81">
        <f t="shared" si="4"/>
        <v>0.14092307692307693</v>
      </c>
      <c r="I19" s="81">
        <f t="shared" si="5"/>
        <v>0.21661538461538463</v>
      </c>
      <c r="J19" s="82">
        <f t="shared" si="0"/>
        <v>0</v>
      </c>
      <c r="K19" s="83">
        <f t="shared" si="6"/>
        <v>0.35753846153846158</v>
      </c>
    </row>
    <row r="20" spans="1:11" x14ac:dyDescent="0.25">
      <c r="A20" s="58" t="s">
        <v>122</v>
      </c>
      <c r="B20" s="78">
        <f>3.66+3.75</f>
        <v>7.41</v>
      </c>
      <c r="C20" s="79">
        <v>14.5</v>
      </c>
      <c r="D20" s="79">
        <v>0</v>
      </c>
      <c r="E20" s="80">
        <v>19</v>
      </c>
      <c r="F20" s="78">
        <v>62</v>
      </c>
      <c r="G20" s="78"/>
      <c r="H20" s="81">
        <f t="shared" si="4"/>
        <v>0.11951612903225807</v>
      </c>
      <c r="I20" s="81">
        <f t="shared" si="5"/>
        <v>0.23387096774193547</v>
      </c>
      <c r="J20" s="82">
        <f t="shared" si="0"/>
        <v>0</v>
      </c>
      <c r="K20" s="83">
        <f t="shared" si="6"/>
        <v>0.35338709677419355</v>
      </c>
    </row>
    <row r="21" spans="1:11" x14ac:dyDescent="0.25">
      <c r="A21" s="58" t="s">
        <v>188</v>
      </c>
      <c r="B21" s="78">
        <v>5.4</v>
      </c>
      <c r="C21" s="79">
        <f>15.5</f>
        <v>15.5</v>
      </c>
      <c r="D21" s="79">
        <v>0</v>
      </c>
      <c r="E21" s="80">
        <v>25</v>
      </c>
      <c r="F21" s="78">
        <v>67</v>
      </c>
      <c r="G21" s="78"/>
      <c r="H21" s="81">
        <f t="shared" si="4"/>
        <v>8.0597014925373134E-2</v>
      </c>
      <c r="I21" s="81">
        <f t="shared" si="5"/>
        <v>0.23134328358208955</v>
      </c>
      <c r="J21" s="82">
        <f t="shared" si="0"/>
        <v>0</v>
      </c>
      <c r="K21" s="83">
        <f t="shared" si="6"/>
        <v>0.31194029850746269</v>
      </c>
    </row>
    <row r="24" spans="1:11" x14ac:dyDescent="0.25">
      <c r="B24" t="s">
        <v>345</v>
      </c>
    </row>
    <row r="29" spans="1:11" x14ac:dyDescent="0.25">
      <c r="J29" s="5"/>
    </row>
    <row r="30" spans="1:11" x14ac:dyDescent="0.25">
      <c r="J30" s="5"/>
    </row>
    <row r="31" spans="1:11" x14ac:dyDescent="0.25">
      <c r="J31" s="5"/>
    </row>
    <row r="32" spans="1:11" x14ac:dyDescent="0.25">
      <c r="J32" s="5"/>
    </row>
    <row r="33" spans="10:10" x14ac:dyDescent="0.25">
      <c r="J33" s="5"/>
    </row>
    <row r="34" spans="10:10" x14ac:dyDescent="0.25">
      <c r="J34" s="5"/>
    </row>
    <row r="35" spans="10:10" x14ac:dyDescent="0.25">
      <c r="J35" s="5"/>
    </row>
    <row r="36" spans="10:10" x14ac:dyDescent="0.25">
      <c r="J36" s="5"/>
    </row>
    <row r="37" spans="10:10" x14ac:dyDescent="0.25">
      <c r="J37" s="5"/>
    </row>
    <row r="38" spans="10:10" x14ac:dyDescent="0.25">
      <c r="J38" s="5"/>
    </row>
    <row r="39" spans="10:10" x14ac:dyDescent="0.25">
      <c r="J39" s="5"/>
    </row>
    <row r="40" spans="10:10" x14ac:dyDescent="0.25">
      <c r="J40" s="5"/>
    </row>
    <row r="41" spans="10:10" x14ac:dyDescent="0.25">
      <c r="J41" s="5"/>
    </row>
    <row r="42" spans="10:10" x14ac:dyDescent="0.25">
      <c r="J42" s="5"/>
    </row>
    <row r="43" spans="10:10" x14ac:dyDescent="0.25">
      <c r="J43" s="5"/>
    </row>
    <row r="44" spans="10:10" x14ac:dyDescent="0.25">
      <c r="J44" s="5"/>
    </row>
  </sheetData>
  <mergeCells count="1">
    <mergeCell ref="H2:K2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75F3-F73E-4BAA-BAF8-8F408715C281}">
  <dimension ref="A2:AL50"/>
  <sheetViews>
    <sheetView topLeftCell="S16" workbookViewId="0">
      <selection activeCell="P41" sqref="P41"/>
    </sheetView>
  </sheetViews>
  <sheetFormatPr defaultRowHeight="15" x14ac:dyDescent="0.25"/>
  <cols>
    <col min="1" max="1" width="10.42578125" customWidth="1"/>
    <col min="2" max="2" width="9.28515625" customWidth="1"/>
    <col min="3" max="3" width="9.5703125" customWidth="1"/>
    <col min="4" max="13" width="9.140625" customWidth="1"/>
    <col min="14" max="14" width="11.28515625" customWidth="1"/>
    <col min="15" max="22" width="9.140625" customWidth="1"/>
    <col min="23" max="23" width="10.85546875" customWidth="1"/>
    <col min="24" max="28" width="9.140625" customWidth="1"/>
    <col min="29" max="29" width="9.140625" style="42" customWidth="1"/>
    <col min="30" max="30" width="2.42578125" customWidth="1"/>
    <col min="31" max="31" width="9.140625" style="3"/>
    <col min="38" max="38" width="13.7109375" customWidth="1"/>
  </cols>
  <sheetData>
    <row r="2" spans="1:38" x14ac:dyDescent="0.25">
      <c r="A2" s="3"/>
      <c r="W2" s="3"/>
      <c r="AE2" s="68" t="s">
        <v>318</v>
      </c>
      <c r="AF2" s="69"/>
      <c r="AG2" s="69"/>
      <c r="AH2" s="69"/>
      <c r="AI2" s="69"/>
      <c r="AJ2" s="69"/>
      <c r="AK2" s="69"/>
      <c r="AL2" s="70"/>
    </row>
    <row r="3" spans="1:38" x14ac:dyDescent="0.25">
      <c r="B3" s="23" t="s">
        <v>230</v>
      </c>
      <c r="C3" s="26" t="s">
        <v>231</v>
      </c>
      <c r="D3" s="7" t="s">
        <v>234</v>
      </c>
      <c r="E3" s="7" t="s">
        <v>232</v>
      </c>
      <c r="F3" s="7" t="s">
        <v>233</v>
      </c>
      <c r="G3" s="7" t="s">
        <v>311</v>
      </c>
      <c r="I3" s="23" t="s">
        <v>230</v>
      </c>
      <c r="J3" s="39" t="s">
        <v>231</v>
      </c>
      <c r="K3" s="7" t="s">
        <v>234</v>
      </c>
      <c r="L3" s="7" t="s">
        <v>232</v>
      </c>
      <c r="M3" s="7" t="s">
        <v>233</v>
      </c>
      <c r="O3" s="23" t="s">
        <v>230</v>
      </c>
      <c r="P3" s="26" t="s">
        <v>231</v>
      </c>
      <c r="Q3" s="7" t="s">
        <v>314</v>
      </c>
      <c r="R3" s="7" t="s">
        <v>234</v>
      </c>
      <c r="S3" s="7" t="s">
        <v>315</v>
      </c>
      <c r="T3" s="7" t="s">
        <v>232</v>
      </c>
      <c r="U3" s="7" t="s">
        <v>233</v>
      </c>
      <c r="V3" s="7" t="s">
        <v>311</v>
      </c>
      <c r="X3" s="23" t="s">
        <v>230</v>
      </c>
      <c r="Y3" s="26" t="s">
        <v>231</v>
      </c>
      <c r="Z3" s="7" t="s">
        <v>234</v>
      </c>
      <c r="AA3" s="7" t="s">
        <v>232</v>
      </c>
      <c r="AB3" s="7" t="s">
        <v>233</v>
      </c>
      <c r="AC3" s="43" t="s">
        <v>311</v>
      </c>
      <c r="AE3" s="31"/>
      <c r="AF3" s="33" t="s">
        <v>230</v>
      </c>
      <c r="AG3" s="33" t="s">
        <v>231</v>
      </c>
      <c r="AH3" s="33" t="s">
        <v>315</v>
      </c>
      <c r="AI3" s="33" t="s">
        <v>232</v>
      </c>
      <c r="AJ3" s="33" t="s">
        <v>233</v>
      </c>
      <c r="AK3" s="33" t="s">
        <v>234</v>
      </c>
      <c r="AL3" s="33" t="s">
        <v>311</v>
      </c>
    </row>
    <row r="4" spans="1:38" x14ac:dyDescent="0.25">
      <c r="B4" s="24"/>
      <c r="C4" s="27"/>
      <c r="I4" s="24"/>
      <c r="J4" s="40"/>
      <c r="O4" s="24"/>
      <c r="P4" s="27"/>
      <c r="X4" s="24"/>
      <c r="Y4" s="27"/>
      <c r="AE4" s="31"/>
      <c r="AF4" s="32"/>
      <c r="AG4" s="32"/>
      <c r="AH4" s="32"/>
      <c r="AI4" s="32"/>
      <c r="AJ4" s="32"/>
      <c r="AK4" s="32"/>
      <c r="AL4" s="32"/>
    </row>
    <row r="5" spans="1:38" x14ac:dyDescent="0.25">
      <c r="A5" s="3" t="s">
        <v>23</v>
      </c>
      <c r="B5" s="30">
        <v>55</v>
      </c>
      <c r="C5" s="28">
        <v>4.5</v>
      </c>
      <c r="D5" s="5">
        <v>62.5</v>
      </c>
      <c r="E5" s="6">
        <f t="shared" ref="E5:E22" si="0">B5/D5</f>
        <v>0.88</v>
      </c>
      <c r="F5" s="6">
        <f t="shared" ref="F5:F22" si="1">C5/D5</f>
        <v>7.1999999999999995E-2</v>
      </c>
      <c r="G5" s="18">
        <f>E5+F5</f>
        <v>0.95199999999999996</v>
      </c>
      <c r="H5" s="3" t="s">
        <v>23</v>
      </c>
      <c r="I5" s="25">
        <v>6</v>
      </c>
      <c r="J5" s="41">
        <v>12</v>
      </c>
      <c r="K5" s="5">
        <v>64.97999999999999</v>
      </c>
      <c r="L5" s="6">
        <f>I5/K5</f>
        <v>9.2336103416435847E-2</v>
      </c>
      <c r="M5" s="6">
        <f>J5/K5</f>
        <v>0.18467220683287169</v>
      </c>
      <c r="N5" s="3" t="s">
        <v>23</v>
      </c>
      <c r="O5" s="25">
        <v>46</v>
      </c>
      <c r="P5" s="28">
        <v>9.8000000000000007</v>
      </c>
      <c r="Q5" s="16">
        <v>2</v>
      </c>
      <c r="R5" s="5">
        <v>62</v>
      </c>
      <c r="S5" s="22">
        <f>Q5/R5</f>
        <v>3.2258064516129031E-2</v>
      </c>
      <c r="T5" s="6">
        <f>O5/R5</f>
        <v>0.74193548387096775</v>
      </c>
      <c r="U5" s="6">
        <f>P5/R5</f>
        <v>0.15806451612903227</v>
      </c>
      <c r="V5" s="18">
        <f>S5+T5+U5</f>
        <v>0.93225806451612903</v>
      </c>
      <c r="W5" s="3" t="s">
        <v>23</v>
      </c>
      <c r="X5" s="25">
        <v>10</v>
      </c>
      <c r="Y5" s="29">
        <v>21</v>
      </c>
      <c r="Z5" s="5"/>
      <c r="AA5" s="6" t="e">
        <f t="shared" ref="AA5:AA22" si="2">X5/Z5</f>
        <v>#DIV/0!</v>
      </c>
      <c r="AB5" s="6" t="e">
        <f t="shared" ref="AB5:AB22" si="3">Y5/Z5</f>
        <v>#DIV/0!</v>
      </c>
      <c r="AC5" s="44" t="e">
        <f>AA5+AB5</f>
        <v>#DIV/0!</v>
      </c>
      <c r="AE5" s="31" t="s">
        <v>23</v>
      </c>
      <c r="AF5" s="34">
        <f>B5+I5+O5+X5</f>
        <v>117</v>
      </c>
      <c r="AG5" s="34">
        <f>C5+J5+Y5</f>
        <v>37.5</v>
      </c>
      <c r="AH5" s="35">
        <v>3.3333333333333298E-2</v>
      </c>
      <c r="AI5" s="36">
        <f t="shared" ref="AI5:AI22" si="4">AF5/AK5</f>
        <v>0.61747941735275491</v>
      </c>
      <c r="AJ5" s="36">
        <f>AG5/AK5</f>
        <v>0.19791006966434455</v>
      </c>
      <c r="AK5" s="32">
        <f>D5+K5+R5</f>
        <v>189.48</v>
      </c>
      <c r="AL5" s="37">
        <f>AI5+AJ5+AH5</f>
        <v>0.84872282035043278</v>
      </c>
    </row>
    <row r="6" spans="1:38" x14ac:dyDescent="0.25">
      <c r="A6" s="3" t="s">
        <v>74</v>
      </c>
      <c r="B6" s="30">
        <v>50</v>
      </c>
      <c r="C6" s="28">
        <v>10</v>
      </c>
      <c r="D6" s="5">
        <v>61.5</v>
      </c>
      <c r="E6" s="6">
        <f t="shared" si="0"/>
        <v>0.81300813008130079</v>
      </c>
      <c r="F6" s="6">
        <f t="shared" si="1"/>
        <v>0.16260162601626016</v>
      </c>
      <c r="G6" s="18">
        <f>E6+F6</f>
        <v>0.97560975609756095</v>
      </c>
      <c r="H6" s="3" t="s">
        <v>74</v>
      </c>
      <c r="I6" s="25">
        <v>12</v>
      </c>
      <c r="J6" s="41">
        <v>8</v>
      </c>
      <c r="K6" s="5">
        <v>48</v>
      </c>
      <c r="L6" s="6">
        <f t="shared" ref="L6:L22" si="5">I6/K6</f>
        <v>0.25</v>
      </c>
      <c r="M6" s="6">
        <f t="shared" ref="M6:M22" si="6">J6/K6</f>
        <v>0.16666666666666666</v>
      </c>
      <c r="N6" s="3" t="s">
        <v>74</v>
      </c>
      <c r="O6" s="25">
        <v>42</v>
      </c>
      <c r="P6" s="28">
        <v>9.8833333333333329</v>
      </c>
      <c r="Q6" s="16">
        <v>4</v>
      </c>
      <c r="R6" s="5">
        <v>61.480000000000004</v>
      </c>
      <c r="S6" s="22">
        <f t="shared" ref="S6:S22" si="7">Q6/R6</f>
        <v>6.5061808718282363E-2</v>
      </c>
      <c r="T6" s="6">
        <f t="shared" ref="T6:T22" si="8">O6/R6</f>
        <v>0.68314899154196485</v>
      </c>
      <c r="U6" s="6">
        <f t="shared" ref="U6:U22" si="9">P6/R6</f>
        <v>0.16075688570808933</v>
      </c>
      <c r="V6" s="18">
        <f t="shared" ref="V6:V22" si="10">S6+T6+U6</f>
        <v>0.90896768596833655</v>
      </c>
      <c r="W6" s="3" t="s">
        <v>74</v>
      </c>
      <c r="X6" s="25">
        <v>9</v>
      </c>
      <c r="Y6" s="29">
        <v>18</v>
      </c>
      <c r="Z6" s="5"/>
      <c r="AA6" s="6" t="e">
        <f t="shared" si="2"/>
        <v>#DIV/0!</v>
      </c>
      <c r="AB6" s="6" t="e">
        <f t="shared" si="3"/>
        <v>#DIV/0!</v>
      </c>
      <c r="AC6" s="44" t="e">
        <f>AA6+AB6</f>
        <v>#DIV/0!</v>
      </c>
      <c r="AE6" s="31" t="s">
        <v>74</v>
      </c>
      <c r="AF6" s="34">
        <f t="shared" ref="AF6:AF22" si="11">B6+I6+O6+X6</f>
        <v>113</v>
      </c>
      <c r="AG6" s="34">
        <f t="shared" ref="AG6:AG22" si="12">C6+J6+Y6</f>
        <v>36</v>
      </c>
      <c r="AH6" s="35">
        <v>5.5555555555555552E-2</v>
      </c>
      <c r="AI6" s="36">
        <f t="shared" si="4"/>
        <v>0.66089601122938346</v>
      </c>
      <c r="AJ6" s="36">
        <f t="shared" ref="AJ6:AJ22" si="13">AG6/AK6</f>
        <v>0.21055094163060004</v>
      </c>
      <c r="AK6" s="32">
        <f t="shared" ref="AK6:AK22" si="14">D6+K6+R6</f>
        <v>170.98000000000002</v>
      </c>
      <c r="AL6" s="38">
        <f>AI6+AJ6+AH6</f>
        <v>0.92700250841553911</v>
      </c>
    </row>
    <row r="7" spans="1:38" x14ac:dyDescent="0.25">
      <c r="A7" s="3" t="s">
        <v>103</v>
      </c>
      <c r="B7" s="30">
        <v>37</v>
      </c>
      <c r="C7" s="28">
        <v>7</v>
      </c>
      <c r="D7" s="5">
        <v>62</v>
      </c>
      <c r="E7" s="6">
        <f t="shared" si="0"/>
        <v>0.59677419354838712</v>
      </c>
      <c r="F7" s="6">
        <f t="shared" si="1"/>
        <v>0.11290322580645161</v>
      </c>
      <c r="G7" s="18">
        <f t="shared" ref="G7:G22" si="15">E7+F7</f>
        <v>0.70967741935483875</v>
      </c>
      <c r="H7" s="3" t="s">
        <v>103</v>
      </c>
      <c r="I7" s="25">
        <v>12</v>
      </c>
      <c r="J7" s="41">
        <v>9</v>
      </c>
      <c r="K7" s="5">
        <v>57.5</v>
      </c>
      <c r="L7" s="6">
        <f t="shared" si="5"/>
        <v>0.20869565217391303</v>
      </c>
      <c r="M7" s="6">
        <f t="shared" si="6"/>
        <v>0.15652173913043479</v>
      </c>
      <c r="N7" s="3" t="s">
        <v>103</v>
      </c>
      <c r="O7" s="25">
        <v>37</v>
      </c>
      <c r="P7" s="28">
        <v>9.9</v>
      </c>
      <c r="Q7" s="16">
        <v>4.5</v>
      </c>
      <c r="R7" s="5">
        <v>52.5</v>
      </c>
      <c r="S7" s="22">
        <f t="shared" si="7"/>
        <v>8.5714285714285715E-2</v>
      </c>
      <c r="T7" s="6">
        <f t="shared" si="8"/>
        <v>0.70476190476190481</v>
      </c>
      <c r="U7" s="6">
        <f t="shared" si="9"/>
        <v>0.18857142857142858</v>
      </c>
      <c r="V7" s="18">
        <f t="shared" si="10"/>
        <v>0.97904761904761917</v>
      </c>
      <c r="W7" s="3" t="s">
        <v>103</v>
      </c>
      <c r="X7" s="25">
        <v>13</v>
      </c>
      <c r="Y7" s="29">
        <v>30</v>
      </c>
      <c r="Z7" s="5"/>
      <c r="AA7" s="6" t="e">
        <f t="shared" si="2"/>
        <v>#DIV/0!</v>
      </c>
      <c r="AB7" s="6" t="e">
        <f t="shared" si="3"/>
        <v>#DIV/0!</v>
      </c>
      <c r="AC7" s="44" t="e">
        <f t="shared" ref="AC7:AC22" si="16">AA7+AB7</f>
        <v>#DIV/0!</v>
      </c>
      <c r="AE7" s="31" t="s">
        <v>103</v>
      </c>
      <c r="AF7" s="34">
        <f t="shared" si="11"/>
        <v>99</v>
      </c>
      <c r="AG7" s="34">
        <f t="shared" si="12"/>
        <v>46</v>
      </c>
      <c r="AH7" s="35">
        <v>8.5714285714285701E-2</v>
      </c>
      <c r="AI7" s="36">
        <f t="shared" si="4"/>
        <v>0.57558139534883723</v>
      </c>
      <c r="AJ7" s="36">
        <f t="shared" si="13"/>
        <v>0.26744186046511625</v>
      </c>
      <c r="AK7" s="32">
        <f t="shared" si="14"/>
        <v>172</v>
      </c>
      <c r="AL7" s="38">
        <f t="shared" ref="AL7:AL22" si="17">AI7+AJ7+AH7</f>
        <v>0.92873754152823917</v>
      </c>
    </row>
    <row r="8" spans="1:38" x14ac:dyDescent="0.25">
      <c r="A8" s="3" t="s">
        <v>122</v>
      </c>
      <c r="B8" s="30">
        <v>30</v>
      </c>
      <c r="C8" s="28">
        <v>9</v>
      </c>
      <c r="D8" s="5">
        <v>40</v>
      </c>
      <c r="E8" s="6">
        <f t="shared" si="0"/>
        <v>0.75</v>
      </c>
      <c r="F8" s="6">
        <f t="shared" si="1"/>
        <v>0.22500000000000001</v>
      </c>
      <c r="G8" s="18">
        <f t="shared" si="15"/>
        <v>0.97499999999999998</v>
      </c>
      <c r="H8" s="3" t="s">
        <v>122</v>
      </c>
      <c r="I8" s="25">
        <v>17</v>
      </c>
      <c r="J8" s="41">
        <v>19</v>
      </c>
      <c r="K8" s="5">
        <v>63.5</v>
      </c>
      <c r="L8" s="6">
        <f t="shared" si="5"/>
        <v>0.26771653543307089</v>
      </c>
      <c r="M8" s="6">
        <f t="shared" si="6"/>
        <v>0.29921259842519687</v>
      </c>
      <c r="N8" s="3" t="s">
        <v>122</v>
      </c>
      <c r="O8" s="25">
        <v>37</v>
      </c>
      <c r="P8" s="28">
        <v>12.533333333333333</v>
      </c>
      <c r="Q8" s="16">
        <v>2</v>
      </c>
      <c r="R8" s="5">
        <v>52</v>
      </c>
      <c r="S8" s="22">
        <f t="shared" si="7"/>
        <v>3.8461538461538464E-2</v>
      </c>
      <c r="T8" s="6">
        <f t="shared" si="8"/>
        <v>0.71153846153846156</v>
      </c>
      <c r="U8" s="6">
        <f t="shared" si="9"/>
        <v>0.24102564102564103</v>
      </c>
      <c r="V8" s="18">
        <f t="shared" si="10"/>
        <v>0.99102564102564106</v>
      </c>
      <c r="W8" s="3" t="s">
        <v>122</v>
      </c>
      <c r="X8" s="25">
        <v>18</v>
      </c>
      <c r="Y8" s="29">
        <v>30</v>
      </c>
      <c r="Z8" s="5"/>
      <c r="AA8" s="6" t="e">
        <f t="shared" si="2"/>
        <v>#DIV/0!</v>
      </c>
      <c r="AB8" s="6" t="e">
        <f t="shared" si="3"/>
        <v>#DIV/0!</v>
      </c>
      <c r="AC8" s="44" t="e">
        <f t="shared" si="16"/>
        <v>#DIV/0!</v>
      </c>
      <c r="AE8" s="31" t="s">
        <v>122</v>
      </c>
      <c r="AF8" s="34">
        <f t="shared" si="11"/>
        <v>102</v>
      </c>
      <c r="AG8" s="34">
        <f t="shared" si="12"/>
        <v>58</v>
      </c>
      <c r="AH8" s="35">
        <v>2.9850746268656716E-2</v>
      </c>
      <c r="AI8" s="36">
        <f t="shared" si="4"/>
        <v>0.65594855305466238</v>
      </c>
      <c r="AJ8" s="36">
        <f t="shared" si="13"/>
        <v>0.37299035369774919</v>
      </c>
      <c r="AK8" s="32">
        <f t="shared" si="14"/>
        <v>155.5</v>
      </c>
      <c r="AL8" s="38">
        <f t="shared" si="17"/>
        <v>1.0587896530210683</v>
      </c>
    </row>
    <row r="9" spans="1:38" x14ac:dyDescent="0.25">
      <c r="A9" s="3" t="s">
        <v>137</v>
      </c>
      <c r="B9" s="30">
        <v>30</v>
      </c>
      <c r="C9" s="28">
        <v>10</v>
      </c>
      <c r="D9" s="5">
        <v>40.5</v>
      </c>
      <c r="E9" s="6">
        <f t="shared" si="0"/>
        <v>0.7407407407407407</v>
      </c>
      <c r="F9" s="6">
        <f t="shared" si="1"/>
        <v>0.24691358024691357</v>
      </c>
      <c r="G9" s="18">
        <f t="shared" si="15"/>
        <v>0.98765432098765427</v>
      </c>
      <c r="H9" s="3" t="s">
        <v>137</v>
      </c>
      <c r="I9" s="25">
        <v>10</v>
      </c>
      <c r="J9" s="41">
        <v>22</v>
      </c>
      <c r="K9" s="5">
        <v>61.5</v>
      </c>
      <c r="L9" s="6">
        <f t="shared" si="5"/>
        <v>0.16260162601626016</v>
      </c>
      <c r="M9" s="6">
        <f t="shared" si="6"/>
        <v>0.35772357723577236</v>
      </c>
      <c r="N9" s="3" t="s">
        <v>137</v>
      </c>
      <c r="O9" s="25">
        <v>35</v>
      </c>
      <c r="P9" s="28">
        <v>16.366666666666699</v>
      </c>
      <c r="Q9" s="16">
        <v>1.5</v>
      </c>
      <c r="R9" s="5">
        <v>59</v>
      </c>
      <c r="S9" s="22">
        <f t="shared" si="7"/>
        <v>2.5423728813559324E-2</v>
      </c>
      <c r="T9" s="6">
        <f t="shared" si="8"/>
        <v>0.59322033898305082</v>
      </c>
      <c r="U9" s="6">
        <f t="shared" si="9"/>
        <v>0.27740112994350336</v>
      </c>
      <c r="V9" s="18">
        <f t="shared" si="10"/>
        <v>0.8960451977401136</v>
      </c>
      <c r="W9" s="3" t="s">
        <v>137</v>
      </c>
      <c r="X9" s="25">
        <v>14</v>
      </c>
      <c r="Y9" s="29">
        <v>39</v>
      </c>
      <c r="Z9" s="5"/>
      <c r="AA9" s="6" t="e">
        <f t="shared" si="2"/>
        <v>#DIV/0!</v>
      </c>
      <c r="AB9" s="6" t="e">
        <f t="shared" si="3"/>
        <v>#DIV/0!</v>
      </c>
      <c r="AC9" s="44" t="e">
        <f t="shared" si="16"/>
        <v>#DIV/0!</v>
      </c>
      <c r="AE9" s="31" t="s">
        <v>137</v>
      </c>
      <c r="AF9" s="34">
        <f t="shared" si="11"/>
        <v>89</v>
      </c>
      <c r="AG9" s="34">
        <f t="shared" si="12"/>
        <v>71</v>
      </c>
      <c r="AH9" s="35">
        <v>3.8461538461538464E-2</v>
      </c>
      <c r="AI9" s="36">
        <f t="shared" si="4"/>
        <v>0.55279503105590067</v>
      </c>
      <c r="AJ9" s="36">
        <f t="shared" si="13"/>
        <v>0.44099378881987578</v>
      </c>
      <c r="AK9" s="32">
        <f t="shared" si="14"/>
        <v>161</v>
      </c>
      <c r="AL9" s="38">
        <f t="shared" si="17"/>
        <v>1.032250358337315</v>
      </c>
    </row>
    <row r="10" spans="1:38" x14ac:dyDescent="0.25">
      <c r="A10" s="3" t="s">
        <v>156</v>
      </c>
      <c r="B10" s="30">
        <v>15</v>
      </c>
      <c r="C10" s="45">
        <v>32</v>
      </c>
      <c r="D10" s="5">
        <v>51</v>
      </c>
      <c r="E10" s="6">
        <f t="shared" si="0"/>
        <v>0.29411764705882354</v>
      </c>
      <c r="F10" s="6">
        <f t="shared" si="1"/>
        <v>0.62745098039215685</v>
      </c>
      <c r="G10" s="18">
        <f t="shared" si="15"/>
        <v>0.92156862745098045</v>
      </c>
      <c r="H10" s="3" t="s">
        <v>156</v>
      </c>
      <c r="I10" s="25">
        <v>14</v>
      </c>
      <c r="J10" s="41">
        <v>30</v>
      </c>
      <c r="K10" s="5">
        <v>63</v>
      </c>
      <c r="L10" s="6">
        <f t="shared" si="5"/>
        <v>0.22222222222222221</v>
      </c>
      <c r="M10" s="6">
        <f t="shared" si="6"/>
        <v>0.47619047619047616</v>
      </c>
      <c r="N10" s="3" t="s">
        <v>156</v>
      </c>
      <c r="O10" s="25">
        <v>32</v>
      </c>
      <c r="P10" s="28">
        <v>43.841666666666683</v>
      </c>
      <c r="Q10" s="16">
        <v>1.5</v>
      </c>
      <c r="R10" s="5">
        <v>57</v>
      </c>
      <c r="S10" s="22">
        <f t="shared" si="7"/>
        <v>2.6315789473684209E-2</v>
      </c>
      <c r="T10" s="6">
        <f t="shared" si="8"/>
        <v>0.56140350877192979</v>
      </c>
      <c r="U10" s="6">
        <f t="shared" si="9"/>
        <v>0.76915204678362603</v>
      </c>
      <c r="V10" s="21">
        <f t="shared" si="10"/>
        <v>1.35687134502924</v>
      </c>
      <c r="W10" s="3" t="s">
        <v>156</v>
      </c>
      <c r="X10" s="25">
        <v>15</v>
      </c>
      <c r="Y10" s="29">
        <v>33</v>
      </c>
      <c r="Z10" s="5"/>
      <c r="AA10" s="6" t="e">
        <f t="shared" si="2"/>
        <v>#DIV/0!</v>
      </c>
      <c r="AB10" s="6" t="e">
        <f t="shared" si="3"/>
        <v>#DIV/0!</v>
      </c>
      <c r="AC10" s="44" t="e">
        <f>AA10+AB10</f>
        <v>#DIV/0!</v>
      </c>
      <c r="AE10" s="31" t="s">
        <v>156</v>
      </c>
      <c r="AF10" s="34">
        <f t="shared" si="11"/>
        <v>76</v>
      </c>
      <c r="AG10" s="34">
        <f t="shared" si="12"/>
        <v>95</v>
      </c>
      <c r="AH10" s="35">
        <v>2.3809523809523801E-2</v>
      </c>
      <c r="AI10" s="36">
        <f t="shared" si="4"/>
        <v>0.44444444444444442</v>
      </c>
      <c r="AJ10" s="36">
        <f t="shared" si="13"/>
        <v>0.55555555555555558</v>
      </c>
      <c r="AK10" s="32">
        <f t="shared" si="14"/>
        <v>171</v>
      </c>
      <c r="AL10" s="38">
        <f>AI10+AJ10+AH10</f>
        <v>1.0238095238095237</v>
      </c>
    </row>
    <row r="11" spans="1:38" x14ac:dyDescent="0.25">
      <c r="A11" s="3" t="s">
        <v>162</v>
      </c>
      <c r="B11" s="30">
        <v>28</v>
      </c>
      <c r="C11" s="28">
        <v>12</v>
      </c>
      <c r="D11" s="5">
        <v>60</v>
      </c>
      <c r="E11" s="6">
        <f t="shared" si="0"/>
        <v>0.46666666666666667</v>
      </c>
      <c r="F11" s="6">
        <f t="shared" si="1"/>
        <v>0.2</v>
      </c>
      <c r="G11" s="18">
        <f t="shared" si="15"/>
        <v>0.66666666666666674</v>
      </c>
      <c r="H11" s="3" t="s">
        <v>162</v>
      </c>
      <c r="I11" s="25">
        <v>14</v>
      </c>
      <c r="J11" s="41">
        <v>21</v>
      </c>
      <c r="K11" s="5">
        <v>30</v>
      </c>
      <c r="L11" s="6">
        <f t="shared" si="5"/>
        <v>0.46666666666666667</v>
      </c>
      <c r="M11" s="6">
        <f t="shared" si="6"/>
        <v>0.7</v>
      </c>
      <c r="N11" s="3" t="s">
        <v>162</v>
      </c>
      <c r="O11" s="25">
        <v>39</v>
      </c>
      <c r="P11" s="28">
        <v>10.416666666666666</v>
      </c>
      <c r="Q11" s="16">
        <v>1.5</v>
      </c>
      <c r="R11" s="5">
        <v>61.5</v>
      </c>
      <c r="S11" s="22">
        <f t="shared" si="7"/>
        <v>2.4390243902439025E-2</v>
      </c>
      <c r="T11" s="6">
        <f t="shared" si="8"/>
        <v>0.63414634146341464</v>
      </c>
      <c r="U11" s="6">
        <f t="shared" si="9"/>
        <v>0.16937669376693765</v>
      </c>
      <c r="V11" s="18">
        <f t="shared" si="10"/>
        <v>0.82791327913279134</v>
      </c>
      <c r="W11" s="3" t="s">
        <v>162</v>
      </c>
      <c r="X11" s="25">
        <v>12</v>
      </c>
      <c r="Y11" s="29">
        <v>32</v>
      </c>
      <c r="Z11" s="5"/>
      <c r="AA11" s="6" t="e">
        <f t="shared" si="2"/>
        <v>#DIV/0!</v>
      </c>
      <c r="AB11" s="6" t="e">
        <f t="shared" si="3"/>
        <v>#DIV/0!</v>
      </c>
      <c r="AC11" s="44" t="e">
        <f t="shared" si="16"/>
        <v>#DIV/0!</v>
      </c>
      <c r="AE11" s="31" t="s">
        <v>162</v>
      </c>
      <c r="AF11" s="34">
        <f t="shared" si="11"/>
        <v>93</v>
      </c>
      <c r="AG11" s="34">
        <f t="shared" si="12"/>
        <v>65</v>
      </c>
      <c r="AH11" s="35">
        <v>2.3809523809523808E-2</v>
      </c>
      <c r="AI11" s="36">
        <f t="shared" si="4"/>
        <v>0.61386138613861385</v>
      </c>
      <c r="AJ11" s="36">
        <f t="shared" si="13"/>
        <v>0.42904290429042902</v>
      </c>
      <c r="AK11" s="32">
        <f t="shared" si="14"/>
        <v>151.5</v>
      </c>
      <c r="AL11" s="38">
        <f t="shared" si="17"/>
        <v>1.0667138142385666</v>
      </c>
    </row>
    <row r="12" spans="1:38" x14ac:dyDescent="0.25">
      <c r="A12" s="3" t="s">
        <v>178</v>
      </c>
      <c r="B12" s="30">
        <v>74</v>
      </c>
      <c r="C12" s="28">
        <v>4</v>
      </c>
      <c r="D12" s="5">
        <v>63</v>
      </c>
      <c r="E12" s="6">
        <f t="shared" si="0"/>
        <v>1.1746031746031746</v>
      </c>
      <c r="F12" s="6">
        <f t="shared" si="1"/>
        <v>6.3492063492063489E-2</v>
      </c>
      <c r="G12" s="18">
        <f t="shared" si="15"/>
        <v>1.2380952380952381</v>
      </c>
      <c r="H12" s="3" t="s">
        <v>178</v>
      </c>
      <c r="I12" s="25">
        <v>11</v>
      </c>
      <c r="J12" s="41">
        <v>23</v>
      </c>
      <c r="K12" s="5">
        <v>62</v>
      </c>
      <c r="L12" s="6">
        <f t="shared" si="5"/>
        <v>0.17741935483870969</v>
      </c>
      <c r="M12" s="6">
        <f t="shared" si="6"/>
        <v>0.37096774193548387</v>
      </c>
      <c r="N12" s="3" t="s">
        <v>178</v>
      </c>
      <c r="O12" s="25">
        <v>35</v>
      </c>
      <c r="P12" s="28">
        <v>13.466666666666667</v>
      </c>
      <c r="Q12" s="16">
        <v>4</v>
      </c>
      <c r="R12" s="5">
        <v>50.5</v>
      </c>
      <c r="S12" s="22">
        <f t="shared" si="7"/>
        <v>7.9207920792079209E-2</v>
      </c>
      <c r="T12" s="6">
        <f t="shared" si="8"/>
        <v>0.69306930693069302</v>
      </c>
      <c r="U12" s="6">
        <f t="shared" si="9"/>
        <v>0.26666666666666666</v>
      </c>
      <c r="V12" s="18">
        <f t="shared" si="10"/>
        <v>1.0389438943894389</v>
      </c>
      <c r="W12" s="3" t="s">
        <v>178</v>
      </c>
      <c r="X12" s="25">
        <v>13</v>
      </c>
      <c r="Y12" s="29">
        <v>34</v>
      </c>
      <c r="Z12" s="5"/>
      <c r="AA12" s="6" t="e">
        <f t="shared" si="2"/>
        <v>#DIV/0!</v>
      </c>
      <c r="AB12" s="6" t="e">
        <f t="shared" si="3"/>
        <v>#DIV/0!</v>
      </c>
      <c r="AC12" s="44" t="e">
        <f t="shared" si="16"/>
        <v>#DIV/0!</v>
      </c>
      <c r="AE12" s="31" t="s">
        <v>178</v>
      </c>
      <c r="AF12" s="34">
        <f t="shared" si="11"/>
        <v>133</v>
      </c>
      <c r="AG12" s="34">
        <f t="shared" si="12"/>
        <v>61</v>
      </c>
      <c r="AH12" s="35">
        <v>6.4516129032258063E-2</v>
      </c>
      <c r="AI12" s="36">
        <f t="shared" si="4"/>
        <v>0.75783475783475784</v>
      </c>
      <c r="AJ12" s="36">
        <f t="shared" si="13"/>
        <v>0.3475783475783476</v>
      </c>
      <c r="AK12" s="32">
        <f t="shared" si="14"/>
        <v>175.5</v>
      </c>
      <c r="AL12" s="38">
        <f t="shared" si="17"/>
        <v>1.1699292344453633</v>
      </c>
    </row>
    <row r="13" spans="1:38" x14ac:dyDescent="0.25">
      <c r="A13" s="3" t="s">
        <v>186</v>
      </c>
      <c r="B13" s="30">
        <v>71</v>
      </c>
      <c r="C13" s="28">
        <v>8</v>
      </c>
      <c r="D13" s="5">
        <v>36.5</v>
      </c>
      <c r="E13" s="6">
        <f t="shared" si="0"/>
        <v>1.9452054794520548</v>
      </c>
      <c r="F13" s="6">
        <f t="shared" si="1"/>
        <v>0.21917808219178081</v>
      </c>
      <c r="G13" s="18">
        <f t="shared" si="15"/>
        <v>2.1643835616438354</v>
      </c>
      <c r="H13" s="3" t="s">
        <v>186</v>
      </c>
      <c r="I13" s="25">
        <v>8</v>
      </c>
      <c r="J13" s="41">
        <v>16</v>
      </c>
      <c r="K13" s="5">
        <v>62</v>
      </c>
      <c r="L13" s="6">
        <f t="shared" si="5"/>
        <v>0.12903225806451613</v>
      </c>
      <c r="M13" s="6">
        <f t="shared" si="6"/>
        <v>0.25806451612903225</v>
      </c>
      <c r="N13" s="3" t="s">
        <v>186</v>
      </c>
      <c r="O13" s="25">
        <v>46</v>
      </c>
      <c r="P13" s="28">
        <v>11</v>
      </c>
      <c r="Q13" s="16">
        <v>2</v>
      </c>
      <c r="R13" s="5">
        <v>49.5</v>
      </c>
      <c r="S13" s="22">
        <f t="shared" si="7"/>
        <v>4.0404040404040407E-2</v>
      </c>
      <c r="T13" s="6">
        <f t="shared" si="8"/>
        <v>0.92929292929292928</v>
      </c>
      <c r="U13" s="6">
        <f t="shared" si="9"/>
        <v>0.22222222222222221</v>
      </c>
      <c r="V13" s="18">
        <f t="shared" si="10"/>
        <v>1.191919191919192</v>
      </c>
      <c r="W13" s="3" t="s">
        <v>186</v>
      </c>
      <c r="X13" s="25">
        <v>9</v>
      </c>
      <c r="Y13" s="29">
        <v>21</v>
      </c>
      <c r="Z13" s="5"/>
      <c r="AA13" s="6" t="e">
        <f t="shared" si="2"/>
        <v>#DIV/0!</v>
      </c>
      <c r="AB13" s="6" t="e">
        <f t="shared" si="3"/>
        <v>#DIV/0!</v>
      </c>
      <c r="AC13" s="44" t="e">
        <f t="shared" si="16"/>
        <v>#DIV/0!</v>
      </c>
      <c r="AE13" s="31" t="s">
        <v>186</v>
      </c>
      <c r="AF13" s="34">
        <f t="shared" si="11"/>
        <v>134</v>
      </c>
      <c r="AG13" s="34">
        <f t="shared" si="12"/>
        <v>45</v>
      </c>
      <c r="AH13" s="35">
        <v>3.1746031746031744E-2</v>
      </c>
      <c r="AI13" s="36">
        <f t="shared" si="4"/>
        <v>0.90540540540540537</v>
      </c>
      <c r="AJ13" s="36">
        <f t="shared" si="13"/>
        <v>0.30405405405405406</v>
      </c>
      <c r="AK13" s="32">
        <f t="shared" si="14"/>
        <v>148</v>
      </c>
      <c r="AL13" s="38">
        <f t="shared" si="17"/>
        <v>1.2412054912054913</v>
      </c>
    </row>
    <row r="14" spans="1:38" x14ac:dyDescent="0.25">
      <c r="A14" s="3" t="s">
        <v>188</v>
      </c>
      <c r="B14" s="30">
        <v>33</v>
      </c>
      <c r="C14" s="28">
        <v>13</v>
      </c>
      <c r="D14" s="5">
        <v>51</v>
      </c>
      <c r="E14" s="6">
        <f t="shared" si="0"/>
        <v>0.6470588235294118</v>
      </c>
      <c r="F14" s="6">
        <f t="shared" si="1"/>
        <v>0.25490196078431371</v>
      </c>
      <c r="G14" s="18">
        <f t="shared" si="15"/>
        <v>0.90196078431372551</v>
      </c>
      <c r="H14" s="3" t="s">
        <v>188</v>
      </c>
      <c r="I14" s="25">
        <v>11</v>
      </c>
      <c r="J14" s="41">
        <v>15</v>
      </c>
      <c r="K14" s="5">
        <v>60</v>
      </c>
      <c r="L14" s="6">
        <f t="shared" si="5"/>
        <v>0.18333333333333332</v>
      </c>
      <c r="M14" s="6">
        <f t="shared" si="6"/>
        <v>0.25</v>
      </c>
      <c r="N14" s="3" t="s">
        <v>188</v>
      </c>
      <c r="O14" s="25">
        <v>39</v>
      </c>
      <c r="P14" s="28">
        <v>13.2</v>
      </c>
      <c r="Q14" s="16">
        <v>3</v>
      </c>
      <c r="R14" s="5">
        <v>50</v>
      </c>
      <c r="S14" s="22">
        <f t="shared" si="7"/>
        <v>0.06</v>
      </c>
      <c r="T14" s="6">
        <f t="shared" si="8"/>
        <v>0.78</v>
      </c>
      <c r="U14" s="6">
        <f t="shared" si="9"/>
        <v>0.26400000000000001</v>
      </c>
      <c r="V14" s="18">
        <f t="shared" si="10"/>
        <v>1.1040000000000001</v>
      </c>
      <c r="W14" s="3" t="s">
        <v>188</v>
      </c>
      <c r="X14" s="25">
        <v>15</v>
      </c>
      <c r="Y14" s="29">
        <v>21</v>
      </c>
      <c r="Z14" s="5"/>
      <c r="AA14" s="6" t="e">
        <f t="shared" si="2"/>
        <v>#DIV/0!</v>
      </c>
      <c r="AB14" s="6" t="e">
        <f t="shared" si="3"/>
        <v>#DIV/0!</v>
      </c>
      <c r="AC14" s="44" t="e">
        <f t="shared" si="16"/>
        <v>#DIV/0!</v>
      </c>
      <c r="AE14" s="31" t="s">
        <v>188</v>
      </c>
      <c r="AF14" s="34">
        <f t="shared" si="11"/>
        <v>98</v>
      </c>
      <c r="AG14" s="34">
        <f t="shared" si="12"/>
        <v>49</v>
      </c>
      <c r="AH14" s="35">
        <v>4.8387096774193547E-2</v>
      </c>
      <c r="AI14" s="36">
        <f t="shared" si="4"/>
        <v>0.60869565217391308</v>
      </c>
      <c r="AJ14" s="36">
        <f t="shared" si="13"/>
        <v>0.30434782608695654</v>
      </c>
      <c r="AK14" s="32">
        <f t="shared" si="14"/>
        <v>161</v>
      </c>
      <c r="AL14" s="38">
        <f t="shared" si="17"/>
        <v>0.96143057503506313</v>
      </c>
    </row>
    <row r="15" spans="1:38" x14ac:dyDescent="0.25">
      <c r="A15" s="3" t="s">
        <v>189</v>
      </c>
      <c r="B15" s="30">
        <v>77</v>
      </c>
      <c r="C15" s="28">
        <v>6</v>
      </c>
      <c r="D15" s="5">
        <v>59.5</v>
      </c>
      <c r="E15" s="6">
        <f t="shared" si="0"/>
        <v>1.2941176470588236</v>
      </c>
      <c r="F15" s="6">
        <f t="shared" si="1"/>
        <v>0.10084033613445378</v>
      </c>
      <c r="G15" s="18">
        <f t="shared" si="15"/>
        <v>1.3949579831932775</v>
      </c>
      <c r="H15" s="3" t="s">
        <v>189</v>
      </c>
      <c r="I15" s="25">
        <v>9</v>
      </c>
      <c r="J15" s="41">
        <v>9</v>
      </c>
      <c r="K15" s="5">
        <v>60.5</v>
      </c>
      <c r="L15" s="6">
        <f t="shared" si="5"/>
        <v>0.1487603305785124</v>
      </c>
      <c r="M15" s="6">
        <f t="shared" si="6"/>
        <v>0.1487603305785124</v>
      </c>
      <c r="N15" s="3" t="s">
        <v>189</v>
      </c>
      <c r="O15" s="25">
        <v>39</v>
      </c>
      <c r="P15" s="28">
        <v>11</v>
      </c>
      <c r="Q15" s="16">
        <v>2</v>
      </c>
      <c r="R15" s="5">
        <v>52.5</v>
      </c>
      <c r="S15" s="22">
        <f t="shared" si="7"/>
        <v>3.8095238095238099E-2</v>
      </c>
      <c r="T15" s="6">
        <f t="shared" si="8"/>
        <v>0.74285714285714288</v>
      </c>
      <c r="U15" s="6">
        <f t="shared" si="9"/>
        <v>0.20952380952380953</v>
      </c>
      <c r="V15" s="18">
        <f t="shared" si="10"/>
        <v>0.99047619047619051</v>
      </c>
      <c r="W15" s="3" t="s">
        <v>189</v>
      </c>
      <c r="X15" s="25">
        <v>19</v>
      </c>
      <c r="Y15" s="29">
        <v>31</v>
      </c>
      <c r="Z15" s="5"/>
      <c r="AA15" s="6" t="e">
        <f t="shared" si="2"/>
        <v>#DIV/0!</v>
      </c>
      <c r="AB15" s="6" t="e">
        <f t="shared" si="3"/>
        <v>#DIV/0!</v>
      </c>
      <c r="AC15" s="44" t="e">
        <f t="shared" si="16"/>
        <v>#DIV/0!</v>
      </c>
      <c r="AE15" s="31" t="s">
        <v>189</v>
      </c>
      <c r="AF15" s="34">
        <f t="shared" si="11"/>
        <v>144</v>
      </c>
      <c r="AG15" s="34">
        <f t="shared" si="12"/>
        <v>46</v>
      </c>
      <c r="AH15" s="35">
        <v>2.8571428571428571E-2</v>
      </c>
      <c r="AI15" s="36">
        <f t="shared" si="4"/>
        <v>0.83478260869565213</v>
      </c>
      <c r="AJ15" s="36">
        <f t="shared" si="13"/>
        <v>0.26666666666666666</v>
      </c>
      <c r="AK15" s="32">
        <f t="shared" si="14"/>
        <v>172.5</v>
      </c>
      <c r="AL15" s="38">
        <f t="shared" si="17"/>
        <v>1.1300207039337473</v>
      </c>
    </row>
    <row r="16" spans="1:38" x14ac:dyDescent="0.25">
      <c r="A16" s="3" t="s">
        <v>204</v>
      </c>
      <c r="B16" s="30">
        <v>28</v>
      </c>
      <c r="C16" s="28">
        <v>9</v>
      </c>
      <c r="D16" s="5">
        <v>63.5</v>
      </c>
      <c r="E16" s="6">
        <f t="shared" si="0"/>
        <v>0.44094488188976377</v>
      </c>
      <c r="F16" s="6">
        <f t="shared" si="1"/>
        <v>0.14173228346456693</v>
      </c>
      <c r="G16" s="18">
        <f t="shared" si="15"/>
        <v>0.58267716535433067</v>
      </c>
      <c r="H16" s="3" t="s">
        <v>204</v>
      </c>
      <c r="I16" s="25">
        <v>12</v>
      </c>
      <c r="J16" s="41">
        <v>11</v>
      </c>
      <c r="K16" s="5">
        <v>63</v>
      </c>
      <c r="L16" s="6">
        <f t="shared" si="5"/>
        <v>0.19047619047619047</v>
      </c>
      <c r="M16" s="6">
        <f t="shared" si="6"/>
        <v>0.17460317460317459</v>
      </c>
      <c r="N16" s="3" t="s">
        <v>204</v>
      </c>
      <c r="O16" s="25">
        <v>32</v>
      </c>
      <c r="P16" s="28">
        <v>12.2</v>
      </c>
      <c r="Q16" s="16">
        <v>2</v>
      </c>
      <c r="R16" s="5">
        <v>61</v>
      </c>
      <c r="S16" s="22">
        <f t="shared" si="7"/>
        <v>3.2786885245901641E-2</v>
      </c>
      <c r="T16" s="6">
        <f t="shared" si="8"/>
        <v>0.52459016393442626</v>
      </c>
      <c r="U16" s="6">
        <f t="shared" si="9"/>
        <v>0.19999999999999998</v>
      </c>
      <c r="V16" s="18">
        <f t="shared" si="10"/>
        <v>0.75737704918032789</v>
      </c>
      <c r="W16" s="3" t="s">
        <v>204</v>
      </c>
      <c r="X16" s="25">
        <v>15</v>
      </c>
      <c r="Y16" s="29">
        <v>28</v>
      </c>
      <c r="Z16" s="5"/>
      <c r="AA16" s="6" t="e">
        <f t="shared" si="2"/>
        <v>#DIV/0!</v>
      </c>
      <c r="AB16" s="6" t="e">
        <f t="shared" si="3"/>
        <v>#DIV/0!</v>
      </c>
      <c r="AC16" s="44" t="e">
        <f t="shared" si="16"/>
        <v>#DIV/0!</v>
      </c>
      <c r="AE16" s="31" t="s">
        <v>204</v>
      </c>
      <c r="AF16" s="34">
        <f t="shared" si="11"/>
        <v>87</v>
      </c>
      <c r="AG16" s="34">
        <f t="shared" si="12"/>
        <v>48</v>
      </c>
      <c r="AH16" s="35">
        <v>2.7777777777777776E-2</v>
      </c>
      <c r="AI16" s="36">
        <f t="shared" si="4"/>
        <v>0.46400000000000002</v>
      </c>
      <c r="AJ16" s="36">
        <f t="shared" si="13"/>
        <v>0.25600000000000001</v>
      </c>
      <c r="AK16" s="32">
        <f t="shared" si="14"/>
        <v>187.5</v>
      </c>
      <c r="AL16" s="38">
        <f t="shared" si="17"/>
        <v>0.74777777777777776</v>
      </c>
    </row>
    <row r="17" spans="1:38" x14ac:dyDescent="0.25">
      <c r="A17" s="3" t="s">
        <v>205</v>
      </c>
      <c r="B17" s="30">
        <v>16</v>
      </c>
      <c r="C17" s="28">
        <v>9</v>
      </c>
      <c r="D17" s="5">
        <v>49</v>
      </c>
      <c r="E17" s="6">
        <f t="shared" si="0"/>
        <v>0.32653061224489793</v>
      </c>
      <c r="F17" s="6">
        <f t="shared" si="1"/>
        <v>0.18367346938775511</v>
      </c>
      <c r="G17" s="18">
        <f t="shared" si="15"/>
        <v>0.51020408163265307</v>
      </c>
      <c r="H17" s="3" t="s">
        <v>205</v>
      </c>
      <c r="I17" s="25">
        <v>10</v>
      </c>
      <c r="J17" s="41">
        <v>12</v>
      </c>
      <c r="K17" s="5">
        <v>52.5</v>
      </c>
      <c r="L17" s="6">
        <f t="shared" si="5"/>
        <v>0.19047619047619047</v>
      </c>
      <c r="M17" s="6">
        <f t="shared" si="6"/>
        <v>0.22857142857142856</v>
      </c>
      <c r="N17" s="3" t="s">
        <v>205</v>
      </c>
      <c r="O17" s="25">
        <v>31</v>
      </c>
      <c r="P17" s="28">
        <v>10</v>
      </c>
      <c r="Q17" s="16">
        <v>0</v>
      </c>
      <c r="R17" s="5">
        <v>58.5</v>
      </c>
      <c r="S17" s="22">
        <f t="shared" si="7"/>
        <v>0</v>
      </c>
      <c r="T17" s="6">
        <f t="shared" si="8"/>
        <v>0.52991452991452992</v>
      </c>
      <c r="U17" s="6">
        <f t="shared" si="9"/>
        <v>0.17094017094017094</v>
      </c>
      <c r="V17" s="18">
        <f t="shared" si="10"/>
        <v>0.70085470085470081</v>
      </c>
      <c r="W17" s="3" t="s">
        <v>205</v>
      </c>
      <c r="X17" s="25">
        <v>14</v>
      </c>
      <c r="Y17" s="29">
        <v>30</v>
      </c>
      <c r="Z17" s="5"/>
      <c r="AA17" s="6" t="e">
        <f t="shared" si="2"/>
        <v>#DIV/0!</v>
      </c>
      <c r="AB17" s="6" t="e">
        <f t="shared" si="3"/>
        <v>#DIV/0!</v>
      </c>
      <c r="AC17" s="44" t="e">
        <f t="shared" si="16"/>
        <v>#DIV/0!</v>
      </c>
      <c r="AE17" s="31" t="s">
        <v>205</v>
      </c>
      <c r="AF17" s="34">
        <f t="shared" si="11"/>
        <v>71</v>
      </c>
      <c r="AG17" s="34">
        <f t="shared" si="12"/>
        <v>51</v>
      </c>
      <c r="AH17" s="35">
        <v>0</v>
      </c>
      <c r="AI17" s="36">
        <f t="shared" si="4"/>
        <v>0.44374999999999998</v>
      </c>
      <c r="AJ17" s="36">
        <f t="shared" si="13"/>
        <v>0.31874999999999998</v>
      </c>
      <c r="AK17" s="32">
        <f t="shared" si="14"/>
        <v>160</v>
      </c>
      <c r="AL17" s="38">
        <f t="shared" si="17"/>
        <v>0.76249999999999996</v>
      </c>
    </row>
    <row r="18" spans="1:38" x14ac:dyDescent="0.25">
      <c r="A18" s="3" t="s">
        <v>207</v>
      </c>
      <c r="B18" s="30">
        <v>58</v>
      </c>
      <c r="C18" s="28">
        <v>11</v>
      </c>
      <c r="D18" s="5">
        <v>60</v>
      </c>
      <c r="E18" s="6">
        <f t="shared" si="0"/>
        <v>0.96666666666666667</v>
      </c>
      <c r="F18" s="6">
        <f t="shared" si="1"/>
        <v>0.18333333333333332</v>
      </c>
      <c r="G18" s="18">
        <f t="shared" si="15"/>
        <v>1.1499999999999999</v>
      </c>
      <c r="H18" s="3" t="s">
        <v>207</v>
      </c>
      <c r="I18" s="25">
        <v>14</v>
      </c>
      <c r="J18" s="41">
        <v>14</v>
      </c>
      <c r="K18" s="5">
        <v>70.5</v>
      </c>
      <c r="L18" s="6">
        <f t="shared" si="5"/>
        <v>0.19858156028368795</v>
      </c>
      <c r="M18" s="6">
        <f t="shared" si="6"/>
        <v>0.19858156028368795</v>
      </c>
      <c r="N18" s="3" t="s">
        <v>207</v>
      </c>
      <c r="O18" s="25">
        <v>32</v>
      </c>
      <c r="P18" s="28">
        <v>13.616666666666667</v>
      </c>
      <c r="Q18" s="16">
        <v>6</v>
      </c>
      <c r="R18" s="5">
        <v>60</v>
      </c>
      <c r="S18" s="22">
        <f t="shared" si="7"/>
        <v>0.1</v>
      </c>
      <c r="T18" s="6">
        <f t="shared" si="8"/>
        <v>0.53333333333333333</v>
      </c>
      <c r="U18" s="6">
        <f t="shared" si="9"/>
        <v>0.22694444444444445</v>
      </c>
      <c r="V18" s="18">
        <f t="shared" si="10"/>
        <v>0.8602777777777777</v>
      </c>
      <c r="W18" s="3" t="s">
        <v>207</v>
      </c>
      <c r="X18" s="25">
        <v>18</v>
      </c>
      <c r="Y18" s="29">
        <v>33</v>
      </c>
      <c r="Z18" s="5"/>
      <c r="AA18" s="6" t="e">
        <f t="shared" si="2"/>
        <v>#DIV/0!</v>
      </c>
      <c r="AB18" s="6" t="e">
        <f t="shared" si="3"/>
        <v>#DIV/0!</v>
      </c>
      <c r="AC18" s="44" t="e">
        <f t="shared" si="16"/>
        <v>#DIV/0!</v>
      </c>
      <c r="AE18" s="31" t="s">
        <v>207</v>
      </c>
      <c r="AF18" s="34">
        <f t="shared" si="11"/>
        <v>122</v>
      </c>
      <c r="AG18" s="34">
        <f t="shared" si="12"/>
        <v>58</v>
      </c>
      <c r="AH18" s="35">
        <v>9.2307692307692313E-2</v>
      </c>
      <c r="AI18" s="36">
        <f t="shared" si="4"/>
        <v>0.64041994750656173</v>
      </c>
      <c r="AJ18" s="36">
        <f t="shared" si="13"/>
        <v>0.30446194225721784</v>
      </c>
      <c r="AK18" s="32">
        <f t="shared" si="14"/>
        <v>190.5</v>
      </c>
      <c r="AL18" s="38">
        <f t="shared" si="17"/>
        <v>1.037189582071472</v>
      </c>
    </row>
    <row r="19" spans="1:38" x14ac:dyDescent="0.25">
      <c r="A19" s="3" t="s">
        <v>219</v>
      </c>
      <c r="B19" s="30">
        <v>22</v>
      </c>
      <c r="C19" s="28">
        <v>22</v>
      </c>
      <c r="D19" s="5">
        <v>52.5</v>
      </c>
      <c r="E19" s="6">
        <f t="shared" si="0"/>
        <v>0.41904761904761906</v>
      </c>
      <c r="F19" s="6">
        <f t="shared" si="1"/>
        <v>0.41904761904761906</v>
      </c>
      <c r="G19" s="18">
        <f t="shared" si="15"/>
        <v>0.83809523809523812</v>
      </c>
      <c r="H19" s="3" t="s">
        <v>219</v>
      </c>
      <c r="I19" s="25">
        <v>14</v>
      </c>
      <c r="J19" s="41">
        <v>30</v>
      </c>
      <c r="K19" s="5">
        <v>63</v>
      </c>
      <c r="L19" s="6">
        <f t="shared" si="5"/>
        <v>0.22222222222222221</v>
      </c>
      <c r="M19" s="6">
        <f t="shared" si="6"/>
        <v>0.47619047619047616</v>
      </c>
      <c r="N19" s="3" t="s">
        <v>219</v>
      </c>
      <c r="O19" s="25">
        <v>40</v>
      </c>
      <c r="P19" s="28">
        <v>22.6</v>
      </c>
      <c r="Q19" s="16">
        <v>6</v>
      </c>
      <c r="R19" s="5">
        <v>51</v>
      </c>
      <c r="S19" s="22">
        <f t="shared" si="7"/>
        <v>0.11764705882352941</v>
      </c>
      <c r="T19" s="6">
        <f t="shared" si="8"/>
        <v>0.78431372549019607</v>
      </c>
      <c r="U19" s="6">
        <f t="shared" si="9"/>
        <v>0.44313725490196082</v>
      </c>
      <c r="V19" s="18">
        <f t="shared" si="10"/>
        <v>1.3450980392156864</v>
      </c>
      <c r="W19" s="3" t="s">
        <v>219</v>
      </c>
      <c r="X19" s="25">
        <v>16</v>
      </c>
      <c r="Y19" s="29">
        <v>37</v>
      </c>
      <c r="Z19" s="5"/>
      <c r="AA19" s="6" t="e">
        <f t="shared" si="2"/>
        <v>#DIV/0!</v>
      </c>
      <c r="AB19" s="6" t="e">
        <f t="shared" si="3"/>
        <v>#DIV/0!</v>
      </c>
      <c r="AC19" s="44" t="e">
        <f t="shared" si="16"/>
        <v>#DIV/0!</v>
      </c>
      <c r="AE19" s="31" t="s">
        <v>219</v>
      </c>
      <c r="AF19" s="34">
        <f t="shared" si="11"/>
        <v>92</v>
      </c>
      <c r="AG19" s="34">
        <f t="shared" si="12"/>
        <v>89</v>
      </c>
      <c r="AH19" s="35">
        <v>8.3916083916083919E-2</v>
      </c>
      <c r="AI19" s="36">
        <f t="shared" si="4"/>
        <v>0.55255255255255253</v>
      </c>
      <c r="AJ19" s="36">
        <f t="shared" si="13"/>
        <v>0.53453453453453459</v>
      </c>
      <c r="AK19" s="32">
        <f t="shared" si="14"/>
        <v>166.5</v>
      </c>
      <c r="AL19" s="38">
        <f t="shared" si="17"/>
        <v>1.1710031710031712</v>
      </c>
    </row>
    <row r="20" spans="1:38" x14ac:dyDescent="0.25">
      <c r="A20" s="3" t="s">
        <v>221</v>
      </c>
      <c r="B20" s="30">
        <v>15</v>
      </c>
      <c r="C20" s="28">
        <v>9.9</v>
      </c>
      <c r="D20" s="5">
        <v>60.5</v>
      </c>
      <c r="E20" s="6">
        <f t="shared" si="0"/>
        <v>0.24793388429752067</v>
      </c>
      <c r="F20" s="6">
        <f t="shared" si="1"/>
        <v>0.16363636363636364</v>
      </c>
      <c r="G20" s="18">
        <f t="shared" si="15"/>
        <v>0.4115702479338843</v>
      </c>
      <c r="H20" s="3" t="s">
        <v>221</v>
      </c>
      <c r="I20" s="25">
        <v>11</v>
      </c>
      <c r="J20" s="41">
        <v>22</v>
      </c>
      <c r="K20" s="5">
        <v>50</v>
      </c>
      <c r="L20" s="6">
        <f t="shared" si="5"/>
        <v>0.22</v>
      </c>
      <c r="M20" s="6">
        <f t="shared" si="6"/>
        <v>0.44</v>
      </c>
      <c r="N20" s="3" t="s">
        <v>221</v>
      </c>
      <c r="O20" s="25">
        <v>31</v>
      </c>
      <c r="P20" s="28">
        <v>13.9</v>
      </c>
      <c r="Q20" s="16">
        <v>3.5</v>
      </c>
      <c r="R20" s="5">
        <v>61.5</v>
      </c>
      <c r="S20" s="22">
        <f t="shared" si="7"/>
        <v>5.6910569105691054E-2</v>
      </c>
      <c r="T20" s="6">
        <f t="shared" si="8"/>
        <v>0.50406504065040647</v>
      </c>
      <c r="U20" s="6">
        <f t="shared" si="9"/>
        <v>0.22601626016260162</v>
      </c>
      <c r="V20" s="21">
        <f t="shared" si="10"/>
        <v>0.78699186991869907</v>
      </c>
      <c r="W20" s="3" t="s">
        <v>221</v>
      </c>
      <c r="X20" s="25">
        <v>11</v>
      </c>
      <c r="Y20" s="29">
        <v>30</v>
      </c>
      <c r="Z20" s="5"/>
      <c r="AA20" s="6" t="e">
        <f t="shared" si="2"/>
        <v>#DIV/0!</v>
      </c>
      <c r="AB20" s="6" t="e">
        <f t="shared" si="3"/>
        <v>#DIV/0!</v>
      </c>
      <c r="AC20" s="44" t="e">
        <f t="shared" si="16"/>
        <v>#DIV/0!</v>
      </c>
      <c r="AE20" s="31" t="s">
        <v>221</v>
      </c>
      <c r="AF20" s="34">
        <f t="shared" si="11"/>
        <v>68</v>
      </c>
      <c r="AG20" s="34">
        <f t="shared" si="12"/>
        <v>61.9</v>
      </c>
      <c r="AH20" s="35">
        <v>4.8951048951048952E-2</v>
      </c>
      <c r="AI20" s="36">
        <f t="shared" si="4"/>
        <v>0.39534883720930231</v>
      </c>
      <c r="AJ20" s="36">
        <f t="shared" si="13"/>
        <v>0.35988372093023258</v>
      </c>
      <c r="AK20" s="32">
        <f t="shared" si="14"/>
        <v>172</v>
      </c>
      <c r="AL20" s="38">
        <f t="shared" si="17"/>
        <v>0.8041836070905839</v>
      </c>
    </row>
    <row r="21" spans="1:38" x14ac:dyDescent="0.25">
      <c r="A21" s="3" t="s">
        <v>223</v>
      </c>
      <c r="B21" s="30">
        <v>42</v>
      </c>
      <c r="C21" s="28">
        <v>15</v>
      </c>
      <c r="D21" s="5">
        <v>42</v>
      </c>
      <c r="E21" s="6">
        <f t="shared" si="0"/>
        <v>1</v>
      </c>
      <c r="F21" s="6">
        <f t="shared" si="1"/>
        <v>0.35714285714285715</v>
      </c>
      <c r="G21" s="18">
        <f t="shared" si="15"/>
        <v>1.3571428571428572</v>
      </c>
      <c r="H21" s="3" t="s">
        <v>223</v>
      </c>
      <c r="I21" s="25">
        <v>14</v>
      </c>
      <c r="J21" s="41">
        <v>14</v>
      </c>
      <c r="K21" s="5">
        <v>51</v>
      </c>
      <c r="L21" s="6">
        <f t="shared" si="5"/>
        <v>0.27450980392156865</v>
      </c>
      <c r="M21" s="6">
        <f t="shared" si="6"/>
        <v>0.27450980392156865</v>
      </c>
      <c r="N21" s="3" t="s">
        <v>223</v>
      </c>
      <c r="O21" s="25">
        <v>31</v>
      </c>
      <c r="P21" s="28">
        <v>36.233333333333327</v>
      </c>
      <c r="Q21" s="16">
        <v>15.5</v>
      </c>
      <c r="R21" s="5">
        <v>39.5</v>
      </c>
      <c r="S21" s="22">
        <v>3.5999999999999997E-2</v>
      </c>
      <c r="T21" s="6">
        <f t="shared" si="8"/>
        <v>0.78481012658227844</v>
      </c>
      <c r="U21" s="6">
        <f t="shared" si="9"/>
        <v>0.91729957805907159</v>
      </c>
      <c r="V21" s="21">
        <f t="shared" si="10"/>
        <v>1.7381097046413501</v>
      </c>
      <c r="W21" s="3" t="s">
        <v>223</v>
      </c>
      <c r="X21" s="25">
        <v>18</v>
      </c>
      <c r="Y21" s="29">
        <v>32</v>
      </c>
      <c r="Z21" s="5"/>
      <c r="AA21" s="6" t="e">
        <f t="shared" si="2"/>
        <v>#DIV/0!</v>
      </c>
      <c r="AB21" s="6" t="e">
        <f t="shared" si="3"/>
        <v>#DIV/0!</v>
      </c>
      <c r="AC21" s="44" t="e">
        <f t="shared" si="16"/>
        <v>#DIV/0!</v>
      </c>
      <c r="AE21" s="31" t="s">
        <v>223</v>
      </c>
      <c r="AF21" s="34">
        <f t="shared" si="11"/>
        <v>105</v>
      </c>
      <c r="AG21" s="34">
        <f t="shared" si="12"/>
        <v>61</v>
      </c>
      <c r="AH21" s="35">
        <v>3.5999999999999997E-2</v>
      </c>
      <c r="AI21" s="36">
        <f t="shared" si="4"/>
        <v>0.79245283018867929</v>
      </c>
      <c r="AJ21" s="36">
        <f t="shared" si="13"/>
        <v>0.46037735849056605</v>
      </c>
      <c r="AK21" s="32">
        <f t="shared" si="14"/>
        <v>132.5</v>
      </c>
      <c r="AL21" s="38">
        <f t="shared" si="17"/>
        <v>1.2888301886792455</v>
      </c>
    </row>
    <row r="22" spans="1:38" x14ac:dyDescent="0.25">
      <c r="A22" s="3" t="s">
        <v>224</v>
      </c>
      <c r="B22" s="30">
        <v>45</v>
      </c>
      <c r="C22" s="28">
        <v>9</v>
      </c>
      <c r="D22" s="5">
        <v>58.5</v>
      </c>
      <c r="E22" s="6">
        <f t="shared" si="0"/>
        <v>0.76923076923076927</v>
      </c>
      <c r="F22" s="6">
        <f t="shared" si="1"/>
        <v>0.15384615384615385</v>
      </c>
      <c r="G22" s="18">
        <f t="shared" si="15"/>
        <v>0.92307692307692313</v>
      </c>
      <c r="H22" s="3" t="s">
        <v>224</v>
      </c>
      <c r="I22" s="25">
        <v>10</v>
      </c>
      <c r="J22" s="41">
        <v>13</v>
      </c>
      <c r="K22" s="5">
        <v>52.5</v>
      </c>
      <c r="L22" s="6">
        <f t="shared" si="5"/>
        <v>0.19047619047619047</v>
      </c>
      <c r="M22" s="6">
        <f t="shared" si="6"/>
        <v>0.24761904761904763</v>
      </c>
      <c r="N22" s="3" t="s">
        <v>224</v>
      </c>
      <c r="O22" s="25">
        <v>39</v>
      </c>
      <c r="P22" s="28">
        <v>15.766666666666667</v>
      </c>
      <c r="Q22" s="16">
        <v>1.5</v>
      </c>
      <c r="R22" s="5">
        <v>58.5</v>
      </c>
      <c r="S22" s="22">
        <f t="shared" si="7"/>
        <v>2.564102564102564E-2</v>
      </c>
      <c r="T22" s="6">
        <f t="shared" si="8"/>
        <v>0.66666666666666663</v>
      </c>
      <c r="U22" s="6">
        <f t="shared" si="9"/>
        <v>0.26951566951566952</v>
      </c>
      <c r="V22" s="21">
        <f t="shared" si="10"/>
        <v>0.96182336182336181</v>
      </c>
      <c r="W22" s="3" t="s">
        <v>224</v>
      </c>
      <c r="X22" s="25">
        <v>10</v>
      </c>
      <c r="Y22" s="29">
        <v>27</v>
      </c>
      <c r="Z22" s="5"/>
      <c r="AA22" s="6" t="e">
        <f t="shared" si="2"/>
        <v>#DIV/0!</v>
      </c>
      <c r="AB22" s="6" t="e">
        <f t="shared" si="3"/>
        <v>#DIV/0!</v>
      </c>
      <c r="AC22" s="44" t="e">
        <f t="shared" si="16"/>
        <v>#DIV/0!</v>
      </c>
      <c r="AE22" s="31" t="s">
        <v>224</v>
      </c>
      <c r="AF22" s="34">
        <f t="shared" si="11"/>
        <v>104</v>
      </c>
      <c r="AG22" s="34">
        <f t="shared" si="12"/>
        <v>49</v>
      </c>
      <c r="AH22" s="35">
        <v>3.2608695652173912E-2</v>
      </c>
      <c r="AI22" s="36">
        <f t="shared" si="4"/>
        <v>0.6135693215339233</v>
      </c>
      <c r="AJ22" s="36">
        <f t="shared" si="13"/>
        <v>0.28908554572271389</v>
      </c>
      <c r="AK22" s="32">
        <f t="shared" si="14"/>
        <v>169.5</v>
      </c>
      <c r="AL22" s="38">
        <f t="shared" si="17"/>
        <v>0.93526356290881119</v>
      </c>
    </row>
    <row r="27" spans="1:38" x14ac:dyDescent="0.25">
      <c r="A27" s="3"/>
      <c r="B27" s="17"/>
      <c r="C27" s="17"/>
    </row>
    <row r="28" spans="1:38" x14ac:dyDescent="0.25">
      <c r="A28" s="3"/>
      <c r="B28" s="17"/>
      <c r="C28" s="17"/>
    </row>
    <row r="29" spans="1:38" x14ac:dyDescent="0.25">
      <c r="A29" s="3"/>
      <c r="B29" s="17"/>
      <c r="C29" s="17"/>
    </row>
    <row r="30" spans="1:38" x14ac:dyDescent="0.25">
      <c r="A30" s="3"/>
      <c r="B30" s="17"/>
      <c r="C30" s="17"/>
    </row>
    <row r="31" spans="1:38" x14ac:dyDescent="0.25">
      <c r="A31" s="3"/>
      <c r="B31" s="17"/>
      <c r="C31" s="17"/>
    </row>
    <row r="32" spans="1:38" x14ac:dyDescent="0.25">
      <c r="A32" s="3"/>
      <c r="B32" s="17"/>
      <c r="C32" s="17"/>
    </row>
    <row r="33" spans="1:6" x14ac:dyDescent="0.25">
      <c r="A33" s="3"/>
      <c r="B33" s="17"/>
      <c r="C33" s="17"/>
      <c r="D33" s="7"/>
      <c r="E33" s="7"/>
      <c r="F33" s="7"/>
    </row>
    <row r="34" spans="1:6" x14ac:dyDescent="0.25">
      <c r="A34" s="3"/>
      <c r="B34" s="17"/>
      <c r="C34" s="17"/>
      <c r="D34" s="5"/>
      <c r="E34" s="6"/>
      <c r="F34" s="6"/>
    </row>
    <row r="35" spans="1:6" x14ac:dyDescent="0.25">
      <c r="A35" s="3"/>
      <c r="B35" s="17"/>
      <c r="C35" s="17"/>
      <c r="D35" s="5"/>
      <c r="E35" s="6"/>
      <c r="F35" s="6"/>
    </row>
    <row r="36" spans="1:6" x14ac:dyDescent="0.25">
      <c r="A36" s="3"/>
      <c r="B36" s="17"/>
      <c r="C36" s="17"/>
      <c r="D36" s="5"/>
      <c r="E36" s="6"/>
      <c r="F36" s="6"/>
    </row>
    <row r="37" spans="1:6" x14ac:dyDescent="0.25">
      <c r="A37" s="3"/>
      <c r="B37" s="17"/>
      <c r="C37" s="17"/>
      <c r="D37" s="5"/>
      <c r="E37" s="6"/>
      <c r="F37" s="6"/>
    </row>
    <row r="38" spans="1:6" x14ac:dyDescent="0.25">
      <c r="A38" s="3"/>
      <c r="B38" s="17"/>
      <c r="C38" s="17"/>
      <c r="D38" s="5"/>
      <c r="E38" s="6"/>
      <c r="F38" s="6"/>
    </row>
    <row r="39" spans="1:6" x14ac:dyDescent="0.25">
      <c r="A39" s="3"/>
      <c r="B39" s="17"/>
      <c r="C39" s="17"/>
      <c r="D39" s="5"/>
      <c r="E39" s="6"/>
      <c r="F39" s="6"/>
    </row>
    <row r="40" spans="1:6" x14ac:dyDescent="0.25">
      <c r="A40" s="3"/>
      <c r="B40" s="17"/>
      <c r="C40" s="17"/>
      <c r="D40" s="5"/>
      <c r="E40" s="6"/>
      <c r="F40" s="6"/>
    </row>
    <row r="41" spans="1:6" x14ac:dyDescent="0.25">
      <c r="A41" s="3"/>
      <c r="B41" s="17"/>
      <c r="C41" s="17"/>
      <c r="D41" s="5"/>
      <c r="E41" s="6"/>
      <c r="F41" s="6"/>
    </row>
    <row r="42" spans="1:6" x14ac:dyDescent="0.25">
      <c r="A42" s="3"/>
      <c r="B42" s="17"/>
      <c r="C42" s="17"/>
      <c r="D42" s="5"/>
      <c r="E42" s="6"/>
      <c r="F42" s="6"/>
    </row>
    <row r="43" spans="1:6" x14ac:dyDescent="0.25">
      <c r="A43" s="3"/>
      <c r="B43" s="17"/>
      <c r="C43" s="17"/>
      <c r="D43" s="5"/>
      <c r="E43" s="6"/>
      <c r="F43" s="6"/>
    </row>
    <row r="44" spans="1:6" x14ac:dyDescent="0.25">
      <c r="A44" s="3"/>
      <c r="B44" s="17"/>
      <c r="C44" s="17"/>
      <c r="D44" s="5"/>
      <c r="E44" s="6"/>
      <c r="F44" s="6"/>
    </row>
    <row r="45" spans="1:6" x14ac:dyDescent="0.25">
      <c r="A45" s="3"/>
      <c r="B45" s="5"/>
      <c r="C45" s="5"/>
      <c r="D45" s="5"/>
      <c r="E45" s="6"/>
      <c r="F45" s="6"/>
    </row>
    <row r="46" spans="1:6" x14ac:dyDescent="0.25">
      <c r="A46" s="3"/>
      <c r="B46" s="5"/>
      <c r="C46" s="5"/>
      <c r="D46" s="5"/>
      <c r="E46" s="6"/>
      <c r="F46" s="6"/>
    </row>
    <row r="47" spans="1:6" x14ac:dyDescent="0.25">
      <c r="A47" s="3"/>
      <c r="B47" s="5"/>
      <c r="C47" s="5"/>
      <c r="D47" s="5"/>
      <c r="E47" s="6"/>
      <c r="F47" s="6"/>
    </row>
    <row r="48" spans="1:6" x14ac:dyDescent="0.25">
      <c r="A48" s="3"/>
      <c r="B48" s="5"/>
      <c r="C48" s="5"/>
      <c r="D48" s="5"/>
      <c r="E48" s="6"/>
      <c r="F48" s="6"/>
    </row>
    <row r="49" spans="1:6" x14ac:dyDescent="0.25">
      <c r="A49" s="3"/>
      <c r="B49" s="5"/>
      <c r="C49" s="5"/>
      <c r="D49" s="5"/>
      <c r="E49" s="6"/>
      <c r="F49" s="6"/>
    </row>
    <row r="50" spans="1:6" x14ac:dyDescent="0.25">
      <c r="A50" s="3"/>
      <c r="B50" s="5"/>
      <c r="C50" s="5"/>
      <c r="D50" s="5"/>
      <c r="E50" s="6"/>
      <c r="F50" s="6"/>
    </row>
  </sheetData>
  <mergeCells count="1">
    <mergeCell ref="AE2:AL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C2AE-761A-4C31-9840-933A077853BB}">
  <dimension ref="A3:E40"/>
  <sheetViews>
    <sheetView workbookViewId="0">
      <selection activeCell="I25" sqref="I25"/>
    </sheetView>
  </sheetViews>
  <sheetFormatPr defaultRowHeight="15" x14ac:dyDescent="0.25"/>
  <cols>
    <col min="1" max="1" width="6.42578125" style="3" customWidth="1"/>
    <col min="2" max="2" width="28" bestFit="1" customWidth="1"/>
    <col min="3" max="3" width="19" bestFit="1" customWidth="1"/>
    <col min="4" max="4" width="13.5703125" bestFit="1" customWidth="1"/>
  </cols>
  <sheetData>
    <row r="3" spans="2:4" s="7" customFormat="1" x14ac:dyDescent="0.25">
      <c r="B3" s="60" t="s">
        <v>227</v>
      </c>
      <c r="C3" s="7" t="s">
        <v>310</v>
      </c>
      <c r="D3" s="7" t="s">
        <v>329</v>
      </c>
    </row>
    <row r="4" spans="2:4" x14ac:dyDescent="0.25">
      <c r="B4" s="62" t="s">
        <v>279</v>
      </c>
      <c r="C4" s="53">
        <v>355.5</v>
      </c>
      <c r="D4" s="53">
        <v>159</v>
      </c>
    </row>
    <row r="5" spans="2:4" x14ac:dyDescent="0.25">
      <c r="B5" s="62" t="s">
        <v>285</v>
      </c>
      <c r="C5" s="53">
        <v>336</v>
      </c>
      <c r="D5" s="53">
        <v>107</v>
      </c>
    </row>
    <row r="6" spans="2:4" x14ac:dyDescent="0.25">
      <c r="B6" s="62" t="s">
        <v>252</v>
      </c>
      <c r="C6" s="53">
        <v>443.38</v>
      </c>
      <c r="D6" s="53">
        <v>198.95</v>
      </c>
    </row>
    <row r="7" spans="2:4" x14ac:dyDescent="0.25">
      <c r="B7" s="62" t="s">
        <v>273</v>
      </c>
      <c r="C7" s="53">
        <v>406</v>
      </c>
      <c r="D7" s="53">
        <v>187</v>
      </c>
    </row>
    <row r="8" spans="2:4" x14ac:dyDescent="0.25">
      <c r="B8" s="62" t="s">
        <v>257</v>
      </c>
      <c r="C8" s="53">
        <v>403</v>
      </c>
      <c r="D8" s="53">
        <v>180</v>
      </c>
    </row>
    <row r="9" spans="2:4" x14ac:dyDescent="0.25">
      <c r="B9" s="62" t="s">
        <v>265</v>
      </c>
      <c r="C9" s="53">
        <v>420.5</v>
      </c>
      <c r="D9" s="53">
        <v>201.5</v>
      </c>
    </row>
    <row r="10" spans="2:4" x14ac:dyDescent="0.25">
      <c r="B10" s="62" t="s">
        <v>283</v>
      </c>
      <c r="C10" s="53">
        <v>439.5</v>
      </c>
      <c r="D10" s="53">
        <v>213</v>
      </c>
    </row>
    <row r="11" spans="2:4" x14ac:dyDescent="0.25">
      <c r="B11" s="62" t="s">
        <v>277</v>
      </c>
      <c r="C11" s="53">
        <v>422.5</v>
      </c>
      <c r="D11" s="53">
        <v>196</v>
      </c>
    </row>
    <row r="12" spans="2:4" x14ac:dyDescent="0.25">
      <c r="B12" s="62" t="s">
        <v>271</v>
      </c>
      <c r="C12" s="53">
        <v>385.5</v>
      </c>
      <c r="D12" s="53">
        <v>170</v>
      </c>
    </row>
    <row r="13" spans="2:4" x14ac:dyDescent="0.25">
      <c r="B13" s="62" t="s">
        <v>255</v>
      </c>
      <c r="C13" s="53">
        <v>387</v>
      </c>
      <c r="D13" s="53">
        <v>168</v>
      </c>
    </row>
    <row r="14" spans="2:4" x14ac:dyDescent="0.25">
      <c r="B14" s="62" t="s">
        <v>281</v>
      </c>
      <c r="C14" s="53">
        <v>404.5</v>
      </c>
      <c r="D14" s="53">
        <v>193</v>
      </c>
    </row>
    <row r="15" spans="2:4" x14ac:dyDescent="0.25">
      <c r="B15" s="62" t="s">
        <v>262</v>
      </c>
      <c r="C15" s="53">
        <v>366</v>
      </c>
      <c r="D15" s="53">
        <v>143</v>
      </c>
    </row>
    <row r="16" spans="2:4" x14ac:dyDescent="0.25">
      <c r="B16" s="62" t="s">
        <v>269</v>
      </c>
      <c r="C16" s="53">
        <v>333.4</v>
      </c>
      <c r="D16" s="53">
        <v>140</v>
      </c>
    </row>
    <row r="17" spans="2:5" x14ac:dyDescent="0.25">
      <c r="B17" s="62" t="s">
        <v>267</v>
      </c>
      <c r="C17" s="53">
        <v>372.5</v>
      </c>
      <c r="D17" s="53">
        <v>191</v>
      </c>
    </row>
    <row r="18" spans="2:5" x14ac:dyDescent="0.25">
      <c r="B18" s="62" t="s">
        <v>275</v>
      </c>
      <c r="C18" s="53">
        <v>428.5</v>
      </c>
      <c r="D18" s="53">
        <v>202</v>
      </c>
    </row>
    <row r="19" spans="2:5" x14ac:dyDescent="0.25">
      <c r="B19" s="62" t="s">
        <v>249</v>
      </c>
      <c r="C19" s="53">
        <v>332.5</v>
      </c>
      <c r="D19" s="53">
        <v>122.5</v>
      </c>
    </row>
    <row r="20" spans="2:5" x14ac:dyDescent="0.25">
      <c r="B20" s="62" t="s">
        <v>287</v>
      </c>
      <c r="C20" s="53">
        <v>399.5</v>
      </c>
      <c r="D20" s="53">
        <v>170</v>
      </c>
    </row>
    <row r="21" spans="2:5" x14ac:dyDescent="0.25">
      <c r="B21" s="62" t="s">
        <v>259</v>
      </c>
      <c r="C21" s="53">
        <v>375.5</v>
      </c>
      <c r="D21" s="53">
        <v>164</v>
      </c>
    </row>
    <row r="22" spans="2:5" x14ac:dyDescent="0.25">
      <c r="B22" s="62" t="s">
        <v>228</v>
      </c>
      <c r="C22" s="53">
        <v>7011.28</v>
      </c>
      <c r="D22" s="53">
        <v>3105.95</v>
      </c>
    </row>
    <row r="23" spans="2:5" x14ac:dyDescent="0.25">
      <c r="B23" s="10"/>
      <c r="C23" s="53"/>
    </row>
    <row r="24" spans="2:5" x14ac:dyDescent="0.25">
      <c r="B24" s="10"/>
      <c r="C24" s="53"/>
    </row>
    <row r="25" spans="2:5" x14ac:dyDescent="0.25">
      <c r="B25" s="10"/>
      <c r="C25" s="53"/>
    </row>
    <row r="26" spans="2:5" x14ac:dyDescent="0.25">
      <c r="B26" s="10"/>
      <c r="C26" s="53"/>
    </row>
    <row r="27" spans="2:5" x14ac:dyDescent="0.25">
      <c r="B27" s="10"/>
      <c r="C27" s="53"/>
    </row>
    <row r="28" spans="2:5" x14ac:dyDescent="0.25">
      <c r="B28" s="10"/>
      <c r="C28" s="53"/>
    </row>
    <row r="29" spans="2:5" x14ac:dyDescent="0.25">
      <c r="B29" s="10"/>
      <c r="C29" s="53"/>
    </row>
    <row r="30" spans="2:5" x14ac:dyDescent="0.25">
      <c r="B30" s="10"/>
      <c r="C30" s="53"/>
    </row>
    <row r="31" spans="2:5" x14ac:dyDescent="0.25">
      <c r="B31" s="10"/>
      <c r="C31" s="53"/>
    </row>
    <row r="32" spans="2:5" x14ac:dyDescent="0.25">
      <c r="C32" s="3"/>
      <c r="D32" s="3"/>
      <c r="E32" s="3"/>
    </row>
    <row r="33" spans="3:5" x14ac:dyDescent="0.25">
      <c r="C33" s="3"/>
      <c r="D33" s="3"/>
      <c r="E33" s="3"/>
    </row>
    <row r="34" spans="3:5" x14ac:dyDescent="0.25">
      <c r="C34" s="3"/>
      <c r="D34" s="3"/>
      <c r="E34" s="3"/>
    </row>
    <row r="35" spans="3:5" x14ac:dyDescent="0.25">
      <c r="C35" s="3"/>
      <c r="D35" s="3"/>
      <c r="E35" s="3"/>
    </row>
    <row r="36" spans="3:5" x14ac:dyDescent="0.25">
      <c r="C36" s="3"/>
      <c r="D36" s="3"/>
      <c r="E36" s="3"/>
    </row>
    <row r="37" spans="3:5" x14ac:dyDescent="0.25">
      <c r="C37" s="3"/>
      <c r="D37" s="3"/>
      <c r="E37" s="3"/>
    </row>
    <row r="38" spans="3:5" x14ac:dyDescent="0.25">
      <c r="C38" s="3"/>
      <c r="D38" s="3"/>
      <c r="E38" s="3"/>
    </row>
    <row r="39" spans="3:5" x14ac:dyDescent="0.25">
      <c r="C39" s="3"/>
      <c r="D39" s="3"/>
      <c r="E39" s="3"/>
    </row>
    <row r="40" spans="3:5" x14ac:dyDescent="0.25">
      <c r="C40" s="3"/>
      <c r="D40" s="3"/>
      <c r="E40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13C5-7185-49ED-B23A-0E3EAD2AF1D2}">
  <dimension ref="A3:I45"/>
  <sheetViews>
    <sheetView workbookViewId="0">
      <selection activeCell="B6" sqref="B6"/>
    </sheetView>
  </sheetViews>
  <sheetFormatPr defaultRowHeight="15" x14ac:dyDescent="0.25"/>
  <cols>
    <col min="4" max="4" width="9.140625" customWidth="1"/>
  </cols>
  <sheetData>
    <row r="3" spans="1:9" x14ac:dyDescent="0.25">
      <c r="B3" s="7" t="s">
        <v>230</v>
      </c>
      <c r="C3" s="7" t="s">
        <v>231</v>
      </c>
      <c r="D3" s="7" t="s">
        <v>314</v>
      </c>
      <c r="E3" s="7" t="s">
        <v>234</v>
      </c>
      <c r="F3" s="7" t="s">
        <v>315</v>
      </c>
      <c r="G3" s="7" t="s">
        <v>232</v>
      </c>
      <c r="H3" s="7" t="s">
        <v>233</v>
      </c>
      <c r="I3" s="7" t="s">
        <v>311</v>
      </c>
    </row>
    <row r="4" spans="1:9" hidden="1" x14ac:dyDescent="0.25"/>
    <row r="5" spans="1:9" x14ac:dyDescent="0.25">
      <c r="A5" s="3" t="s">
        <v>23</v>
      </c>
      <c r="B5" s="5"/>
      <c r="C5" s="16"/>
      <c r="D5" s="16"/>
      <c r="E5" s="5"/>
      <c r="F5" s="22">
        <v>0</v>
      </c>
      <c r="G5" s="6" t="e">
        <f>B5/E5</f>
        <v>#DIV/0!</v>
      </c>
      <c r="H5" s="6" t="e">
        <f t="shared" ref="H5:H22" si="0">C5/E5</f>
        <v>#DIV/0!</v>
      </c>
      <c r="I5" s="21" t="e">
        <f>F5+G5+H5</f>
        <v>#DIV/0!</v>
      </c>
    </row>
    <row r="6" spans="1:9" x14ac:dyDescent="0.25">
      <c r="A6" s="3" t="s">
        <v>74</v>
      </c>
      <c r="B6" s="5"/>
      <c r="C6" s="16"/>
      <c r="D6" s="16"/>
      <c r="E6" s="5"/>
      <c r="F6" s="22">
        <v>0</v>
      </c>
      <c r="G6" s="6" t="e">
        <f t="shared" ref="G6:G22" si="1">B6/E6</f>
        <v>#DIV/0!</v>
      </c>
      <c r="H6" s="6" t="e">
        <f t="shared" si="0"/>
        <v>#DIV/0!</v>
      </c>
      <c r="I6" s="21" t="e">
        <f t="shared" ref="I6:I22" si="2">F6+G6+H6</f>
        <v>#DIV/0!</v>
      </c>
    </row>
    <row r="7" spans="1:9" x14ac:dyDescent="0.25">
      <c r="A7" s="3" t="s">
        <v>103</v>
      </c>
      <c r="B7" s="5"/>
      <c r="C7" s="16"/>
      <c r="D7" s="16"/>
      <c r="E7" s="5"/>
      <c r="F7" s="22">
        <v>0</v>
      </c>
      <c r="G7" s="6" t="e">
        <f t="shared" si="1"/>
        <v>#DIV/0!</v>
      </c>
      <c r="H7" s="6" t="e">
        <f t="shared" si="0"/>
        <v>#DIV/0!</v>
      </c>
      <c r="I7" s="21" t="e">
        <f t="shared" si="2"/>
        <v>#DIV/0!</v>
      </c>
    </row>
    <row r="8" spans="1:9" x14ac:dyDescent="0.25">
      <c r="A8" s="3" t="s">
        <v>122</v>
      </c>
      <c r="B8" s="5"/>
      <c r="C8" s="16"/>
      <c r="D8" s="16"/>
      <c r="E8" s="5"/>
      <c r="F8" s="22">
        <v>0</v>
      </c>
      <c r="G8" s="6" t="e">
        <f t="shared" si="1"/>
        <v>#DIV/0!</v>
      </c>
      <c r="H8" s="6" t="e">
        <f t="shared" si="0"/>
        <v>#DIV/0!</v>
      </c>
      <c r="I8" s="21" t="e">
        <f t="shared" si="2"/>
        <v>#DIV/0!</v>
      </c>
    </row>
    <row r="9" spans="1:9" x14ac:dyDescent="0.25">
      <c r="A9" s="3" t="s">
        <v>137</v>
      </c>
      <c r="B9" s="5"/>
      <c r="C9" s="16"/>
      <c r="D9" s="16"/>
      <c r="E9" s="5"/>
      <c r="F9" s="22">
        <v>0</v>
      </c>
      <c r="G9" s="6" t="e">
        <f t="shared" si="1"/>
        <v>#DIV/0!</v>
      </c>
      <c r="H9" s="6" t="e">
        <f t="shared" si="0"/>
        <v>#DIV/0!</v>
      </c>
      <c r="I9" s="21" t="e">
        <f t="shared" si="2"/>
        <v>#DIV/0!</v>
      </c>
    </row>
    <row r="10" spans="1:9" x14ac:dyDescent="0.25">
      <c r="A10" s="3" t="s">
        <v>156</v>
      </c>
      <c r="B10" s="5"/>
      <c r="C10" s="16"/>
      <c r="D10" s="16"/>
      <c r="E10" s="5"/>
      <c r="F10" s="22">
        <v>0</v>
      </c>
      <c r="G10" s="6" t="e">
        <f t="shared" si="1"/>
        <v>#DIV/0!</v>
      </c>
      <c r="H10" s="6" t="e">
        <f t="shared" si="0"/>
        <v>#DIV/0!</v>
      </c>
      <c r="I10" s="21" t="e">
        <f t="shared" si="2"/>
        <v>#DIV/0!</v>
      </c>
    </row>
    <row r="11" spans="1:9" x14ac:dyDescent="0.25">
      <c r="A11" s="3" t="s">
        <v>162</v>
      </c>
      <c r="B11" s="5"/>
      <c r="C11" s="16"/>
      <c r="D11" s="16"/>
      <c r="E11" s="5"/>
      <c r="F11" s="22">
        <v>0</v>
      </c>
      <c r="G11" s="6" t="e">
        <f t="shared" si="1"/>
        <v>#DIV/0!</v>
      </c>
      <c r="H11" s="6" t="e">
        <f t="shared" si="0"/>
        <v>#DIV/0!</v>
      </c>
      <c r="I11" s="21" t="e">
        <f t="shared" si="2"/>
        <v>#DIV/0!</v>
      </c>
    </row>
    <row r="12" spans="1:9" x14ac:dyDescent="0.25">
      <c r="A12" s="3" t="s">
        <v>178</v>
      </c>
      <c r="B12" s="5"/>
      <c r="C12" s="16"/>
      <c r="D12" s="16"/>
      <c r="E12" s="5"/>
      <c r="F12" s="22">
        <v>0</v>
      </c>
      <c r="G12" s="6" t="e">
        <f t="shared" si="1"/>
        <v>#DIV/0!</v>
      </c>
      <c r="H12" s="6" t="e">
        <f t="shared" si="0"/>
        <v>#DIV/0!</v>
      </c>
      <c r="I12" s="21" t="e">
        <f t="shared" si="2"/>
        <v>#DIV/0!</v>
      </c>
    </row>
    <row r="13" spans="1:9" x14ac:dyDescent="0.25">
      <c r="A13" s="3" t="s">
        <v>186</v>
      </c>
      <c r="B13" s="5"/>
      <c r="C13" s="16"/>
      <c r="D13" s="16"/>
      <c r="E13" s="5"/>
      <c r="F13" s="22">
        <v>0</v>
      </c>
      <c r="G13" s="6" t="e">
        <f t="shared" si="1"/>
        <v>#DIV/0!</v>
      </c>
      <c r="H13" s="6" t="e">
        <f t="shared" si="0"/>
        <v>#DIV/0!</v>
      </c>
      <c r="I13" s="21" t="e">
        <f t="shared" si="2"/>
        <v>#DIV/0!</v>
      </c>
    </row>
    <row r="14" spans="1:9" x14ac:dyDescent="0.25">
      <c r="A14" s="3" t="s">
        <v>188</v>
      </c>
      <c r="B14" s="5"/>
      <c r="C14" s="16"/>
      <c r="D14" s="16"/>
      <c r="E14" s="5"/>
      <c r="F14" s="22">
        <v>0</v>
      </c>
      <c r="G14" s="6" t="e">
        <f t="shared" si="1"/>
        <v>#DIV/0!</v>
      </c>
      <c r="H14" s="6" t="e">
        <f t="shared" si="0"/>
        <v>#DIV/0!</v>
      </c>
      <c r="I14" s="21" t="e">
        <f t="shared" si="2"/>
        <v>#DIV/0!</v>
      </c>
    </row>
    <row r="15" spans="1:9" x14ac:dyDescent="0.25">
      <c r="A15" s="3" t="s">
        <v>189</v>
      </c>
      <c r="B15" s="5"/>
      <c r="C15" s="16"/>
      <c r="D15" s="16"/>
      <c r="E15" s="5"/>
      <c r="F15" s="22">
        <v>0</v>
      </c>
      <c r="G15" s="6" t="e">
        <f t="shared" si="1"/>
        <v>#DIV/0!</v>
      </c>
      <c r="H15" s="6" t="e">
        <f t="shared" si="0"/>
        <v>#DIV/0!</v>
      </c>
      <c r="I15" s="21" t="e">
        <f t="shared" si="2"/>
        <v>#DIV/0!</v>
      </c>
    </row>
    <row r="16" spans="1:9" x14ac:dyDescent="0.25">
      <c r="A16" s="3" t="s">
        <v>204</v>
      </c>
      <c r="B16" s="5"/>
      <c r="C16" s="16"/>
      <c r="D16" s="16"/>
      <c r="E16" s="5"/>
      <c r="F16" s="22">
        <v>0</v>
      </c>
      <c r="G16" s="6" t="e">
        <f t="shared" si="1"/>
        <v>#DIV/0!</v>
      </c>
      <c r="H16" s="6" t="e">
        <f t="shared" si="0"/>
        <v>#DIV/0!</v>
      </c>
      <c r="I16" s="21" t="e">
        <f t="shared" si="2"/>
        <v>#DIV/0!</v>
      </c>
    </row>
    <row r="17" spans="1:9" x14ac:dyDescent="0.25">
      <c r="A17" s="3" t="s">
        <v>205</v>
      </c>
      <c r="B17" s="5"/>
      <c r="C17" s="16"/>
      <c r="D17" s="16"/>
      <c r="E17" s="5"/>
      <c r="F17" s="22">
        <v>0</v>
      </c>
      <c r="G17" s="6" t="e">
        <f t="shared" si="1"/>
        <v>#DIV/0!</v>
      </c>
      <c r="H17" s="6" t="e">
        <f t="shared" si="0"/>
        <v>#DIV/0!</v>
      </c>
      <c r="I17" s="21" t="e">
        <f t="shared" si="2"/>
        <v>#DIV/0!</v>
      </c>
    </row>
    <row r="18" spans="1:9" x14ac:dyDescent="0.25">
      <c r="A18" s="3" t="s">
        <v>207</v>
      </c>
      <c r="B18" s="5"/>
      <c r="C18" s="16"/>
      <c r="D18" s="16"/>
      <c r="E18" s="5"/>
      <c r="F18" s="22">
        <v>0</v>
      </c>
      <c r="G18" s="6" t="e">
        <f t="shared" si="1"/>
        <v>#DIV/0!</v>
      </c>
      <c r="H18" s="6" t="e">
        <f t="shared" si="0"/>
        <v>#DIV/0!</v>
      </c>
      <c r="I18" s="21" t="e">
        <f t="shared" si="2"/>
        <v>#DIV/0!</v>
      </c>
    </row>
    <row r="19" spans="1:9" x14ac:dyDescent="0.25">
      <c r="A19" s="3" t="s">
        <v>219</v>
      </c>
      <c r="B19" s="5"/>
      <c r="C19" s="16"/>
      <c r="D19" s="16"/>
      <c r="E19" s="5"/>
      <c r="F19" s="22">
        <v>0</v>
      </c>
      <c r="G19" s="6" t="e">
        <f t="shared" si="1"/>
        <v>#DIV/0!</v>
      </c>
      <c r="H19" s="6" t="e">
        <f t="shared" si="0"/>
        <v>#DIV/0!</v>
      </c>
      <c r="I19" s="21" t="e">
        <f t="shared" si="2"/>
        <v>#DIV/0!</v>
      </c>
    </row>
    <row r="20" spans="1:9" x14ac:dyDescent="0.25">
      <c r="A20" s="3" t="s">
        <v>221</v>
      </c>
      <c r="B20" s="5"/>
      <c r="C20" s="16"/>
      <c r="D20" s="16"/>
      <c r="E20" s="5"/>
      <c r="F20" s="22">
        <v>0</v>
      </c>
      <c r="G20" s="6" t="e">
        <f t="shared" si="1"/>
        <v>#DIV/0!</v>
      </c>
      <c r="H20" s="6" t="e">
        <f t="shared" si="0"/>
        <v>#DIV/0!</v>
      </c>
      <c r="I20" s="21" t="e">
        <f t="shared" si="2"/>
        <v>#DIV/0!</v>
      </c>
    </row>
    <row r="21" spans="1:9" x14ac:dyDescent="0.25">
      <c r="A21" s="3" t="s">
        <v>223</v>
      </c>
      <c r="B21" s="5"/>
      <c r="C21" s="16"/>
      <c r="D21" s="16"/>
      <c r="E21" s="5"/>
      <c r="F21" s="22">
        <v>0</v>
      </c>
      <c r="G21" s="6" t="e">
        <f t="shared" si="1"/>
        <v>#DIV/0!</v>
      </c>
      <c r="H21" s="6" t="e">
        <f t="shared" si="0"/>
        <v>#DIV/0!</v>
      </c>
      <c r="I21" s="21" t="e">
        <f t="shared" si="2"/>
        <v>#DIV/0!</v>
      </c>
    </row>
    <row r="22" spans="1:9" x14ac:dyDescent="0.25">
      <c r="A22" s="3" t="s">
        <v>224</v>
      </c>
      <c r="B22" s="5"/>
      <c r="C22" s="16"/>
      <c r="D22" s="16"/>
      <c r="E22" s="5"/>
      <c r="F22" s="22">
        <v>0</v>
      </c>
      <c r="G22" s="6" t="e">
        <f t="shared" si="1"/>
        <v>#DIV/0!</v>
      </c>
      <c r="H22" s="6" t="e">
        <f t="shared" si="0"/>
        <v>#DIV/0!</v>
      </c>
      <c r="I22" s="21" t="e">
        <f t="shared" si="2"/>
        <v>#DIV/0!</v>
      </c>
    </row>
    <row r="24" spans="1:9" hidden="1" x14ac:dyDescent="0.25"/>
    <row r="28" spans="1:9" x14ac:dyDescent="0.25">
      <c r="F28" s="5"/>
    </row>
    <row r="29" spans="1:9" x14ac:dyDescent="0.25">
      <c r="F29" s="5"/>
    </row>
    <row r="30" spans="1:9" x14ac:dyDescent="0.25">
      <c r="F30" s="5"/>
    </row>
    <row r="31" spans="1:9" x14ac:dyDescent="0.25">
      <c r="F31" s="5"/>
    </row>
    <row r="32" spans="1:9" x14ac:dyDescent="0.25">
      <c r="F32" s="5"/>
    </row>
    <row r="33" spans="6:6" x14ac:dyDescent="0.25">
      <c r="F33" s="5"/>
    </row>
    <row r="34" spans="6:6" x14ac:dyDescent="0.25">
      <c r="F34" s="5"/>
    </row>
    <row r="35" spans="6:6" x14ac:dyDescent="0.25">
      <c r="F35" s="5"/>
    </row>
    <row r="36" spans="6:6" x14ac:dyDescent="0.25">
      <c r="F36" s="5"/>
    </row>
    <row r="37" spans="6:6" x14ac:dyDescent="0.25">
      <c r="F37" s="5"/>
    </row>
    <row r="38" spans="6:6" x14ac:dyDescent="0.25">
      <c r="F38" s="5"/>
    </row>
    <row r="39" spans="6:6" x14ac:dyDescent="0.25">
      <c r="F39" s="5"/>
    </row>
    <row r="40" spans="6:6" x14ac:dyDescent="0.25">
      <c r="F40" s="5"/>
    </row>
    <row r="41" spans="6:6" x14ac:dyDescent="0.25">
      <c r="F41" s="5"/>
    </row>
    <row r="42" spans="6:6" x14ac:dyDescent="0.25">
      <c r="F42" s="5"/>
    </row>
    <row r="43" spans="6:6" x14ac:dyDescent="0.25">
      <c r="F43" s="5"/>
    </row>
    <row r="44" spans="6:6" x14ac:dyDescent="0.25">
      <c r="F44" s="5"/>
    </row>
    <row r="45" spans="6:6" x14ac:dyDescent="0.25">
      <c r="F45" s="5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1780-A5E7-434C-9C93-5935B5524157}">
  <dimension ref="A3:J45"/>
  <sheetViews>
    <sheetView topLeftCell="A2" workbookViewId="0">
      <selection activeCell="G28" sqref="G28"/>
    </sheetView>
  </sheetViews>
  <sheetFormatPr defaultRowHeight="15" x14ac:dyDescent="0.25"/>
  <cols>
    <col min="4" max="5" width="9.140625" customWidth="1"/>
    <col min="9" max="9" width="11.42578125" customWidth="1"/>
  </cols>
  <sheetData>
    <row r="3" spans="1:10" x14ac:dyDescent="0.25">
      <c r="B3" s="7" t="s">
        <v>230</v>
      </c>
      <c r="C3" s="7" t="s">
        <v>324</v>
      </c>
      <c r="D3" s="7" t="s">
        <v>314</v>
      </c>
      <c r="E3" s="7" t="s">
        <v>320</v>
      </c>
      <c r="F3" s="7" t="s">
        <v>234</v>
      </c>
      <c r="G3" s="7" t="s">
        <v>315</v>
      </c>
      <c r="H3" s="7" t="s">
        <v>232</v>
      </c>
      <c r="I3" s="7" t="s">
        <v>325</v>
      </c>
      <c r="J3" s="7" t="s">
        <v>311</v>
      </c>
    </row>
    <row r="4" spans="1:10" hidden="1" x14ac:dyDescent="0.25"/>
    <row r="5" spans="1:10" x14ac:dyDescent="0.25">
      <c r="A5" s="3" t="s">
        <v>23</v>
      </c>
      <c r="B5" s="5">
        <v>59</v>
      </c>
      <c r="C5" s="16">
        <v>70</v>
      </c>
      <c r="D5" s="16">
        <v>0</v>
      </c>
      <c r="E5" s="16">
        <v>62</v>
      </c>
      <c r="F5" s="5">
        <v>189.48</v>
      </c>
      <c r="G5" s="22">
        <f>D5/F5</f>
        <v>0</v>
      </c>
      <c r="H5" s="6">
        <f>B5/F5</f>
        <v>0.31137850960523539</v>
      </c>
      <c r="I5" s="6">
        <f t="shared" ref="I5:I22" si="0">C5/F5</f>
        <v>0.36943213004010977</v>
      </c>
      <c r="J5" s="21">
        <f>G5+H5+I5</f>
        <v>0.68081063964534516</v>
      </c>
    </row>
    <row r="6" spans="1:10" x14ac:dyDescent="0.25">
      <c r="A6" s="3" t="s">
        <v>74</v>
      </c>
      <c r="B6" s="5">
        <v>89</v>
      </c>
      <c r="C6" s="16">
        <v>49</v>
      </c>
      <c r="D6" s="16">
        <v>0</v>
      </c>
      <c r="E6" s="16">
        <v>49</v>
      </c>
      <c r="F6" s="5">
        <v>170.98000000000002</v>
      </c>
      <c r="G6" s="22">
        <f t="shared" ref="G6:G22" si="1">D6/F6</f>
        <v>0</v>
      </c>
      <c r="H6" s="6">
        <f t="shared" ref="H6:H22" si="2">B6/F6</f>
        <v>0.52052871680898349</v>
      </c>
      <c r="I6" s="6">
        <f t="shared" si="0"/>
        <v>0.28658322610831671</v>
      </c>
      <c r="J6" s="21">
        <f t="shared" ref="J6:J22" si="3">G6+H6+I6</f>
        <v>0.80711194291730015</v>
      </c>
    </row>
    <row r="7" spans="1:10" x14ac:dyDescent="0.25">
      <c r="A7" s="3" t="s">
        <v>103</v>
      </c>
      <c r="B7" s="5">
        <v>99</v>
      </c>
      <c r="C7" s="16">
        <v>103</v>
      </c>
      <c r="D7" s="16">
        <v>0</v>
      </c>
      <c r="E7" s="16">
        <v>101</v>
      </c>
      <c r="F7" s="5">
        <v>172</v>
      </c>
      <c r="G7" s="22">
        <f t="shared" si="1"/>
        <v>0</v>
      </c>
      <c r="H7" s="6">
        <f t="shared" si="2"/>
        <v>0.57558139534883723</v>
      </c>
      <c r="I7" s="6">
        <f t="shared" si="0"/>
        <v>0.59883720930232553</v>
      </c>
      <c r="J7" s="21">
        <f t="shared" si="3"/>
        <v>1.1744186046511627</v>
      </c>
    </row>
    <row r="8" spans="1:10" x14ac:dyDescent="0.25">
      <c r="A8" s="3" t="s">
        <v>122</v>
      </c>
      <c r="B8" s="5">
        <v>99</v>
      </c>
      <c r="C8" s="16">
        <v>76</v>
      </c>
      <c r="D8" s="16">
        <v>0</v>
      </c>
      <c r="E8" s="16">
        <v>97</v>
      </c>
      <c r="F8" s="5">
        <v>155.5</v>
      </c>
      <c r="G8" s="22">
        <f t="shared" si="1"/>
        <v>0</v>
      </c>
      <c r="H8" s="6">
        <f t="shared" si="2"/>
        <v>0.63665594855305463</v>
      </c>
      <c r="I8" s="6">
        <f t="shared" si="0"/>
        <v>0.4887459807073955</v>
      </c>
      <c r="J8" s="21">
        <f t="shared" si="3"/>
        <v>1.12540192926045</v>
      </c>
    </row>
    <row r="9" spans="1:10" x14ac:dyDescent="0.25">
      <c r="A9" s="3" t="s">
        <v>137</v>
      </c>
      <c r="B9" s="5">
        <v>100</v>
      </c>
      <c r="C9" s="16">
        <f>72+3.6</f>
        <v>75.599999999999994</v>
      </c>
      <c r="D9" s="16">
        <v>2</v>
      </c>
      <c r="E9" s="16">
        <v>76</v>
      </c>
      <c r="F9" s="5">
        <v>161</v>
      </c>
      <c r="G9" s="22">
        <f t="shared" si="1"/>
        <v>1.2422360248447204E-2</v>
      </c>
      <c r="H9" s="6">
        <f t="shared" si="2"/>
        <v>0.6211180124223602</v>
      </c>
      <c r="I9" s="6">
        <f t="shared" si="0"/>
        <v>0.4695652173913043</v>
      </c>
      <c r="J9" s="21">
        <f t="shared" si="3"/>
        <v>1.1031055900621118</v>
      </c>
    </row>
    <row r="10" spans="1:10" x14ac:dyDescent="0.25">
      <c r="A10" s="3" t="s">
        <v>156</v>
      </c>
      <c r="B10" s="5">
        <v>77</v>
      </c>
      <c r="C10" s="16">
        <v>102</v>
      </c>
      <c r="D10" s="16">
        <v>0</v>
      </c>
      <c r="E10" s="16">
        <v>110</v>
      </c>
      <c r="F10" s="5">
        <v>171</v>
      </c>
      <c r="G10" s="22">
        <f t="shared" si="1"/>
        <v>0</v>
      </c>
      <c r="H10" s="6">
        <f t="shared" si="2"/>
        <v>0.45029239766081869</v>
      </c>
      <c r="I10" s="6">
        <f t="shared" si="0"/>
        <v>0.59649122807017541</v>
      </c>
      <c r="J10" s="21">
        <f t="shared" si="3"/>
        <v>1.0467836257309941</v>
      </c>
    </row>
    <row r="11" spans="1:10" x14ac:dyDescent="0.25">
      <c r="A11" s="3" t="s">
        <v>162</v>
      </c>
      <c r="B11" s="5">
        <v>93</v>
      </c>
      <c r="C11" s="16">
        <f>92+9.8</f>
        <v>101.8</v>
      </c>
      <c r="D11" s="16">
        <v>0</v>
      </c>
      <c r="E11" s="16">
        <v>97</v>
      </c>
      <c r="F11" s="5">
        <v>151.5</v>
      </c>
      <c r="G11" s="22">
        <f t="shared" si="1"/>
        <v>0</v>
      </c>
      <c r="H11" s="6">
        <f t="shared" si="2"/>
        <v>0.61386138613861385</v>
      </c>
      <c r="I11" s="6">
        <f t="shared" si="0"/>
        <v>0.67194719471947195</v>
      </c>
      <c r="J11" s="21">
        <f t="shared" si="3"/>
        <v>1.2858085808580859</v>
      </c>
    </row>
    <row r="12" spans="1:10" x14ac:dyDescent="0.25">
      <c r="A12" s="3" t="s">
        <v>178</v>
      </c>
      <c r="B12" s="5">
        <v>85</v>
      </c>
      <c r="C12" s="16">
        <v>109</v>
      </c>
      <c r="D12" s="16">
        <v>0</v>
      </c>
      <c r="E12" s="16">
        <v>87</v>
      </c>
      <c r="F12" s="5">
        <v>175.5</v>
      </c>
      <c r="G12" s="22">
        <f t="shared" si="1"/>
        <v>0</v>
      </c>
      <c r="H12" s="6">
        <f t="shared" si="2"/>
        <v>0.48433048433048431</v>
      </c>
      <c r="I12" s="6">
        <f t="shared" si="0"/>
        <v>0.62108262108262113</v>
      </c>
      <c r="J12" s="21">
        <f t="shared" si="3"/>
        <v>1.1054131054131053</v>
      </c>
    </row>
    <row r="13" spans="1:10" x14ac:dyDescent="0.25">
      <c r="A13" s="3" t="s">
        <v>186</v>
      </c>
      <c r="B13" s="5">
        <v>59</v>
      </c>
      <c r="C13" s="16">
        <v>90</v>
      </c>
      <c r="D13" s="16">
        <v>0</v>
      </c>
      <c r="E13" s="16">
        <v>63</v>
      </c>
      <c r="F13" s="5">
        <v>148</v>
      </c>
      <c r="G13" s="22">
        <f t="shared" si="1"/>
        <v>0</v>
      </c>
      <c r="H13" s="6">
        <f t="shared" si="2"/>
        <v>0.39864864864864863</v>
      </c>
      <c r="I13" s="6">
        <f t="shared" si="0"/>
        <v>0.60810810810810811</v>
      </c>
      <c r="J13" s="21">
        <f t="shared" si="3"/>
        <v>1.0067567567567568</v>
      </c>
    </row>
    <row r="14" spans="1:10" x14ac:dyDescent="0.25">
      <c r="A14" s="3" t="s">
        <v>188</v>
      </c>
      <c r="B14" s="5">
        <v>98</v>
      </c>
      <c r="C14" s="16">
        <v>92</v>
      </c>
      <c r="D14" s="16">
        <v>0</v>
      </c>
      <c r="E14" s="16">
        <v>104</v>
      </c>
      <c r="F14" s="5">
        <v>161</v>
      </c>
      <c r="G14" s="22">
        <f t="shared" si="1"/>
        <v>0</v>
      </c>
      <c r="H14" s="6">
        <f t="shared" si="2"/>
        <v>0.60869565217391308</v>
      </c>
      <c r="I14" s="6">
        <f t="shared" si="0"/>
        <v>0.5714285714285714</v>
      </c>
      <c r="J14" s="21">
        <f t="shared" si="3"/>
        <v>1.1801242236024845</v>
      </c>
    </row>
    <row r="15" spans="1:10" x14ac:dyDescent="0.25">
      <c r="A15" s="3" t="s">
        <v>189</v>
      </c>
      <c r="B15" s="5">
        <v>100</v>
      </c>
      <c r="C15" s="16">
        <f>79+6.4</f>
        <v>85.4</v>
      </c>
      <c r="D15" s="16">
        <v>0</v>
      </c>
      <c r="E15" s="16">
        <v>85</v>
      </c>
      <c r="F15" s="5">
        <v>172.5</v>
      </c>
      <c r="G15" s="22">
        <f t="shared" si="1"/>
        <v>0</v>
      </c>
      <c r="H15" s="6">
        <f t="shared" si="2"/>
        <v>0.57971014492753625</v>
      </c>
      <c r="I15" s="6">
        <f t="shared" si="0"/>
        <v>0.49507246376811598</v>
      </c>
      <c r="J15" s="21">
        <f t="shared" si="3"/>
        <v>1.0747826086956522</v>
      </c>
    </row>
    <row r="16" spans="1:10" x14ac:dyDescent="0.25">
      <c r="A16" s="3" t="s">
        <v>204</v>
      </c>
      <c r="B16" s="5">
        <v>65</v>
      </c>
      <c r="C16" s="16">
        <v>159</v>
      </c>
      <c r="D16" s="16">
        <v>1</v>
      </c>
      <c r="E16" s="16">
        <v>117</v>
      </c>
      <c r="F16" s="5">
        <v>187.5</v>
      </c>
      <c r="G16" s="22">
        <f t="shared" si="1"/>
        <v>5.3333333333333332E-3</v>
      </c>
      <c r="H16" s="6">
        <f t="shared" si="2"/>
        <v>0.34666666666666668</v>
      </c>
      <c r="I16" s="6">
        <f t="shared" si="0"/>
        <v>0.84799999999999998</v>
      </c>
      <c r="J16" s="21">
        <f t="shared" si="3"/>
        <v>1.2</v>
      </c>
    </row>
    <row r="17" spans="1:10" x14ac:dyDescent="0.25">
      <c r="A17" s="3" t="s">
        <v>205</v>
      </c>
      <c r="B17" s="5">
        <v>90</v>
      </c>
      <c r="C17" s="16">
        <f>92.8+9.5</f>
        <v>102.3</v>
      </c>
      <c r="D17" s="16">
        <v>0</v>
      </c>
      <c r="E17" s="16">
        <v>90</v>
      </c>
      <c r="F17" s="5">
        <v>160</v>
      </c>
      <c r="G17" s="22">
        <f t="shared" si="1"/>
        <v>0</v>
      </c>
      <c r="H17" s="6">
        <f t="shared" si="2"/>
        <v>0.5625</v>
      </c>
      <c r="I17" s="6">
        <f t="shared" si="0"/>
        <v>0.63937500000000003</v>
      </c>
      <c r="J17" s="21">
        <f t="shared" si="3"/>
        <v>1.201875</v>
      </c>
    </row>
    <row r="18" spans="1:10" x14ac:dyDescent="0.25">
      <c r="A18" s="3" t="s">
        <v>207</v>
      </c>
      <c r="B18" s="5">
        <v>107</v>
      </c>
      <c r="C18" s="16">
        <v>123</v>
      </c>
      <c r="D18" s="16">
        <v>0</v>
      </c>
      <c r="E18" s="16">
        <v>83</v>
      </c>
      <c r="F18" s="5">
        <v>190.5</v>
      </c>
      <c r="G18" s="22">
        <f t="shared" si="1"/>
        <v>0</v>
      </c>
      <c r="H18" s="6">
        <f t="shared" si="2"/>
        <v>0.56167979002624668</v>
      </c>
      <c r="I18" s="6">
        <f t="shared" si="0"/>
        <v>0.64566929133858264</v>
      </c>
      <c r="J18" s="21">
        <f t="shared" si="3"/>
        <v>1.2073490813648293</v>
      </c>
    </row>
    <row r="19" spans="1:10" x14ac:dyDescent="0.25">
      <c r="A19" s="3" t="s">
        <v>219</v>
      </c>
      <c r="B19" s="5">
        <v>90</v>
      </c>
      <c r="C19" s="16">
        <v>108.5</v>
      </c>
      <c r="D19" s="16">
        <v>0</v>
      </c>
      <c r="E19" s="16">
        <v>93</v>
      </c>
      <c r="F19" s="5">
        <v>166.5</v>
      </c>
      <c r="G19" s="22">
        <f t="shared" si="1"/>
        <v>0</v>
      </c>
      <c r="H19" s="6">
        <f t="shared" si="2"/>
        <v>0.54054054054054057</v>
      </c>
      <c r="I19" s="6">
        <f t="shared" si="0"/>
        <v>0.65165165165165162</v>
      </c>
      <c r="J19" s="21">
        <f t="shared" si="3"/>
        <v>1.1921921921921923</v>
      </c>
    </row>
    <row r="20" spans="1:10" x14ac:dyDescent="0.25">
      <c r="A20" s="3" t="s">
        <v>221</v>
      </c>
      <c r="B20" s="5">
        <v>60</v>
      </c>
      <c r="C20" s="16">
        <f>88+6.9</f>
        <v>94.9</v>
      </c>
      <c r="D20" s="16">
        <v>0</v>
      </c>
      <c r="E20" s="16">
        <v>73</v>
      </c>
      <c r="F20" s="5">
        <v>172</v>
      </c>
      <c r="G20" s="22">
        <f t="shared" si="1"/>
        <v>0</v>
      </c>
      <c r="H20" s="6">
        <f t="shared" si="2"/>
        <v>0.34883720930232559</v>
      </c>
      <c r="I20" s="6">
        <f t="shared" si="0"/>
        <v>0.55174418604651165</v>
      </c>
      <c r="J20" s="21">
        <f t="shared" si="3"/>
        <v>0.9005813953488373</v>
      </c>
    </row>
    <row r="21" spans="1:10" x14ac:dyDescent="0.25">
      <c r="A21" s="3" t="s">
        <v>223</v>
      </c>
      <c r="B21" s="5">
        <v>75</v>
      </c>
      <c r="C21" s="16">
        <v>49</v>
      </c>
      <c r="D21" s="16">
        <v>2</v>
      </c>
      <c r="E21" s="16">
        <v>55</v>
      </c>
      <c r="F21" s="5">
        <v>132.5</v>
      </c>
      <c r="G21" s="22">
        <f t="shared" si="1"/>
        <v>1.509433962264151E-2</v>
      </c>
      <c r="H21" s="6">
        <f t="shared" si="2"/>
        <v>0.56603773584905659</v>
      </c>
      <c r="I21" s="6">
        <f t="shared" si="0"/>
        <v>0.36981132075471695</v>
      </c>
      <c r="J21" s="21">
        <f t="shared" si="3"/>
        <v>0.95094339622641511</v>
      </c>
    </row>
    <row r="22" spans="1:10" x14ac:dyDescent="0.25">
      <c r="A22" s="3" t="s">
        <v>224</v>
      </c>
      <c r="B22" s="5">
        <v>100</v>
      </c>
      <c r="C22" s="16">
        <v>101</v>
      </c>
      <c r="D22" s="16">
        <v>0</v>
      </c>
      <c r="E22" s="16">
        <v>62</v>
      </c>
      <c r="F22" s="5">
        <v>169.5</v>
      </c>
      <c r="G22" s="22">
        <f t="shared" si="1"/>
        <v>0</v>
      </c>
      <c r="H22" s="6">
        <f t="shared" si="2"/>
        <v>0.58997050147492625</v>
      </c>
      <c r="I22" s="6">
        <f t="shared" si="0"/>
        <v>0.59587020648967548</v>
      </c>
      <c r="J22" s="21">
        <f t="shared" si="3"/>
        <v>1.1858407079646018</v>
      </c>
    </row>
    <row r="24" spans="1:10" hidden="1" x14ac:dyDescent="0.25"/>
    <row r="28" spans="1:10" x14ac:dyDescent="0.25">
      <c r="G28" s="5"/>
    </row>
    <row r="29" spans="1:10" x14ac:dyDescent="0.25">
      <c r="G29" s="5"/>
    </row>
    <row r="30" spans="1:10" x14ac:dyDescent="0.25">
      <c r="G30" s="5"/>
    </row>
    <row r="31" spans="1:10" x14ac:dyDescent="0.25">
      <c r="G31" s="5"/>
    </row>
    <row r="32" spans="1:10" x14ac:dyDescent="0.25">
      <c r="G32" s="5"/>
    </row>
    <row r="33" spans="7:7" x14ac:dyDescent="0.25">
      <c r="G33" s="5"/>
    </row>
    <row r="34" spans="7:7" x14ac:dyDescent="0.25">
      <c r="G34" s="5"/>
    </row>
    <row r="35" spans="7:7" x14ac:dyDescent="0.25">
      <c r="G35" s="5"/>
    </row>
    <row r="36" spans="7:7" x14ac:dyDescent="0.25">
      <c r="G36" s="5"/>
    </row>
    <row r="37" spans="7:7" x14ac:dyDescent="0.25">
      <c r="G37" s="5"/>
    </row>
    <row r="38" spans="7:7" x14ac:dyDescent="0.25">
      <c r="G38" s="5"/>
    </row>
    <row r="39" spans="7:7" x14ac:dyDescent="0.25">
      <c r="G39" s="5"/>
    </row>
    <row r="40" spans="7:7" x14ac:dyDescent="0.25">
      <c r="G40" s="5"/>
    </row>
    <row r="41" spans="7:7" x14ac:dyDescent="0.25">
      <c r="G41" s="5"/>
    </row>
    <row r="42" spans="7:7" x14ac:dyDescent="0.25">
      <c r="G42" s="5"/>
    </row>
    <row r="43" spans="7:7" x14ac:dyDescent="0.25">
      <c r="G43" s="5"/>
    </row>
    <row r="44" spans="7:7" x14ac:dyDescent="0.25">
      <c r="G44" s="5"/>
    </row>
    <row r="45" spans="7:7" x14ac:dyDescent="0.25">
      <c r="G45" s="5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DC88-8A8B-47F1-84DA-75289D83482B}">
  <dimension ref="A2:AL50"/>
  <sheetViews>
    <sheetView topLeftCell="J1" workbookViewId="0">
      <selection activeCell="S6" sqref="S6"/>
    </sheetView>
  </sheetViews>
  <sheetFormatPr defaultRowHeight="15" x14ac:dyDescent="0.25"/>
  <cols>
    <col min="1" max="1" width="10.42578125" customWidth="1"/>
    <col min="2" max="2" width="9.28515625" customWidth="1"/>
    <col min="3" max="3" width="9.5703125" customWidth="1"/>
    <col min="4" max="13" width="9.140625" customWidth="1"/>
    <col min="14" max="14" width="11.28515625" customWidth="1"/>
    <col min="15" max="22" width="9.140625" customWidth="1"/>
    <col min="23" max="23" width="10.85546875" customWidth="1"/>
    <col min="24" max="28" width="9.140625" customWidth="1"/>
    <col min="29" max="29" width="9.140625" style="42" customWidth="1"/>
    <col min="30" max="30" width="2.42578125" customWidth="1"/>
    <col min="31" max="31" width="9.140625" style="3"/>
    <col min="38" max="38" width="13.7109375" customWidth="1"/>
  </cols>
  <sheetData>
    <row r="2" spans="1:38" x14ac:dyDescent="0.25">
      <c r="A2" s="3" t="s">
        <v>28</v>
      </c>
      <c r="N2" t="s">
        <v>313</v>
      </c>
      <c r="W2" s="3" t="s">
        <v>316</v>
      </c>
      <c r="AE2" s="68" t="s">
        <v>318</v>
      </c>
      <c r="AF2" s="69"/>
      <c r="AG2" s="69"/>
      <c r="AH2" s="69"/>
      <c r="AI2" s="69"/>
      <c r="AJ2" s="69"/>
      <c r="AK2" s="69"/>
      <c r="AL2" s="70"/>
    </row>
    <row r="3" spans="1:38" x14ac:dyDescent="0.25">
      <c r="B3" s="23" t="s">
        <v>230</v>
      </c>
      <c r="C3" s="26" t="s">
        <v>231</v>
      </c>
      <c r="D3" s="7" t="s">
        <v>234</v>
      </c>
      <c r="E3" s="7" t="s">
        <v>232</v>
      </c>
      <c r="F3" s="7" t="s">
        <v>233</v>
      </c>
      <c r="G3" s="7" t="s">
        <v>311</v>
      </c>
      <c r="I3" s="23" t="s">
        <v>230</v>
      </c>
      <c r="J3" s="39" t="s">
        <v>231</v>
      </c>
      <c r="K3" s="7" t="s">
        <v>234</v>
      </c>
      <c r="L3" s="7" t="s">
        <v>232</v>
      </c>
      <c r="M3" s="7" t="s">
        <v>233</v>
      </c>
      <c r="O3" s="23" t="s">
        <v>230</v>
      </c>
      <c r="P3" s="26" t="s">
        <v>231</v>
      </c>
      <c r="Q3" s="7" t="s">
        <v>314</v>
      </c>
      <c r="R3" s="7" t="s">
        <v>234</v>
      </c>
      <c r="S3" s="7" t="s">
        <v>315</v>
      </c>
      <c r="T3" s="7" t="s">
        <v>232</v>
      </c>
      <c r="U3" s="7" t="s">
        <v>233</v>
      </c>
      <c r="V3" s="7" t="s">
        <v>311</v>
      </c>
      <c r="X3" s="23" t="s">
        <v>230</v>
      </c>
      <c r="Y3" s="26" t="s">
        <v>231</v>
      </c>
      <c r="Z3" s="7" t="s">
        <v>234</v>
      </c>
      <c r="AA3" s="7" t="s">
        <v>232</v>
      </c>
      <c r="AB3" s="7" t="s">
        <v>233</v>
      </c>
      <c r="AC3" s="43" t="s">
        <v>311</v>
      </c>
      <c r="AE3" s="31"/>
      <c r="AF3" s="33" t="s">
        <v>230</v>
      </c>
      <c r="AG3" s="33" t="s">
        <v>231</v>
      </c>
      <c r="AH3" s="33" t="s">
        <v>315</v>
      </c>
      <c r="AI3" s="33" t="s">
        <v>232</v>
      </c>
      <c r="AJ3" s="33" t="s">
        <v>233</v>
      </c>
      <c r="AK3" s="33" t="s">
        <v>234</v>
      </c>
      <c r="AL3" s="33" t="s">
        <v>311</v>
      </c>
    </row>
    <row r="4" spans="1:38" x14ac:dyDescent="0.25">
      <c r="B4" s="24"/>
      <c r="C4" s="27"/>
      <c r="I4" s="24"/>
      <c r="J4" s="40"/>
      <c r="O4" s="24"/>
      <c r="P4" s="27"/>
      <c r="X4" s="24"/>
      <c r="Y4" s="27"/>
      <c r="AE4" s="31"/>
      <c r="AF4" s="32"/>
      <c r="AG4" s="32"/>
      <c r="AH4" s="32"/>
      <c r="AI4" s="32"/>
      <c r="AJ4" s="32"/>
      <c r="AK4" s="32"/>
      <c r="AL4" s="32"/>
    </row>
    <row r="5" spans="1:38" x14ac:dyDescent="0.25">
      <c r="A5" s="3" t="s">
        <v>23</v>
      </c>
      <c r="B5" s="30">
        <v>55</v>
      </c>
      <c r="C5" s="28">
        <v>4.5</v>
      </c>
      <c r="D5" s="5">
        <v>111.5</v>
      </c>
      <c r="E5" s="6">
        <f t="shared" ref="E5:E22" si="0">B5/D5</f>
        <v>0.49327354260089684</v>
      </c>
      <c r="F5" s="6">
        <f t="shared" ref="F5:F22" si="1">C5/D5</f>
        <v>4.0358744394618833E-2</v>
      </c>
      <c r="G5" s="18">
        <f>E5+F5</f>
        <v>0.53363228699551568</v>
      </c>
      <c r="H5" s="3" t="s">
        <v>23</v>
      </c>
      <c r="I5" s="25">
        <v>6</v>
      </c>
      <c r="J5" s="41">
        <v>12</v>
      </c>
      <c r="K5" s="5">
        <v>46.5</v>
      </c>
      <c r="L5" s="6">
        <f>I5/K5</f>
        <v>0.12903225806451613</v>
      </c>
      <c r="M5" s="6">
        <f>J5/K5</f>
        <v>0.25806451612903225</v>
      </c>
      <c r="N5" s="3" t="s">
        <v>23</v>
      </c>
      <c r="O5" s="25">
        <v>46</v>
      </c>
      <c r="P5" s="28">
        <v>9.8000000000000007</v>
      </c>
      <c r="Q5" s="16">
        <v>2</v>
      </c>
      <c r="R5" s="5">
        <v>60</v>
      </c>
      <c r="S5" s="22">
        <f>Q5/R5</f>
        <v>3.3333333333333333E-2</v>
      </c>
      <c r="T5" s="6">
        <f>O5/R5</f>
        <v>0.76666666666666672</v>
      </c>
      <c r="U5" s="6">
        <f>P5/R5</f>
        <v>0.16333333333333336</v>
      </c>
      <c r="V5" s="18">
        <f>S5+T5+U5</f>
        <v>0.96333333333333337</v>
      </c>
      <c r="W5" s="3" t="s">
        <v>23</v>
      </c>
      <c r="X5" s="25">
        <v>10</v>
      </c>
      <c r="Y5" s="29">
        <v>21</v>
      </c>
      <c r="Z5" s="5">
        <v>56.5</v>
      </c>
      <c r="AA5" s="6">
        <f t="shared" ref="AA5:AA22" si="2">X5/Z5</f>
        <v>0.17699115044247787</v>
      </c>
      <c r="AB5" s="6">
        <f t="shared" ref="AB5:AB22" si="3">Y5/Z5</f>
        <v>0.37168141592920356</v>
      </c>
      <c r="AC5" s="44">
        <f>AA5+AB5</f>
        <v>0.54867256637168138</v>
      </c>
      <c r="AE5" s="31" t="s">
        <v>23</v>
      </c>
      <c r="AF5" s="34">
        <f>B5+I5+O5+X5</f>
        <v>117</v>
      </c>
      <c r="AG5" s="34">
        <f>C5+J5+Y5</f>
        <v>37.5</v>
      </c>
      <c r="AH5" s="35">
        <v>3.3333333333333298E-2</v>
      </c>
      <c r="AI5" s="36">
        <f t="shared" ref="AI5:AI22" si="4">AF5/AK5</f>
        <v>0.45806906272022552</v>
      </c>
      <c r="AJ5" s="36">
        <f>AG5/AK5</f>
        <v>0.14681700728212357</v>
      </c>
      <c r="AK5" s="32">
        <v>255.42</v>
      </c>
      <c r="AL5" s="37">
        <f>AI5+AJ5+AH5</f>
        <v>0.63821940333568239</v>
      </c>
    </row>
    <row r="6" spans="1:38" x14ac:dyDescent="0.25">
      <c r="A6" s="3" t="s">
        <v>74</v>
      </c>
      <c r="B6" s="30">
        <v>50</v>
      </c>
      <c r="C6" s="28">
        <v>10</v>
      </c>
      <c r="D6" s="5">
        <v>120</v>
      </c>
      <c r="E6" s="6">
        <f t="shared" si="0"/>
        <v>0.41666666666666669</v>
      </c>
      <c r="F6" s="6">
        <f t="shared" si="1"/>
        <v>8.3333333333333329E-2</v>
      </c>
      <c r="G6" s="18">
        <f>E6+F6</f>
        <v>0.5</v>
      </c>
      <c r="H6" s="3" t="s">
        <v>74</v>
      </c>
      <c r="I6" s="25">
        <v>12</v>
      </c>
      <c r="J6" s="41">
        <v>8</v>
      </c>
      <c r="K6" s="5">
        <v>50</v>
      </c>
      <c r="L6" s="6">
        <f t="shared" ref="L6:L22" si="5">I6/K6</f>
        <v>0.24</v>
      </c>
      <c r="M6" s="6">
        <f t="shared" ref="M6:M22" si="6">J6/K6</f>
        <v>0.16</v>
      </c>
      <c r="N6" s="3" t="s">
        <v>74</v>
      </c>
      <c r="O6" s="25">
        <v>42</v>
      </c>
      <c r="P6" s="28">
        <v>9.8833333333333329</v>
      </c>
      <c r="Q6" s="16">
        <v>4</v>
      </c>
      <c r="R6" s="5">
        <v>72</v>
      </c>
      <c r="S6" s="22">
        <f t="shared" ref="S6:S22" si="7">Q6/R6</f>
        <v>5.5555555555555552E-2</v>
      </c>
      <c r="T6" s="6">
        <f t="shared" ref="T6:T22" si="8">O6/R6</f>
        <v>0.58333333333333337</v>
      </c>
      <c r="U6" s="6">
        <f t="shared" ref="U6:U22" si="9">P6/R6</f>
        <v>0.13726851851851851</v>
      </c>
      <c r="V6" s="18">
        <f t="shared" ref="V6:V22" si="10">S6+T6+U6</f>
        <v>0.77615740740740746</v>
      </c>
      <c r="W6" s="3" t="s">
        <v>74</v>
      </c>
      <c r="X6" s="25">
        <v>9</v>
      </c>
      <c r="Y6" s="29">
        <v>18</v>
      </c>
      <c r="Z6" s="5">
        <v>71.92</v>
      </c>
      <c r="AA6" s="6">
        <f t="shared" si="2"/>
        <v>0.12513904338153503</v>
      </c>
      <c r="AB6" s="6">
        <f t="shared" si="3"/>
        <v>0.25027808676307006</v>
      </c>
      <c r="AC6" s="44">
        <f>AA6+AB6</f>
        <v>0.37541713014460509</v>
      </c>
      <c r="AE6" s="31" t="s">
        <v>74</v>
      </c>
      <c r="AF6" s="34">
        <f t="shared" ref="AF6:AF22" si="11">B6+I6+O6+X6</f>
        <v>113</v>
      </c>
      <c r="AG6" s="34">
        <f t="shared" ref="AG6:AG22" si="12">C6+J6+Y6</f>
        <v>36</v>
      </c>
      <c r="AH6" s="35">
        <v>5.5555555555555552E-2</v>
      </c>
      <c r="AI6" s="36">
        <f t="shared" si="4"/>
        <v>0.55528255528255532</v>
      </c>
      <c r="AJ6" s="36">
        <f t="shared" ref="AJ6:AJ22" si="13">AG6/AK6</f>
        <v>0.1769041769041769</v>
      </c>
      <c r="AK6" s="32">
        <v>203.5</v>
      </c>
      <c r="AL6" s="38">
        <f>AI6+AJ6+AH6</f>
        <v>0.78774228774228783</v>
      </c>
    </row>
    <row r="7" spans="1:38" x14ac:dyDescent="0.25">
      <c r="A7" s="3" t="s">
        <v>103</v>
      </c>
      <c r="B7" s="30">
        <v>37</v>
      </c>
      <c r="C7" s="28">
        <v>7</v>
      </c>
      <c r="D7" s="5">
        <v>138.5</v>
      </c>
      <c r="E7" s="6">
        <f t="shared" si="0"/>
        <v>0.26714801444043323</v>
      </c>
      <c r="F7" s="6">
        <f t="shared" si="1"/>
        <v>5.0541516245487361E-2</v>
      </c>
      <c r="G7" s="18">
        <f t="shared" ref="G7:G22" si="14">E7+F7</f>
        <v>0.3176895306859206</v>
      </c>
      <c r="H7" s="3" t="s">
        <v>103</v>
      </c>
      <c r="I7" s="25">
        <v>12</v>
      </c>
      <c r="J7" s="41">
        <v>9</v>
      </c>
      <c r="K7" s="5">
        <v>51.5</v>
      </c>
      <c r="L7" s="6">
        <f t="shared" si="5"/>
        <v>0.23300970873786409</v>
      </c>
      <c r="M7" s="6">
        <f t="shared" si="6"/>
        <v>0.17475728155339806</v>
      </c>
      <c r="N7" s="3" t="s">
        <v>103</v>
      </c>
      <c r="O7" s="25">
        <v>37</v>
      </c>
      <c r="P7" s="28">
        <v>9.9</v>
      </c>
      <c r="Q7" s="16">
        <v>4.5</v>
      </c>
      <c r="R7" s="5">
        <v>52.5</v>
      </c>
      <c r="S7" s="22">
        <f t="shared" si="7"/>
        <v>8.5714285714285715E-2</v>
      </c>
      <c r="T7" s="6">
        <f t="shared" si="8"/>
        <v>0.70476190476190481</v>
      </c>
      <c r="U7" s="6">
        <f t="shared" si="9"/>
        <v>0.18857142857142858</v>
      </c>
      <c r="V7" s="18">
        <f t="shared" si="10"/>
        <v>0.97904761904761917</v>
      </c>
      <c r="W7" s="3" t="s">
        <v>103</v>
      </c>
      <c r="X7" s="25">
        <v>13</v>
      </c>
      <c r="Y7" s="29">
        <v>30</v>
      </c>
      <c r="Z7" s="5">
        <v>73.5</v>
      </c>
      <c r="AA7" s="6">
        <f t="shared" si="2"/>
        <v>0.17687074829931973</v>
      </c>
      <c r="AB7" s="6">
        <f t="shared" si="3"/>
        <v>0.40816326530612246</v>
      </c>
      <c r="AC7" s="44">
        <f t="shared" ref="AC7:AC22" si="15">AA7+AB7</f>
        <v>0.58503401360544216</v>
      </c>
      <c r="AE7" s="31" t="s">
        <v>103</v>
      </c>
      <c r="AF7" s="34">
        <f t="shared" si="11"/>
        <v>99</v>
      </c>
      <c r="AG7" s="34">
        <f t="shared" si="12"/>
        <v>46</v>
      </c>
      <c r="AH7" s="35">
        <v>8.5714285714285701E-2</v>
      </c>
      <c r="AI7" s="36">
        <f t="shared" si="4"/>
        <v>0.44494382022471912</v>
      </c>
      <c r="AJ7" s="36">
        <f t="shared" si="13"/>
        <v>0.20674157303370785</v>
      </c>
      <c r="AK7" s="32">
        <v>222.5</v>
      </c>
      <c r="AL7" s="38">
        <f t="shared" ref="AL7:AL22" si="16">AI7+AJ7+AH7</f>
        <v>0.73739967897271275</v>
      </c>
    </row>
    <row r="8" spans="1:38" x14ac:dyDescent="0.25">
      <c r="A8" s="3" t="s">
        <v>122</v>
      </c>
      <c r="B8" s="30">
        <v>30</v>
      </c>
      <c r="C8" s="28">
        <v>9</v>
      </c>
      <c r="D8" s="5">
        <v>142</v>
      </c>
      <c r="E8" s="6">
        <f t="shared" si="0"/>
        <v>0.21126760563380281</v>
      </c>
      <c r="F8" s="6">
        <f t="shared" si="1"/>
        <v>6.3380281690140844E-2</v>
      </c>
      <c r="G8" s="18">
        <f t="shared" si="14"/>
        <v>0.27464788732394363</v>
      </c>
      <c r="H8" s="3" t="s">
        <v>122</v>
      </c>
      <c r="I8" s="25">
        <v>17</v>
      </c>
      <c r="J8" s="41">
        <v>19</v>
      </c>
      <c r="K8" s="5">
        <v>50.5</v>
      </c>
      <c r="L8" s="6">
        <f t="shared" si="5"/>
        <v>0.33663366336633666</v>
      </c>
      <c r="M8" s="6">
        <f t="shared" si="6"/>
        <v>0.37623762376237624</v>
      </c>
      <c r="N8" s="3" t="s">
        <v>122</v>
      </c>
      <c r="O8" s="25">
        <v>37</v>
      </c>
      <c r="P8" s="28">
        <v>12.533333333333333</v>
      </c>
      <c r="Q8" s="16">
        <v>2</v>
      </c>
      <c r="R8" s="5">
        <v>67</v>
      </c>
      <c r="S8" s="22">
        <f t="shared" si="7"/>
        <v>2.9850746268656716E-2</v>
      </c>
      <c r="T8" s="6">
        <f t="shared" si="8"/>
        <v>0.55223880597014929</v>
      </c>
      <c r="U8" s="6">
        <f t="shared" si="9"/>
        <v>0.18706467661691542</v>
      </c>
      <c r="V8" s="18">
        <f t="shared" si="10"/>
        <v>0.76915422885572138</v>
      </c>
      <c r="W8" s="3" t="s">
        <v>122</v>
      </c>
      <c r="X8" s="25">
        <v>18</v>
      </c>
      <c r="Y8" s="29">
        <v>30</v>
      </c>
      <c r="Z8" s="5">
        <v>63</v>
      </c>
      <c r="AA8" s="6">
        <f t="shared" si="2"/>
        <v>0.2857142857142857</v>
      </c>
      <c r="AB8" s="6">
        <f t="shared" si="3"/>
        <v>0.47619047619047616</v>
      </c>
      <c r="AC8" s="44">
        <f t="shared" si="15"/>
        <v>0.76190476190476186</v>
      </c>
      <c r="AE8" s="31" t="s">
        <v>122</v>
      </c>
      <c r="AF8" s="34">
        <f t="shared" si="11"/>
        <v>102</v>
      </c>
      <c r="AG8" s="34">
        <f t="shared" si="12"/>
        <v>58</v>
      </c>
      <c r="AH8" s="35">
        <v>2.9850746268656716E-2</v>
      </c>
      <c r="AI8" s="36">
        <f t="shared" si="4"/>
        <v>0.4358974358974359</v>
      </c>
      <c r="AJ8" s="36">
        <f t="shared" si="13"/>
        <v>0.24786324786324787</v>
      </c>
      <c r="AK8" s="32">
        <v>234</v>
      </c>
      <c r="AL8" s="38">
        <f t="shared" si="16"/>
        <v>0.71361143002934047</v>
      </c>
    </row>
    <row r="9" spans="1:38" x14ac:dyDescent="0.25">
      <c r="A9" s="3" t="s">
        <v>137</v>
      </c>
      <c r="B9" s="30">
        <v>30</v>
      </c>
      <c r="C9" s="28">
        <v>10</v>
      </c>
      <c r="D9" s="5">
        <v>153</v>
      </c>
      <c r="E9" s="6">
        <f t="shared" si="0"/>
        <v>0.19607843137254902</v>
      </c>
      <c r="F9" s="6">
        <f t="shared" si="1"/>
        <v>6.535947712418301E-2</v>
      </c>
      <c r="G9" s="18">
        <f t="shared" si="14"/>
        <v>0.26143790849673204</v>
      </c>
      <c r="H9" s="3" t="s">
        <v>137</v>
      </c>
      <c r="I9" s="25">
        <v>10</v>
      </c>
      <c r="J9" s="41">
        <v>22</v>
      </c>
      <c r="K9" s="5">
        <v>29</v>
      </c>
      <c r="L9" s="6">
        <f t="shared" si="5"/>
        <v>0.34482758620689657</v>
      </c>
      <c r="M9" s="6">
        <f t="shared" si="6"/>
        <v>0.75862068965517238</v>
      </c>
      <c r="N9" s="3" t="s">
        <v>137</v>
      </c>
      <c r="O9" s="25">
        <v>35</v>
      </c>
      <c r="P9" s="28">
        <v>16.366666666666699</v>
      </c>
      <c r="Q9" s="16">
        <v>1.5</v>
      </c>
      <c r="R9" s="5">
        <v>39</v>
      </c>
      <c r="S9" s="22">
        <f t="shared" si="7"/>
        <v>3.8461538461538464E-2</v>
      </c>
      <c r="T9" s="6">
        <f t="shared" si="8"/>
        <v>0.89743589743589747</v>
      </c>
      <c r="U9" s="6">
        <f t="shared" si="9"/>
        <v>0.4196581196581205</v>
      </c>
      <c r="V9" s="18">
        <f t="shared" si="10"/>
        <v>1.3555555555555565</v>
      </c>
      <c r="W9" s="3" t="s">
        <v>137</v>
      </c>
      <c r="X9" s="25">
        <v>14</v>
      </c>
      <c r="Y9" s="29">
        <v>39</v>
      </c>
      <c r="Z9" s="5">
        <v>69.5</v>
      </c>
      <c r="AA9" s="6">
        <f t="shared" si="2"/>
        <v>0.20143884892086331</v>
      </c>
      <c r="AB9" s="6">
        <f t="shared" si="3"/>
        <v>0.5611510791366906</v>
      </c>
      <c r="AC9" s="44">
        <f t="shared" si="15"/>
        <v>0.76258992805755388</v>
      </c>
      <c r="AE9" s="31" t="s">
        <v>137</v>
      </c>
      <c r="AF9" s="34">
        <f t="shared" si="11"/>
        <v>89</v>
      </c>
      <c r="AG9" s="34">
        <f t="shared" si="12"/>
        <v>71</v>
      </c>
      <c r="AH9" s="35">
        <v>3.8461538461538464E-2</v>
      </c>
      <c r="AI9" s="36">
        <f t="shared" si="4"/>
        <v>0.39643652561247217</v>
      </c>
      <c r="AJ9" s="36">
        <f t="shared" si="13"/>
        <v>0.31625835189309576</v>
      </c>
      <c r="AK9" s="32">
        <v>224.5</v>
      </c>
      <c r="AL9" s="38">
        <f t="shared" si="16"/>
        <v>0.75115641596710636</v>
      </c>
    </row>
    <row r="10" spans="1:38" x14ac:dyDescent="0.25">
      <c r="A10" s="3" t="s">
        <v>156</v>
      </c>
      <c r="B10" s="30">
        <v>15</v>
      </c>
      <c r="C10" s="45">
        <v>32</v>
      </c>
      <c r="D10" s="5">
        <v>144.5</v>
      </c>
      <c r="E10" s="6">
        <f t="shared" si="0"/>
        <v>0.10380622837370242</v>
      </c>
      <c r="F10" s="6">
        <f t="shared" si="1"/>
        <v>0.22145328719723184</v>
      </c>
      <c r="G10" s="18">
        <f t="shared" si="14"/>
        <v>0.32525951557093424</v>
      </c>
      <c r="H10" s="3" t="s">
        <v>156</v>
      </c>
      <c r="I10" s="25">
        <v>14</v>
      </c>
      <c r="J10" s="41">
        <v>30</v>
      </c>
      <c r="K10" s="5">
        <v>48</v>
      </c>
      <c r="L10" s="6">
        <f t="shared" si="5"/>
        <v>0.29166666666666669</v>
      </c>
      <c r="M10" s="6">
        <f t="shared" si="6"/>
        <v>0.625</v>
      </c>
      <c r="N10" s="3" t="s">
        <v>156</v>
      </c>
      <c r="O10" s="25">
        <v>32</v>
      </c>
      <c r="P10" s="28">
        <v>43.841666666666683</v>
      </c>
      <c r="Q10" s="16">
        <v>1.5</v>
      </c>
      <c r="R10" s="5">
        <v>63</v>
      </c>
      <c r="S10" s="22">
        <f t="shared" si="7"/>
        <v>2.3809523809523808E-2</v>
      </c>
      <c r="T10" s="6">
        <f t="shared" si="8"/>
        <v>0.50793650793650791</v>
      </c>
      <c r="U10" s="6">
        <f t="shared" si="9"/>
        <v>0.69589947089947113</v>
      </c>
      <c r="V10" s="21">
        <f t="shared" si="10"/>
        <v>1.2276455026455029</v>
      </c>
      <c r="W10" s="3" t="s">
        <v>156</v>
      </c>
      <c r="X10" s="25">
        <v>15</v>
      </c>
      <c r="Y10" s="29">
        <v>33</v>
      </c>
      <c r="Z10" s="5">
        <v>34</v>
      </c>
      <c r="AA10" s="6">
        <f t="shared" si="2"/>
        <v>0.44117647058823528</v>
      </c>
      <c r="AB10" s="6">
        <f t="shared" si="3"/>
        <v>0.97058823529411764</v>
      </c>
      <c r="AC10" s="44">
        <f>AA10+AB10</f>
        <v>1.4117647058823528</v>
      </c>
      <c r="AE10" s="31" t="s">
        <v>156</v>
      </c>
      <c r="AF10" s="34">
        <f t="shared" si="11"/>
        <v>76</v>
      </c>
      <c r="AG10" s="34">
        <f t="shared" si="12"/>
        <v>95</v>
      </c>
      <c r="AH10" s="35">
        <v>2.3809523809523801E-2</v>
      </c>
      <c r="AI10" s="36">
        <f t="shared" si="4"/>
        <v>0.31932773109243695</v>
      </c>
      <c r="AJ10" s="36">
        <f t="shared" si="13"/>
        <v>0.39915966386554624</v>
      </c>
      <c r="AK10" s="32">
        <v>238</v>
      </c>
      <c r="AL10" s="38">
        <f>AI10+AJ10+AH10</f>
        <v>0.74229691876750703</v>
      </c>
    </row>
    <row r="11" spans="1:38" x14ac:dyDescent="0.25">
      <c r="A11" s="3" t="s">
        <v>162</v>
      </c>
      <c r="B11" s="30">
        <v>28</v>
      </c>
      <c r="C11" s="28">
        <v>12</v>
      </c>
      <c r="D11" s="5">
        <v>156.5</v>
      </c>
      <c r="E11" s="6">
        <f t="shared" si="0"/>
        <v>0.17891373801916932</v>
      </c>
      <c r="F11" s="6">
        <f t="shared" si="1"/>
        <v>7.6677316293929709E-2</v>
      </c>
      <c r="G11" s="18">
        <f t="shared" si="14"/>
        <v>0.25559105431309903</v>
      </c>
      <c r="H11" s="3" t="s">
        <v>162</v>
      </c>
      <c r="I11" s="25">
        <v>14</v>
      </c>
      <c r="J11" s="41">
        <v>21</v>
      </c>
      <c r="K11" s="5">
        <v>30</v>
      </c>
      <c r="L11" s="6">
        <f t="shared" si="5"/>
        <v>0.46666666666666667</v>
      </c>
      <c r="M11" s="6">
        <f t="shared" si="6"/>
        <v>0.7</v>
      </c>
      <c r="N11" s="3" t="s">
        <v>162</v>
      </c>
      <c r="O11" s="25">
        <v>39</v>
      </c>
      <c r="P11" s="28">
        <v>10.416666666666666</v>
      </c>
      <c r="Q11" s="16">
        <v>1.5</v>
      </c>
      <c r="R11" s="5">
        <v>63</v>
      </c>
      <c r="S11" s="22">
        <f t="shared" si="7"/>
        <v>2.3809523809523808E-2</v>
      </c>
      <c r="T11" s="6">
        <f t="shared" si="8"/>
        <v>0.61904761904761907</v>
      </c>
      <c r="U11" s="6">
        <f t="shared" si="9"/>
        <v>0.16534391534391532</v>
      </c>
      <c r="V11" s="18">
        <f t="shared" si="10"/>
        <v>0.80820105820105825</v>
      </c>
      <c r="W11" s="3" t="s">
        <v>162</v>
      </c>
      <c r="X11" s="25">
        <v>12</v>
      </c>
      <c r="Y11" s="29">
        <v>32</v>
      </c>
      <c r="Z11" s="5">
        <v>71</v>
      </c>
      <c r="AA11" s="6">
        <f t="shared" si="2"/>
        <v>0.16901408450704225</v>
      </c>
      <c r="AB11" s="6">
        <f t="shared" si="3"/>
        <v>0.45070422535211269</v>
      </c>
      <c r="AC11" s="44">
        <f t="shared" si="15"/>
        <v>0.61971830985915499</v>
      </c>
      <c r="AE11" s="31" t="s">
        <v>162</v>
      </c>
      <c r="AF11" s="34">
        <f t="shared" si="11"/>
        <v>93</v>
      </c>
      <c r="AG11" s="34">
        <f t="shared" si="12"/>
        <v>65</v>
      </c>
      <c r="AH11" s="35">
        <v>2.3809523809523808E-2</v>
      </c>
      <c r="AI11" s="36">
        <f t="shared" si="4"/>
        <v>0.40434782608695652</v>
      </c>
      <c r="AJ11" s="36">
        <f t="shared" si="13"/>
        <v>0.28260869565217389</v>
      </c>
      <c r="AK11" s="32">
        <v>230</v>
      </c>
      <c r="AL11" s="38">
        <f t="shared" si="16"/>
        <v>0.7107660455486543</v>
      </c>
    </row>
    <row r="12" spans="1:38" x14ac:dyDescent="0.25">
      <c r="A12" s="3" t="s">
        <v>178</v>
      </c>
      <c r="B12" s="30">
        <v>74</v>
      </c>
      <c r="C12" s="28">
        <v>4</v>
      </c>
      <c r="D12" s="5">
        <v>154.5</v>
      </c>
      <c r="E12" s="6">
        <f t="shared" si="0"/>
        <v>0.47896440129449835</v>
      </c>
      <c r="F12" s="6">
        <f t="shared" si="1"/>
        <v>2.5889967637540454E-2</v>
      </c>
      <c r="G12" s="18">
        <f t="shared" si="14"/>
        <v>0.50485436893203883</v>
      </c>
      <c r="H12" s="3" t="s">
        <v>178</v>
      </c>
      <c r="I12" s="25">
        <v>11</v>
      </c>
      <c r="J12" s="41">
        <v>23</v>
      </c>
      <c r="K12" s="5">
        <v>51</v>
      </c>
      <c r="L12" s="6">
        <f t="shared" si="5"/>
        <v>0.21568627450980393</v>
      </c>
      <c r="M12" s="6">
        <f t="shared" si="6"/>
        <v>0.45098039215686275</v>
      </c>
      <c r="N12" s="3" t="s">
        <v>178</v>
      </c>
      <c r="O12" s="25">
        <v>35</v>
      </c>
      <c r="P12" s="28">
        <v>13.466666666666667</v>
      </c>
      <c r="Q12" s="16">
        <v>4</v>
      </c>
      <c r="R12" s="5">
        <v>62</v>
      </c>
      <c r="S12" s="22">
        <f t="shared" si="7"/>
        <v>6.4516129032258063E-2</v>
      </c>
      <c r="T12" s="6">
        <f t="shared" si="8"/>
        <v>0.56451612903225812</v>
      </c>
      <c r="U12" s="6">
        <f t="shared" si="9"/>
        <v>0.21720430107526881</v>
      </c>
      <c r="V12" s="18">
        <f t="shared" si="10"/>
        <v>0.84623655913978502</v>
      </c>
      <c r="W12" s="3" t="s">
        <v>178</v>
      </c>
      <c r="X12" s="25">
        <v>13</v>
      </c>
      <c r="Y12" s="29">
        <v>34</v>
      </c>
      <c r="Z12" s="5">
        <v>65</v>
      </c>
      <c r="AA12" s="6">
        <f t="shared" si="2"/>
        <v>0.2</v>
      </c>
      <c r="AB12" s="6">
        <f t="shared" si="3"/>
        <v>0.52307692307692311</v>
      </c>
      <c r="AC12" s="44">
        <f t="shared" si="15"/>
        <v>0.72307692307692317</v>
      </c>
      <c r="AE12" s="31" t="s">
        <v>178</v>
      </c>
      <c r="AF12" s="34">
        <f t="shared" si="11"/>
        <v>133</v>
      </c>
      <c r="AG12" s="34">
        <f t="shared" si="12"/>
        <v>61</v>
      </c>
      <c r="AH12" s="35">
        <v>6.4516129032258063E-2</v>
      </c>
      <c r="AI12" s="36">
        <f t="shared" si="4"/>
        <v>0.52465483234714005</v>
      </c>
      <c r="AJ12" s="36">
        <f t="shared" si="13"/>
        <v>0.24063116370808679</v>
      </c>
      <c r="AK12" s="32">
        <v>253.5</v>
      </c>
      <c r="AL12" s="38">
        <f t="shared" si="16"/>
        <v>0.82980212508748497</v>
      </c>
    </row>
    <row r="13" spans="1:38" x14ac:dyDescent="0.25">
      <c r="A13" s="3" t="s">
        <v>186</v>
      </c>
      <c r="B13" s="30">
        <v>71</v>
      </c>
      <c r="C13" s="28">
        <v>8</v>
      </c>
      <c r="D13" s="5">
        <v>138</v>
      </c>
      <c r="E13" s="6">
        <f t="shared" si="0"/>
        <v>0.51449275362318836</v>
      </c>
      <c r="F13" s="6">
        <f t="shared" si="1"/>
        <v>5.7971014492753624E-2</v>
      </c>
      <c r="G13" s="18">
        <f t="shared" si="14"/>
        <v>0.57246376811594202</v>
      </c>
      <c r="H13" s="3" t="s">
        <v>186</v>
      </c>
      <c r="I13" s="25">
        <v>8</v>
      </c>
      <c r="J13" s="41">
        <v>16</v>
      </c>
      <c r="K13" s="5">
        <v>23.9</v>
      </c>
      <c r="L13" s="6">
        <f t="shared" si="5"/>
        <v>0.33472803347280339</v>
      </c>
      <c r="M13" s="6">
        <f t="shared" si="6"/>
        <v>0.66945606694560678</v>
      </c>
      <c r="N13" s="3" t="s">
        <v>186</v>
      </c>
      <c r="O13" s="25">
        <v>46</v>
      </c>
      <c r="P13" s="28">
        <v>11</v>
      </c>
      <c r="Q13" s="16">
        <v>2</v>
      </c>
      <c r="R13" s="5">
        <v>63</v>
      </c>
      <c r="S13" s="22">
        <f t="shared" si="7"/>
        <v>3.1746031746031744E-2</v>
      </c>
      <c r="T13" s="6">
        <f t="shared" si="8"/>
        <v>0.73015873015873012</v>
      </c>
      <c r="U13" s="6">
        <f t="shared" si="9"/>
        <v>0.17460317460317459</v>
      </c>
      <c r="V13" s="18">
        <f t="shared" si="10"/>
        <v>0.93650793650793651</v>
      </c>
      <c r="W13" s="3" t="s">
        <v>186</v>
      </c>
      <c r="X13" s="25">
        <v>9</v>
      </c>
      <c r="Y13" s="29">
        <v>21</v>
      </c>
      <c r="Z13" s="5">
        <v>55.5</v>
      </c>
      <c r="AA13" s="6">
        <f t="shared" si="2"/>
        <v>0.16216216216216217</v>
      </c>
      <c r="AB13" s="6">
        <f t="shared" si="3"/>
        <v>0.3783783783783784</v>
      </c>
      <c r="AC13" s="44">
        <f t="shared" si="15"/>
        <v>0.54054054054054057</v>
      </c>
      <c r="AE13" s="31" t="s">
        <v>186</v>
      </c>
      <c r="AF13" s="34">
        <f t="shared" si="11"/>
        <v>134</v>
      </c>
      <c r="AG13" s="34">
        <f t="shared" si="12"/>
        <v>45</v>
      </c>
      <c r="AH13" s="35">
        <v>3.1746031746031744E-2</v>
      </c>
      <c r="AI13" s="36">
        <f t="shared" si="4"/>
        <v>0.53174603174603174</v>
      </c>
      <c r="AJ13" s="36">
        <f t="shared" si="13"/>
        <v>0.17857142857142858</v>
      </c>
      <c r="AK13" s="32">
        <v>252</v>
      </c>
      <c r="AL13" s="38">
        <f t="shared" si="16"/>
        <v>0.74206349206349209</v>
      </c>
    </row>
    <row r="14" spans="1:38" x14ac:dyDescent="0.25">
      <c r="A14" s="3" t="s">
        <v>188</v>
      </c>
      <c r="B14" s="30">
        <v>33</v>
      </c>
      <c r="C14" s="28">
        <v>13</v>
      </c>
      <c r="D14" s="5">
        <v>142</v>
      </c>
      <c r="E14" s="6">
        <f t="shared" si="0"/>
        <v>0.23239436619718309</v>
      </c>
      <c r="F14" s="6">
        <f t="shared" si="1"/>
        <v>9.154929577464789E-2</v>
      </c>
      <c r="G14" s="18">
        <f t="shared" si="14"/>
        <v>0.323943661971831</v>
      </c>
      <c r="H14" s="3" t="s">
        <v>188</v>
      </c>
      <c r="I14" s="25">
        <v>11</v>
      </c>
      <c r="J14" s="41">
        <v>15</v>
      </c>
      <c r="K14" s="5">
        <v>45</v>
      </c>
      <c r="L14" s="6">
        <f t="shared" si="5"/>
        <v>0.24444444444444444</v>
      </c>
      <c r="M14" s="6">
        <f t="shared" si="6"/>
        <v>0.33333333333333331</v>
      </c>
      <c r="N14" s="3" t="s">
        <v>188</v>
      </c>
      <c r="O14" s="25">
        <v>39</v>
      </c>
      <c r="P14" s="28">
        <v>13.2</v>
      </c>
      <c r="Q14" s="16">
        <v>3</v>
      </c>
      <c r="R14" s="5">
        <v>62</v>
      </c>
      <c r="S14" s="22">
        <f t="shared" si="7"/>
        <v>4.8387096774193547E-2</v>
      </c>
      <c r="T14" s="6">
        <f t="shared" si="8"/>
        <v>0.62903225806451613</v>
      </c>
      <c r="U14" s="6">
        <f t="shared" si="9"/>
        <v>0.2129032258064516</v>
      </c>
      <c r="V14" s="18">
        <f t="shared" si="10"/>
        <v>0.89032258064516123</v>
      </c>
      <c r="W14" s="3" t="s">
        <v>188</v>
      </c>
      <c r="X14" s="25">
        <v>15</v>
      </c>
      <c r="Y14" s="29">
        <v>21</v>
      </c>
      <c r="Z14" s="5">
        <v>72</v>
      </c>
      <c r="AA14" s="6">
        <f t="shared" si="2"/>
        <v>0.20833333333333334</v>
      </c>
      <c r="AB14" s="6">
        <f t="shared" si="3"/>
        <v>0.29166666666666669</v>
      </c>
      <c r="AC14" s="44">
        <f t="shared" si="15"/>
        <v>0.5</v>
      </c>
      <c r="AE14" s="31" t="s">
        <v>188</v>
      </c>
      <c r="AF14" s="34">
        <f t="shared" si="11"/>
        <v>98</v>
      </c>
      <c r="AG14" s="34">
        <f t="shared" si="12"/>
        <v>49</v>
      </c>
      <c r="AH14" s="35">
        <v>4.8387096774193547E-2</v>
      </c>
      <c r="AI14" s="36">
        <f t="shared" si="4"/>
        <v>0.42794759825327511</v>
      </c>
      <c r="AJ14" s="36">
        <f t="shared" si="13"/>
        <v>0.21397379912663755</v>
      </c>
      <c r="AK14" s="32">
        <v>229</v>
      </c>
      <c r="AL14" s="38">
        <f t="shared" si="16"/>
        <v>0.69030849415410622</v>
      </c>
    </row>
    <row r="15" spans="1:38" x14ac:dyDescent="0.25">
      <c r="A15" s="3" t="s">
        <v>189</v>
      </c>
      <c r="B15" s="30">
        <v>77</v>
      </c>
      <c r="C15" s="28">
        <v>6</v>
      </c>
      <c r="D15" s="5">
        <v>148.5</v>
      </c>
      <c r="E15" s="6">
        <f t="shared" si="0"/>
        <v>0.51851851851851849</v>
      </c>
      <c r="F15" s="6">
        <f t="shared" si="1"/>
        <v>4.0404040404040407E-2</v>
      </c>
      <c r="G15" s="18">
        <f t="shared" si="14"/>
        <v>0.55892255892255893</v>
      </c>
      <c r="H15" s="3" t="s">
        <v>189</v>
      </c>
      <c r="I15" s="25">
        <v>9</v>
      </c>
      <c r="J15" s="41">
        <v>9</v>
      </c>
      <c r="K15" s="5">
        <v>50.5</v>
      </c>
      <c r="L15" s="6">
        <f t="shared" si="5"/>
        <v>0.17821782178217821</v>
      </c>
      <c r="M15" s="6">
        <f t="shared" si="6"/>
        <v>0.17821782178217821</v>
      </c>
      <c r="N15" s="3" t="s">
        <v>189</v>
      </c>
      <c r="O15" s="25">
        <v>39</v>
      </c>
      <c r="P15" s="28">
        <v>11</v>
      </c>
      <c r="Q15" s="16">
        <v>2</v>
      </c>
      <c r="R15" s="5">
        <v>70</v>
      </c>
      <c r="S15" s="22">
        <f t="shared" si="7"/>
        <v>2.8571428571428571E-2</v>
      </c>
      <c r="T15" s="6">
        <f t="shared" si="8"/>
        <v>0.55714285714285716</v>
      </c>
      <c r="U15" s="6">
        <f t="shared" si="9"/>
        <v>0.15714285714285714</v>
      </c>
      <c r="V15" s="18">
        <f t="shared" si="10"/>
        <v>0.74285714285714288</v>
      </c>
      <c r="W15" s="3" t="s">
        <v>189</v>
      </c>
      <c r="X15" s="25">
        <v>19</v>
      </c>
      <c r="Y15" s="29">
        <v>31</v>
      </c>
      <c r="Z15" s="5">
        <v>70.5</v>
      </c>
      <c r="AA15" s="6">
        <f t="shared" si="2"/>
        <v>0.26950354609929078</v>
      </c>
      <c r="AB15" s="6">
        <f t="shared" si="3"/>
        <v>0.43971631205673761</v>
      </c>
      <c r="AC15" s="44">
        <f t="shared" si="15"/>
        <v>0.70921985815602839</v>
      </c>
      <c r="AE15" s="31" t="s">
        <v>189</v>
      </c>
      <c r="AF15" s="34">
        <f t="shared" si="11"/>
        <v>144</v>
      </c>
      <c r="AG15" s="34">
        <f t="shared" si="12"/>
        <v>46</v>
      </c>
      <c r="AH15" s="35">
        <v>2.8571428571428571E-2</v>
      </c>
      <c r="AI15" s="36">
        <f t="shared" si="4"/>
        <v>0.59259259259259256</v>
      </c>
      <c r="AJ15" s="36">
        <f t="shared" si="13"/>
        <v>0.18930041152263374</v>
      </c>
      <c r="AK15" s="32">
        <v>243</v>
      </c>
      <c r="AL15" s="38">
        <f t="shared" si="16"/>
        <v>0.81046443268665491</v>
      </c>
    </row>
    <row r="16" spans="1:38" x14ac:dyDescent="0.25">
      <c r="A16" s="3" t="s">
        <v>204</v>
      </c>
      <c r="B16" s="30">
        <v>28</v>
      </c>
      <c r="C16" s="28">
        <v>9</v>
      </c>
      <c r="D16" s="5">
        <v>112.5</v>
      </c>
      <c r="E16" s="6">
        <f t="shared" si="0"/>
        <v>0.24888888888888888</v>
      </c>
      <c r="F16" s="6">
        <f t="shared" si="1"/>
        <v>0.08</v>
      </c>
      <c r="G16" s="18">
        <f t="shared" si="14"/>
        <v>0.3288888888888889</v>
      </c>
      <c r="H16" s="3" t="s">
        <v>204</v>
      </c>
      <c r="I16" s="25">
        <v>12</v>
      </c>
      <c r="J16" s="41">
        <v>11</v>
      </c>
      <c r="K16" s="5">
        <v>49.5</v>
      </c>
      <c r="L16" s="6">
        <f t="shared" si="5"/>
        <v>0.24242424242424243</v>
      </c>
      <c r="M16" s="6">
        <f t="shared" si="6"/>
        <v>0.22222222222222221</v>
      </c>
      <c r="N16" s="3" t="s">
        <v>204</v>
      </c>
      <c r="O16" s="25">
        <v>32</v>
      </c>
      <c r="P16" s="28">
        <v>12.2</v>
      </c>
      <c r="Q16" s="16">
        <v>2</v>
      </c>
      <c r="R16" s="5">
        <v>72</v>
      </c>
      <c r="S16" s="22">
        <f t="shared" si="7"/>
        <v>2.7777777777777776E-2</v>
      </c>
      <c r="T16" s="6">
        <f t="shared" si="8"/>
        <v>0.44444444444444442</v>
      </c>
      <c r="U16" s="6">
        <f t="shared" si="9"/>
        <v>0.16944444444444443</v>
      </c>
      <c r="V16" s="18">
        <f t="shared" si="10"/>
        <v>0.64166666666666661</v>
      </c>
      <c r="W16" s="3" t="s">
        <v>204</v>
      </c>
      <c r="X16" s="25">
        <v>15</v>
      </c>
      <c r="Y16" s="29">
        <v>28</v>
      </c>
      <c r="Z16" s="5">
        <v>62</v>
      </c>
      <c r="AA16" s="6">
        <f t="shared" si="2"/>
        <v>0.24193548387096775</v>
      </c>
      <c r="AB16" s="6">
        <f t="shared" si="3"/>
        <v>0.45161290322580644</v>
      </c>
      <c r="AC16" s="44">
        <f t="shared" si="15"/>
        <v>0.69354838709677424</v>
      </c>
      <c r="AE16" s="31" t="s">
        <v>204</v>
      </c>
      <c r="AF16" s="34">
        <f t="shared" si="11"/>
        <v>87</v>
      </c>
      <c r="AG16" s="34">
        <f t="shared" si="12"/>
        <v>48</v>
      </c>
      <c r="AH16" s="35">
        <v>2.7777777777777776E-2</v>
      </c>
      <c r="AI16" s="36">
        <f t="shared" si="4"/>
        <v>0.41826923076923078</v>
      </c>
      <c r="AJ16" s="36">
        <f t="shared" si="13"/>
        <v>0.23076923076923078</v>
      </c>
      <c r="AK16" s="32">
        <v>208</v>
      </c>
      <c r="AL16" s="38">
        <f t="shared" si="16"/>
        <v>0.67681623931623935</v>
      </c>
    </row>
    <row r="17" spans="1:38" x14ac:dyDescent="0.25">
      <c r="A17" s="3" t="s">
        <v>205</v>
      </c>
      <c r="B17" s="30">
        <v>16</v>
      </c>
      <c r="C17" s="28">
        <v>9</v>
      </c>
      <c r="D17" s="5">
        <v>105.9</v>
      </c>
      <c r="E17" s="6">
        <f t="shared" si="0"/>
        <v>0.15108593012275731</v>
      </c>
      <c r="F17" s="6">
        <f t="shared" si="1"/>
        <v>8.4985835694050993E-2</v>
      </c>
      <c r="G17" s="18">
        <f t="shared" si="14"/>
        <v>0.2360717658168083</v>
      </c>
      <c r="H17" s="3" t="s">
        <v>205</v>
      </c>
      <c r="I17" s="25">
        <v>10</v>
      </c>
      <c r="J17" s="41">
        <v>12</v>
      </c>
      <c r="K17" s="5">
        <v>51</v>
      </c>
      <c r="L17" s="6">
        <f t="shared" si="5"/>
        <v>0.19607843137254902</v>
      </c>
      <c r="M17" s="6">
        <f t="shared" si="6"/>
        <v>0.23529411764705882</v>
      </c>
      <c r="N17" s="3" t="s">
        <v>205</v>
      </c>
      <c r="O17" s="25">
        <v>31</v>
      </c>
      <c r="P17" s="28">
        <v>10</v>
      </c>
      <c r="Q17" s="16">
        <v>0</v>
      </c>
      <c r="R17" s="5">
        <v>73.5</v>
      </c>
      <c r="S17" s="22">
        <f t="shared" si="7"/>
        <v>0</v>
      </c>
      <c r="T17" s="6">
        <f t="shared" si="8"/>
        <v>0.42176870748299322</v>
      </c>
      <c r="U17" s="6">
        <f t="shared" si="9"/>
        <v>0.1360544217687075</v>
      </c>
      <c r="V17" s="18">
        <f t="shared" si="10"/>
        <v>0.55782312925170074</v>
      </c>
      <c r="W17" s="3" t="s">
        <v>205</v>
      </c>
      <c r="X17" s="25">
        <v>14</v>
      </c>
      <c r="Y17" s="29">
        <v>30</v>
      </c>
      <c r="Z17" s="5">
        <v>72</v>
      </c>
      <c r="AA17" s="6">
        <f t="shared" si="2"/>
        <v>0.19444444444444445</v>
      </c>
      <c r="AB17" s="6">
        <f t="shared" si="3"/>
        <v>0.41666666666666669</v>
      </c>
      <c r="AC17" s="44">
        <f t="shared" si="15"/>
        <v>0.61111111111111116</v>
      </c>
      <c r="AE17" s="31" t="s">
        <v>205</v>
      </c>
      <c r="AF17" s="34">
        <f t="shared" si="11"/>
        <v>71</v>
      </c>
      <c r="AG17" s="34">
        <f t="shared" si="12"/>
        <v>51</v>
      </c>
      <c r="AH17" s="35">
        <v>0</v>
      </c>
      <c r="AI17" s="36">
        <f t="shared" si="4"/>
        <v>0.38295577130528585</v>
      </c>
      <c r="AJ17" s="36">
        <f t="shared" si="13"/>
        <v>0.27508090614886732</v>
      </c>
      <c r="AK17" s="32">
        <v>185.4</v>
      </c>
      <c r="AL17" s="38">
        <f t="shared" si="16"/>
        <v>0.65803667745415317</v>
      </c>
    </row>
    <row r="18" spans="1:38" x14ac:dyDescent="0.25">
      <c r="A18" s="3" t="s">
        <v>207</v>
      </c>
      <c r="B18" s="30">
        <v>58</v>
      </c>
      <c r="C18" s="28">
        <v>11</v>
      </c>
      <c r="D18" s="5">
        <v>151.5</v>
      </c>
      <c r="E18" s="6">
        <f t="shared" si="0"/>
        <v>0.38283828382838286</v>
      </c>
      <c r="F18" s="6">
        <f t="shared" si="1"/>
        <v>7.2607260726072612E-2</v>
      </c>
      <c r="G18" s="18">
        <f t="shared" si="14"/>
        <v>0.45544554455445546</v>
      </c>
      <c r="H18" s="3" t="s">
        <v>207</v>
      </c>
      <c r="I18" s="25">
        <v>14</v>
      </c>
      <c r="J18" s="41">
        <v>14</v>
      </c>
      <c r="K18" s="5">
        <v>47.5</v>
      </c>
      <c r="L18" s="6">
        <f t="shared" si="5"/>
        <v>0.29473684210526313</v>
      </c>
      <c r="M18" s="6">
        <f t="shared" si="6"/>
        <v>0.29473684210526313</v>
      </c>
      <c r="N18" s="3" t="s">
        <v>207</v>
      </c>
      <c r="O18" s="25">
        <v>32</v>
      </c>
      <c r="P18" s="28">
        <v>13.616666666666667</v>
      </c>
      <c r="Q18" s="16">
        <v>6</v>
      </c>
      <c r="R18" s="5">
        <v>65</v>
      </c>
      <c r="S18" s="22">
        <f t="shared" si="7"/>
        <v>9.2307692307692313E-2</v>
      </c>
      <c r="T18" s="6">
        <f t="shared" si="8"/>
        <v>0.49230769230769234</v>
      </c>
      <c r="U18" s="6">
        <f t="shared" si="9"/>
        <v>0.20948717948717949</v>
      </c>
      <c r="V18" s="18">
        <f t="shared" si="10"/>
        <v>0.79410256410256408</v>
      </c>
      <c r="W18" s="3" t="s">
        <v>207</v>
      </c>
      <c r="X18" s="25">
        <v>18</v>
      </c>
      <c r="Y18" s="29">
        <v>33</v>
      </c>
      <c r="Z18" s="5">
        <v>61.5</v>
      </c>
      <c r="AA18" s="6">
        <f t="shared" si="2"/>
        <v>0.29268292682926828</v>
      </c>
      <c r="AB18" s="6">
        <f t="shared" si="3"/>
        <v>0.53658536585365857</v>
      </c>
      <c r="AC18" s="44">
        <f t="shared" si="15"/>
        <v>0.8292682926829269</v>
      </c>
      <c r="AE18" s="31" t="s">
        <v>207</v>
      </c>
      <c r="AF18" s="34">
        <f t="shared" si="11"/>
        <v>122</v>
      </c>
      <c r="AG18" s="34">
        <f t="shared" si="12"/>
        <v>58</v>
      </c>
      <c r="AH18" s="35">
        <v>9.2307692307692313E-2</v>
      </c>
      <c r="AI18" s="36">
        <f t="shared" si="4"/>
        <v>0.50102669404517453</v>
      </c>
      <c r="AJ18" s="36">
        <f t="shared" si="13"/>
        <v>0.23819301848049282</v>
      </c>
      <c r="AK18" s="32">
        <v>243.5</v>
      </c>
      <c r="AL18" s="38">
        <f t="shared" si="16"/>
        <v>0.83152740483335963</v>
      </c>
    </row>
    <row r="19" spans="1:38" x14ac:dyDescent="0.25">
      <c r="A19" s="3" t="s">
        <v>219</v>
      </c>
      <c r="B19" s="30">
        <v>22</v>
      </c>
      <c r="C19" s="28">
        <v>22</v>
      </c>
      <c r="D19" s="5">
        <v>142.5</v>
      </c>
      <c r="E19" s="6">
        <f t="shared" si="0"/>
        <v>0.15438596491228071</v>
      </c>
      <c r="F19" s="6">
        <f t="shared" si="1"/>
        <v>0.15438596491228071</v>
      </c>
      <c r="G19" s="18">
        <f t="shared" si="14"/>
        <v>0.30877192982456142</v>
      </c>
      <c r="H19" s="3" t="s">
        <v>219</v>
      </c>
      <c r="I19" s="25">
        <v>14</v>
      </c>
      <c r="J19" s="41">
        <v>30</v>
      </c>
      <c r="K19" s="5">
        <v>41</v>
      </c>
      <c r="L19" s="6">
        <f t="shared" si="5"/>
        <v>0.34146341463414637</v>
      </c>
      <c r="M19" s="6">
        <f t="shared" si="6"/>
        <v>0.73170731707317072</v>
      </c>
      <c r="N19" s="3" t="s">
        <v>219</v>
      </c>
      <c r="O19" s="25">
        <v>40</v>
      </c>
      <c r="P19" s="28">
        <v>22.6</v>
      </c>
      <c r="Q19" s="16">
        <v>6</v>
      </c>
      <c r="R19" s="5">
        <v>71.5</v>
      </c>
      <c r="S19" s="22">
        <f t="shared" si="7"/>
        <v>8.3916083916083919E-2</v>
      </c>
      <c r="T19" s="6">
        <f t="shared" si="8"/>
        <v>0.55944055944055948</v>
      </c>
      <c r="U19" s="6">
        <f t="shared" si="9"/>
        <v>0.31608391608391612</v>
      </c>
      <c r="V19" s="18">
        <f t="shared" si="10"/>
        <v>0.9594405594405595</v>
      </c>
      <c r="W19" s="3" t="s">
        <v>219</v>
      </c>
      <c r="X19" s="25">
        <v>16</v>
      </c>
      <c r="Y19" s="29">
        <v>37</v>
      </c>
      <c r="Z19" s="5">
        <v>69</v>
      </c>
      <c r="AA19" s="6">
        <f t="shared" si="2"/>
        <v>0.2318840579710145</v>
      </c>
      <c r="AB19" s="6">
        <f t="shared" si="3"/>
        <v>0.53623188405797106</v>
      </c>
      <c r="AC19" s="44">
        <f t="shared" si="15"/>
        <v>0.76811594202898559</v>
      </c>
      <c r="AE19" s="31" t="s">
        <v>219</v>
      </c>
      <c r="AF19" s="34">
        <f t="shared" si="11"/>
        <v>92</v>
      </c>
      <c r="AG19" s="34">
        <f t="shared" si="12"/>
        <v>89</v>
      </c>
      <c r="AH19" s="35">
        <v>8.3916083916083919E-2</v>
      </c>
      <c r="AI19" s="36">
        <f t="shared" si="4"/>
        <v>0.38983050847457629</v>
      </c>
      <c r="AJ19" s="36">
        <f t="shared" si="13"/>
        <v>0.3771186440677966</v>
      </c>
      <c r="AK19" s="32">
        <v>236</v>
      </c>
      <c r="AL19" s="38">
        <f t="shared" si="16"/>
        <v>0.8508652364584568</v>
      </c>
    </row>
    <row r="20" spans="1:38" x14ac:dyDescent="0.25">
      <c r="A20" s="3" t="s">
        <v>221</v>
      </c>
      <c r="B20" s="30">
        <v>15</v>
      </c>
      <c r="C20" s="28">
        <v>9.9</v>
      </c>
      <c r="D20" s="5">
        <v>131.5</v>
      </c>
      <c r="E20" s="6">
        <f t="shared" si="0"/>
        <v>0.11406844106463879</v>
      </c>
      <c r="F20" s="6">
        <f t="shared" si="1"/>
        <v>7.5285171102661599E-2</v>
      </c>
      <c r="G20" s="18">
        <f t="shared" si="14"/>
        <v>0.1893536121673004</v>
      </c>
      <c r="H20" s="3" t="s">
        <v>221</v>
      </c>
      <c r="I20" s="25">
        <v>11</v>
      </c>
      <c r="J20" s="41">
        <v>22</v>
      </c>
      <c r="K20" s="5">
        <v>51</v>
      </c>
      <c r="L20" s="6">
        <f t="shared" si="5"/>
        <v>0.21568627450980393</v>
      </c>
      <c r="M20" s="6">
        <f t="shared" si="6"/>
        <v>0.43137254901960786</v>
      </c>
      <c r="N20" s="3" t="s">
        <v>221</v>
      </c>
      <c r="O20" s="25">
        <v>31</v>
      </c>
      <c r="P20" s="28">
        <v>13.9</v>
      </c>
      <c r="Q20" s="16">
        <v>3.5</v>
      </c>
      <c r="R20" s="5">
        <v>71.5</v>
      </c>
      <c r="S20" s="22">
        <f t="shared" si="7"/>
        <v>4.8951048951048952E-2</v>
      </c>
      <c r="T20" s="6">
        <f t="shared" si="8"/>
        <v>0.43356643356643354</v>
      </c>
      <c r="U20" s="6">
        <f t="shared" si="9"/>
        <v>0.19440559440559441</v>
      </c>
      <c r="V20" s="21">
        <f t="shared" si="10"/>
        <v>0.67692307692307696</v>
      </c>
      <c r="W20" s="3" t="s">
        <v>221</v>
      </c>
      <c r="X20" s="25">
        <v>11</v>
      </c>
      <c r="Y20" s="29">
        <v>30</v>
      </c>
      <c r="Z20" s="5">
        <v>73.5</v>
      </c>
      <c r="AA20" s="6">
        <f t="shared" si="2"/>
        <v>0.14965986394557823</v>
      </c>
      <c r="AB20" s="6">
        <f t="shared" si="3"/>
        <v>0.40816326530612246</v>
      </c>
      <c r="AC20" s="44">
        <f t="shared" si="15"/>
        <v>0.55782312925170063</v>
      </c>
      <c r="AE20" s="31" t="s">
        <v>221</v>
      </c>
      <c r="AF20" s="34">
        <f t="shared" si="11"/>
        <v>68</v>
      </c>
      <c r="AG20" s="34">
        <f t="shared" si="12"/>
        <v>61.9</v>
      </c>
      <c r="AH20" s="35">
        <v>4.8951048951048952E-2</v>
      </c>
      <c r="AI20" s="36">
        <f t="shared" si="4"/>
        <v>0.32</v>
      </c>
      <c r="AJ20" s="36">
        <f t="shared" si="13"/>
        <v>0.29129411764705881</v>
      </c>
      <c r="AK20" s="32">
        <v>212.5</v>
      </c>
      <c r="AL20" s="38">
        <f t="shared" si="16"/>
        <v>0.66024516659810772</v>
      </c>
    </row>
    <row r="21" spans="1:38" x14ac:dyDescent="0.25">
      <c r="A21" s="3" t="s">
        <v>223</v>
      </c>
      <c r="B21" s="30">
        <v>42</v>
      </c>
      <c r="C21" s="28">
        <v>15</v>
      </c>
      <c r="D21" s="5">
        <v>122.5</v>
      </c>
      <c r="E21" s="6">
        <f t="shared" si="0"/>
        <v>0.34285714285714286</v>
      </c>
      <c r="F21" s="6">
        <f t="shared" si="1"/>
        <v>0.12244897959183673</v>
      </c>
      <c r="G21" s="18">
        <f t="shared" si="14"/>
        <v>0.46530612244897962</v>
      </c>
      <c r="H21" s="3" t="s">
        <v>223</v>
      </c>
      <c r="I21" s="25">
        <v>14</v>
      </c>
      <c r="J21" s="41">
        <v>14</v>
      </c>
      <c r="K21" s="5">
        <v>41.5</v>
      </c>
      <c r="L21" s="6">
        <f t="shared" si="5"/>
        <v>0.33734939759036142</v>
      </c>
      <c r="M21" s="6">
        <f t="shared" si="6"/>
        <v>0.33734939759036142</v>
      </c>
      <c r="N21" s="3" t="s">
        <v>223</v>
      </c>
      <c r="O21" s="25">
        <v>31</v>
      </c>
      <c r="P21" s="28">
        <v>36.233333333333327</v>
      </c>
      <c r="Q21" s="16">
        <v>15.5</v>
      </c>
      <c r="R21" s="5">
        <v>63</v>
      </c>
      <c r="S21" s="22">
        <v>3.5999999999999997E-2</v>
      </c>
      <c r="T21" s="6">
        <f t="shared" si="8"/>
        <v>0.49206349206349204</v>
      </c>
      <c r="U21" s="6">
        <f t="shared" si="9"/>
        <v>0.57513227513227505</v>
      </c>
      <c r="V21" s="21">
        <f t="shared" si="10"/>
        <v>1.1031957671957671</v>
      </c>
      <c r="W21" s="3" t="s">
        <v>223</v>
      </c>
      <c r="X21" s="25">
        <v>18</v>
      </c>
      <c r="Y21" s="29">
        <v>32</v>
      </c>
      <c r="Z21" s="5">
        <v>42</v>
      </c>
      <c r="AA21" s="6">
        <f t="shared" si="2"/>
        <v>0.42857142857142855</v>
      </c>
      <c r="AB21" s="6">
        <f t="shared" si="3"/>
        <v>0.76190476190476186</v>
      </c>
      <c r="AC21" s="44">
        <f t="shared" si="15"/>
        <v>1.1904761904761905</v>
      </c>
      <c r="AE21" s="31" t="s">
        <v>223</v>
      </c>
      <c r="AF21" s="34">
        <f t="shared" si="11"/>
        <v>105</v>
      </c>
      <c r="AG21" s="34">
        <f t="shared" si="12"/>
        <v>61</v>
      </c>
      <c r="AH21" s="35">
        <v>3.5999999999999997E-2</v>
      </c>
      <c r="AI21" s="36">
        <f t="shared" si="4"/>
        <v>0.3925233644859813</v>
      </c>
      <c r="AJ21" s="36">
        <f t="shared" si="13"/>
        <v>0.22803738317757008</v>
      </c>
      <c r="AK21" s="32">
        <v>267.5</v>
      </c>
      <c r="AL21" s="38">
        <f t="shared" si="16"/>
        <v>0.65656074766355144</v>
      </c>
    </row>
    <row r="22" spans="1:38" x14ac:dyDescent="0.25">
      <c r="A22" s="3" t="s">
        <v>224</v>
      </c>
      <c r="B22" s="30">
        <v>45</v>
      </c>
      <c r="C22" s="28">
        <v>9</v>
      </c>
      <c r="D22" s="5">
        <v>99.8</v>
      </c>
      <c r="E22" s="6">
        <f t="shared" si="0"/>
        <v>0.45090180360721444</v>
      </c>
      <c r="F22" s="6">
        <f t="shared" si="1"/>
        <v>9.0180360721442893E-2</v>
      </c>
      <c r="G22" s="18">
        <f t="shared" si="14"/>
        <v>0.5410821643286573</v>
      </c>
      <c r="H22" s="3" t="s">
        <v>224</v>
      </c>
      <c r="I22" s="25">
        <v>10</v>
      </c>
      <c r="J22" s="41">
        <v>13</v>
      </c>
      <c r="K22" s="5">
        <v>51</v>
      </c>
      <c r="L22" s="6">
        <f t="shared" si="5"/>
        <v>0.19607843137254902</v>
      </c>
      <c r="M22" s="6">
        <f t="shared" si="6"/>
        <v>0.25490196078431371</v>
      </c>
      <c r="N22" s="3" t="s">
        <v>224</v>
      </c>
      <c r="O22" s="25">
        <v>39</v>
      </c>
      <c r="P22" s="28">
        <v>15.766666666666667</v>
      </c>
      <c r="Q22" s="16">
        <v>1.5</v>
      </c>
      <c r="R22" s="5">
        <v>46</v>
      </c>
      <c r="S22" s="22">
        <f t="shared" si="7"/>
        <v>3.2608695652173912E-2</v>
      </c>
      <c r="T22" s="6">
        <f t="shared" si="8"/>
        <v>0.84782608695652173</v>
      </c>
      <c r="U22" s="6">
        <f t="shared" si="9"/>
        <v>0.3427536231884058</v>
      </c>
      <c r="V22" s="21">
        <f t="shared" si="10"/>
        <v>1.2231884057971014</v>
      </c>
      <c r="W22" s="3" t="s">
        <v>224</v>
      </c>
      <c r="X22" s="25">
        <v>10</v>
      </c>
      <c r="Y22" s="29">
        <v>27</v>
      </c>
      <c r="Z22" s="5">
        <v>51</v>
      </c>
      <c r="AA22" s="6">
        <f t="shared" si="2"/>
        <v>0.19607843137254902</v>
      </c>
      <c r="AB22" s="6">
        <f t="shared" si="3"/>
        <v>0.52941176470588236</v>
      </c>
      <c r="AC22" s="44">
        <f t="shared" si="15"/>
        <v>0.72549019607843135</v>
      </c>
      <c r="AE22" s="31" t="s">
        <v>224</v>
      </c>
      <c r="AF22" s="34">
        <f t="shared" si="11"/>
        <v>104</v>
      </c>
      <c r="AG22" s="34">
        <f t="shared" si="12"/>
        <v>49</v>
      </c>
      <c r="AH22" s="35">
        <v>3.2608695652173912E-2</v>
      </c>
      <c r="AI22" s="36">
        <f t="shared" si="4"/>
        <v>0.52926208651399487</v>
      </c>
      <c r="AJ22" s="36">
        <f t="shared" si="13"/>
        <v>0.24936386768447838</v>
      </c>
      <c r="AK22" s="32">
        <v>196.5</v>
      </c>
      <c r="AL22" s="38">
        <f t="shared" si="16"/>
        <v>0.81123464985064719</v>
      </c>
    </row>
    <row r="27" spans="1:38" x14ac:dyDescent="0.25">
      <c r="A27" s="3"/>
      <c r="B27" s="17"/>
      <c r="C27" s="17"/>
    </row>
    <row r="28" spans="1:38" x14ac:dyDescent="0.25">
      <c r="A28" s="3"/>
      <c r="B28" s="17"/>
      <c r="C28" s="17"/>
    </row>
    <row r="29" spans="1:38" x14ac:dyDescent="0.25">
      <c r="A29" s="3"/>
      <c r="B29" s="17"/>
      <c r="C29" s="17"/>
    </row>
    <row r="30" spans="1:38" x14ac:dyDescent="0.25">
      <c r="A30" s="3"/>
      <c r="B30" s="17"/>
      <c r="C30" s="17"/>
    </row>
    <row r="31" spans="1:38" x14ac:dyDescent="0.25">
      <c r="A31" s="3"/>
      <c r="B31" s="17"/>
      <c r="C31" s="17"/>
    </row>
    <row r="32" spans="1:38" x14ac:dyDescent="0.25">
      <c r="A32" s="3"/>
      <c r="B32" s="17"/>
      <c r="C32" s="17"/>
    </row>
    <row r="33" spans="1:6" x14ac:dyDescent="0.25">
      <c r="A33" s="3"/>
      <c r="B33" s="17"/>
      <c r="C33" s="17"/>
      <c r="D33" s="7"/>
      <c r="E33" s="7"/>
      <c r="F33" s="7"/>
    </row>
    <row r="34" spans="1:6" x14ac:dyDescent="0.25">
      <c r="A34" s="3"/>
      <c r="B34" s="17"/>
      <c r="C34" s="17"/>
      <c r="D34" s="5"/>
      <c r="E34" s="6"/>
      <c r="F34" s="6"/>
    </row>
    <row r="35" spans="1:6" x14ac:dyDescent="0.25">
      <c r="A35" s="3"/>
      <c r="B35" s="17"/>
      <c r="C35" s="17"/>
      <c r="D35" s="5"/>
      <c r="E35" s="6"/>
      <c r="F35" s="6"/>
    </row>
    <row r="36" spans="1:6" x14ac:dyDescent="0.25">
      <c r="A36" s="3"/>
      <c r="B36" s="17"/>
      <c r="C36" s="17"/>
      <c r="D36" s="5"/>
      <c r="E36" s="6"/>
      <c r="F36" s="6"/>
    </row>
    <row r="37" spans="1:6" x14ac:dyDescent="0.25">
      <c r="A37" s="3"/>
      <c r="B37" s="17"/>
      <c r="C37" s="17"/>
      <c r="D37" s="5"/>
      <c r="E37" s="6"/>
      <c r="F37" s="6"/>
    </row>
    <row r="38" spans="1:6" x14ac:dyDescent="0.25">
      <c r="A38" s="3"/>
      <c r="B38" s="17"/>
      <c r="C38" s="17"/>
      <c r="D38" s="5"/>
      <c r="E38" s="6"/>
      <c r="F38" s="6"/>
    </row>
    <row r="39" spans="1:6" x14ac:dyDescent="0.25">
      <c r="A39" s="3"/>
      <c r="B39" s="17"/>
      <c r="C39" s="17"/>
      <c r="D39" s="5"/>
      <c r="E39" s="6"/>
      <c r="F39" s="6"/>
    </row>
    <row r="40" spans="1:6" x14ac:dyDescent="0.25">
      <c r="A40" s="3"/>
      <c r="B40" s="17"/>
      <c r="C40" s="17"/>
      <c r="D40" s="5"/>
      <c r="E40" s="6"/>
      <c r="F40" s="6"/>
    </row>
    <row r="41" spans="1:6" x14ac:dyDescent="0.25">
      <c r="A41" s="3"/>
      <c r="B41" s="17"/>
      <c r="C41" s="17"/>
      <c r="D41" s="5"/>
      <c r="E41" s="6"/>
      <c r="F41" s="6"/>
    </row>
    <row r="42" spans="1:6" x14ac:dyDescent="0.25">
      <c r="A42" s="3"/>
      <c r="B42" s="17"/>
      <c r="C42" s="17"/>
      <c r="D42" s="5"/>
      <c r="E42" s="6"/>
      <c r="F42" s="6"/>
    </row>
    <row r="43" spans="1:6" x14ac:dyDescent="0.25">
      <c r="A43" s="3"/>
      <c r="B43" s="17"/>
      <c r="C43" s="17"/>
      <c r="D43" s="5"/>
      <c r="E43" s="6"/>
      <c r="F43" s="6"/>
    </row>
    <row r="44" spans="1:6" x14ac:dyDescent="0.25">
      <c r="A44" s="3"/>
      <c r="B44" s="17"/>
      <c r="C44" s="17"/>
      <c r="D44" s="5"/>
      <c r="E44" s="6"/>
      <c r="F44" s="6"/>
    </row>
    <row r="45" spans="1:6" x14ac:dyDescent="0.25">
      <c r="A45" s="3"/>
      <c r="B45" s="5"/>
      <c r="C45" s="5"/>
      <c r="D45" s="5"/>
      <c r="E45" s="6"/>
      <c r="F45" s="6"/>
    </row>
    <row r="46" spans="1:6" x14ac:dyDescent="0.25">
      <c r="A46" s="3"/>
      <c r="B46" s="5"/>
      <c r="C46" s="5"/>
      <c r="D46" s="5"/>
      <c r="E46" s="6"/>
      <c r="F46" s="6"/>
    </row>
    <row r="47" spans="1:6" x14ac:dyDescent="0.25">
      <c r="A47" s="3"/>
      <c r="B47" s="5"/>
      <c r="C47" s="5"/>
      <c r="D47" s="5"/>
      <c r="E47" s="6"/>
      <c r="F47" s="6"/>
    </row>
    <row r="48" spans="1:6" x14ac:dyDescent="0.25">
      <c r="A48" s="3"/>
      <c r="B48" s="5"/>
      <c r="C48" s="5"/>
      <c r="D48" s="5"/>
      <c r="E48" s="6"/>
      <c r="F48" s="6"/>
    </row>
    <row r="49" spans="1:6" x14ac:dyDescent="0.25">
      <c r="A49" s="3"/>
      <c r="B49" s="5"/>
      <c r="C49" s="5"/>
      <c r="D49" s="5"/>
      <c r="E49" s="6"/>
      <c r="F49" s="6"/>
    </row>
    <row r="50" spans="1:6" x14ac:dyDescent="0.25">
      <c r="A50" s="3"/>
      <c r="B50" s="5"/>
      <c r="C50" s="5"/>
      <c r="D50" s="5"/>
      <c r="E50" s="6"/>
      <c r="F50" s="6"/>
    </row>
  </sheetData>
  <mergeCells count="1">
    <mergeCell ref="AE2:AL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C00E-353E-4CCE-A385-35C56ED51F10}">
  <dimension ref="A3:J45"/>
  <sheetViews>
    <sheetView workbookViewId="0">
      <selection activeCell="J39" sqref="J39"/>
    </sheetView>
  </sheetViews>
  <sheetFormatPr defaultRowHeight="15" x14ac:dyDescent="0.25"/>
  <cols>
    <col min="5" max="5" width="9.140625" customWidth="1"/>
  </cols>
  <sheetData>
    <row r="3" spans="1:10" x14ac:dyDescent="0.25">
      <c r="B3" s="7" t="s">
        <v>230</v>
      </c>
      <c r="C3" s="7" t="s">
        <v>231</v>
      </c>
      <c r="D3" s="7"/>
      <c r="E3" s="7" t="s">
        <v>320</v>
      </c>
      <c r="F3" s="7" t="s">
        <v>234</v>
      </c>
      <c r="G3" s="7" t="s">
        <v>315</v>
      </c>
      <c r="H3" s="7" t="s">
        <v>232</v>
      </c>
      <c r="I3" s="7" t="s">
        <v>233</v>
      </c>
      <c r="J3" s="7" t="s">
        <v>311</v>
      </c>
    </row>
    <row r="4" spans="1:10" hidden="1" x14ac:dyDescent="0.25"/>
    <row r="5" spans="1:10" x14ac:dyDescent="0.25">
      <c r="A5" s="3" t="s">
        <v>23</v>
      </c>
      <c r="B5" s="5">
        <v>16</v>
      </c>
      <c r="C5" s="16">
        <v>7</v>
      </c>
      <c r="D5" s="16"/>
      <c r="E5" s="46">
        <v>23</v>
      </c>
      <c r="F5" s="5">
        <v>62.5</v>
      </c>
      <c r="G5" s="22">
        <v>0</v>
      </c>
      <c r="H5" s="6">
        <f>B5/F5</f>
        <v>0.25600000000000001</v>
      </c>
      <c r="I5" s="6">
        <f t="shared" ref="I5:I22" si="0">C5/F5</f>
        <v>0.112</v>
      </c>
      <c r="J5" s="21">
        <f>G5+H5+I5</f>
        <v>0.36799999999999999</v>
      </c>
    </row>
    <row r="6" spans="1:10" x14ac:dyDescent="0.25">
      <c r="A6" s="3" t="s">
        <v>74</v>
      </c>
      <c r="B6" s="5">
        <v>17</v>
      </c>
      <c r="C6" s="16">
        <v>18</v>
      </c>
      <c r="D6" s="16"/>
      <c r="E6" s="46">
        <v>34</v>
      </c>
      <c r="F6" s="5">
        <v>61.5</v>
      </c>
      <c r="G6" s="22">
        <v>0</v>
      </c>
      <c r="H6" s="6">
        <f t="shared" ref="H6:H22" si="1">B6/F6</f>
        <v>0.27642276422764228</v>
      </c>
      <c r="I6" s="6">
        <f t="shared" si="0"/>
        <v>0.29268292682926828</v>
      </c>
      <c r="J6" s="21">
        <f t="shared" ref="J6:J22" si="2">G6+H6+I6</f>
        <v>0.56910569105691056</v>
      </c>
    </row>
    <row r="7" spans="1:10" x14ac:dyDescent="0.25">
      <c r="A7" s="3" t="s">
        <v>103</v>
      </c>
      <c r="B7" s="5">
        <v>14</v>
      </c>
      <c r="C7" s="16">
        <v>17</v>
      </c>
      <c r="D7" s="16"/>
      <c r="E7" s="46">
        <v>31</v>
      </c>
      <c r="F7" s="5">
        <v>62</v>
      </c>
      <c r="G7" s="22">
        <v>0</v>
      </c>
      <c r="H7" s="6">
        <f t="shared" si="1"/>
        <v>0.22580645161290322</v>
      </c>
      <c r="I7" s="6">
        <f t="shared" si="0"/>
        <v>0.27419354838709675</v>
      </c>
      <c r="J7" s="21">
        <f t="shared" si="2"/>
        <v>0.5</v>
      </c>
    </row>
    <row r="8" spans="1:10" x14ac:dyDescent="0.25">
      <c r="A8" s="3" t="s">
        <v>122</v>
      </c>
      <c r="B8" s="5">
        <v>20</v>
      </c>
      <c r="C8" s="16">
        <v>30</v>
      </c>
      <c r="D8" s="16"/>
      <c r="E8" s="46">
        <v>63</v>
      </c>
      <c r="F8" s="5">
        <v>40</v>
      </c>
      <c r="G8" s="22">
        <v>0</v>
      </c>
      <c r="H8" s="6">
        <f t="shared" si="1"/>
        <v>0.5</v>
      </c>
      <c r="I8" s="6">
        <f t="shared" si="0"/>
        <v>0.75</v>
      </c>
      <c r="J8" s="21">
        <f t="shared" si="2"/>
        <v>1.25</v>
      </c>
    </row>
    <row r="9" spans="1:10" x14ac:dyDescent="0.25">
      <c r="A9" s="3" t="s">
        <v>137</v>
      </c>
      <c r="B9" s="5">
        <v>13</v>
      </c>
      <c r="C9" s="16">
        <v>26</v>
      </c>
      <c r="D9" s="16"/>
      <c r="E9" s="46">
        <v>39</v>
      </c>
      <c r="F9" s="5">
        <v>40.5</v>
      </c>
      <c r="G9" s="22">
        <v>0</v>
      </c>
      <c r="H9" s="6">
        <f t="shared" si="1"/>
        <v>0.32098765432098764</v>
      </c>
      <c r="I9" s="6">
        <f t="shared" si="0"/>
        <v>0.64197530864197527</v>
      </c>
      <c r="J9" s="21">
        <f t="shared" si="2"/>
        <v>0.96296296296296291</v>
      </c>
    </row>
    <row r="10" spans="1:10" x14ac:dyDescent="0.25">
      <c r="A10" s="3" t="s">
        <v>156</v>
      </c>
      <c r="B10" s="5">
        <v>15</v>
      </c>
      <c r="C10" s="16">
        <v>36</v>
      </c>
      <c r="D10" s="16"/>
      <c r="E10" s="46">
        <v>51</v>
      </c>
      <c r="F10" s="5">
        <v>51</v>
      </c>
      <c r="G10" s="22">
        <v>0</v>
      </c>
      <c r="H10" s="6">
        <f t="shared" si="1"/>
        <v>0.29411764705882354</v>
      </c>
      <c r="I10" s="6">
        <f t="shared" si="0"/>
        <v>0.70588235294117652</v>
      </c>
      <c r="J10" s="21">
        <f t="shared" si="2"/>
        <v>1</v>
      </c>
    </row>
    <row r="11" spans="1:10" x14ac:dyDescent="0.25">
      <c r="A11" s="3" t="s">
        <v>162</v>
      </c>
      <c r="B11" s="5">
        <v>11</v>
      </c>
      <c r="C11" s="16">
        <v>29</v>
      </c>
      <c r="D11" s="16"/>
      <c r="E11" s="46">
        <v>36</v>
      </c>
      <c r="F11" s="5">
        <v>60</v>
      </c>
      <c r="G11" s="22">
        <v>0</v>
      </c>
      <c r="H11" s="6">
        <f t="shared" si="1"/>
        <v>0.18333333333333332</v>
      </c>
      <c r="I11" s="6">
        <f t="shared" si="0"/>
        <v>0.48333333333333334</v>
      </c>
      <c r="J11" s="21">
        <f t="shared" si="2"/>
        <v>0.66666666666666663</v>
      </c>
    </row>
    <row r="12" spans="1:10" x14ac:dyDescent="0.25">
      <c r="A12" s="3" t="s">
        <v>178</v>
      </c>
      <c r="B12" s="5">
        <v>23</v>
      </c>
      <c r="C12" s="16">
        <v>28</v>
      </c>
      <c r="D12" s="16"/>
      <c r="E12" s="46">
        <v>51</v>
      </c>
      <c r="F12" s="5">
        <v>63</v>
      </c>
      <c r="G12" s="22">
        <v>0</v>
      </c>
      <c r="H12" s="6">
        <f t="shared" si="1"/>
        <v>0.36507936507936506</v>
      </c>
      <c r="I12" s="6">
        <f t="shared" si="0"/>
        <v>0.44444444444444442</v>
      </c>
      <c r="J12" s="21">
        <f t="shared" si="2"/>
        <v>0.80952380952380953</v>
      </c>
    </row>
    <row r="13" spans="1:10" x14ac:dyDescent="0.25">
      <c r="A13" s="3" t="s">
        <v>186</v>
      </c>
      <c r="B13" s="5">
        <v>17</v>
      </c>
      <c r="C13" s="16">
        <v>7</v>
      </c>
      <c r="D13" s="16"/>
      <c r="E13" s="46">
        <v>24</v>
      </c>
      <c r="F13" s="5">
        <v>36.5</v>
      </c>
      <c r="G13" s="22">
        <v>0</v>
      </c>
      <c r="H13" s="6">
        <f t="shared" si="1"/>
        <v>0.46575342465753422</v>
      </c>
      <c r="I13" s="6">
        <f t="shared" si="0"/>
        <v>0.19178082191780821</v>
      </c>
      <c r="J13" s="21">
        <f t="shared" si="2"/>
        <v>0.65753424657534243</v>
      </c>
    </row>
    <row r="14" spans="1:10" x14ac:dyDescent="0.25">
      <c r="A14" s="3" t="s">
        <v>188</v>
      </c>
      <c r="B14" s="5">
        <v>23</v>
      </c>
      <c r="C14" s="16">
        <v>38</v>
      </c>
      <c r="D14" s="16"/>
      <c r="E14" s="46">
        <v>60</v>
      </c>
      <c r="F14" s="5">
        <v>51</v>
      </c>
      <c r="G14" s="22">
        <v>0</v>
      </c>
      <c r="H14" s="6">
        <f t="shared" si="1"/>
        <v>0.45098039215686275</v>
      </c>
      <c r="I14" s="6">
        <f t="shared" si="0"/>
        <v>0.74509803921568629</v>
      </c>
      <c r="J14" s="21">
        <f t="shared" si="2"/>
        <v>1.196078431372549</v>
      </c>
    </row>
    <row r="15" spans="1:10" x14ac:dyDescent="0.25">
      <c r="A15" s="3" t="s">
        <v>189</v>
      </c>
      <c r="B15" s="5">
        <v>10</v>
      </c>
      <c r="C15" s="16">
        <v>26</v>
      </c>
      <c r="D15" s="16"/>
      <c r="E15" s="46">
        <v>36</v>
      </c>
      <c r="F15" s="5">
        <v>59.5</v>
      </c>
      <c r="G15" s="22">
        <v>0</v>
      </c>
      <c r="H15" s="6">
        <f t="shared" si="1"/>
        <v>0.16806722689075632</v>
      </c>
      <c r="I15" s="6">
        <f t="shared" si="0"/>
        <v>0.43697478991596639</v>
      </c>
      <c r="J15" s="21">
        <f t="shared" si="2"/>
        <v>0.60504201680672276</v>
      </c>
    </row>
    <row r="16" spans="1:10" x14ac:dyDescent="0.25">
      <c r="A16" s="3" t="s">
        <v>204</v>
      </c>
      <c r="B16" s="5">
        <v>23</v>
      </c>
      <c r="C16" s="16">
        <v>45</v>
      </c>
      <c r="D16" s="16"/>
      <c r="E16" s="46">
        <v>65</v>
      </c>
      <c r="F16" s="5">
        <v>63.5</v>
      </c>
      <c r="G16" s="22">
        <v>0</v>
      </c>
      <c r="H16" s="6">
        <f t="shared" si="1"/>
        <v>0.36220472440944884</v>
      </c>
      <c r="I16" s="6">
        <f t="shared" si="0"/>
        <v>0.70866141732283461</v>
      </c>
      <c r="J16" s="21">
        <f t="shared" si="2"/>
        <v>1.0708661417322833</v>
      </c>
    </row>
    <row r="17" spans="1:10" x14ac:dyDescent="0.25">
      <c r="A17" s="3" t="s">
        <v>205</v>
      </c>
      <c r="B17" s="5">
        <v>14</v>
      </c>
      <c r="C17" s="16">
        <v>29</v>
      </c>
      <c r="D17" s="16"/>
      <c r="E17" s="46">
        <v>39</v>
      </c>
      <c r="F17" s="5">
        <v>49</v>
      </c>
      <c r="G17" s="22">
        <v>0</v>
      </c>
      <c r="H17" s="6">
        <f t="shared" si="1"/>
        <v>0.2857142857142857</v>
      </c>
      <c r="I17" s="6">
        <f t="shared" si="0"/>
        <v>0.59183673469387754</v>
      </c>
      <c r="J17" s="21">
        <f t="shared" si="2"/>
        <v>0.87755102040816324</v>
      </c>
    </row>
    <row r="18" spans="1:10" x14ac:dyDescent="0.25">
      <c r="A18" s="3" t="s">
        <v>207</v>
      </c>
      <c r="B18" s="5">
        <v>17</v>
      </c>
      <c r="C18" s="16">
        <v>33</v>
      </c>
      <c r="D18" s="16"/>
      <c r="E18" s="46">
        <v>46</v>
      </c>
      <c r="F18" s="5">
        <v>60</v>
      </c>
      <c r="G18" s="22">
        <v>0</v>
      </c>
      <c r="H18" s="6">
        <f t="shared" si="1"/>
        <v>0.28333333333333333</v>
      </c>
      <c r="I18" s="6">
        <f t="shared" si="0"/>
        <v>0.55000000000000004</v>
      </c>
      <c r="J18" s="21">
        <f t="shared" si="2"/>
        <v>0.83333333333333337</v>
      </c>
    </row>
    <row r="19" spans="1:10" x14ac:dyDescent="0.25">
      <c r="A19" s="3" t="s">
        <v>219</v>
      </c>
      <c r="B19" s="5">
        <v>13</v>
      </c>
      <c r="C19" s="16">
        <v>32</v>
      </c>
      <c r="D19" s="16"/>
      <c r="E19" s="46">
        <v>37</v>
      </c>
      <c r="F19" s="5">
        <v>52.5</v>
      </c>
      <c r="G19" s="22">
        <v>0</v>
      </c>
      <c r="H19" s="6">
        <f t="shared" si="1"/>
        <v>0.24761904761904763</v>
      </c>
      <c r="I19" s="6">
        <f t="shared" si="0"/>
        <v>0.60952380952380958</v>
      </c>
      <c r="J19" s="21">
        <f t="shared" si="2"/>
        <v>0.85714285714285721</v>
      </c>
    </row>
    <row r="20" spans="1:10" x14ac:dyDescent="0.25">
      <c r="A20" s="3" t="s">
        <v>221</v>
      </c>
      <c r="B20" s="5">
        <v>15</v>
      </c>
      <c r="C20" s="16">
        <v>13</v>
      </c>
      <c r="D20" s="16"/>
      <c r="E20" s="46">
        <v>30</v>
      </c>
      <c r="F20" s="5">
        <v>60.5</v>
      </c>
      <c r="G20" s="22">
        <v>0</v>
      </c>
      <c r="H20" s="6">
        <f t="shared" si="1"/>
        <v>0.24793388429752067</v>
      </c>
      <c r="I20" s="6">
        <f t="shared" si="0"/>
        <v>0.21487603305785125</v>
      </c>
      <c r="J20" s="21">
        <f t="shared" si="2"/>
        <v>0.46280991735537191</v>
      </c>
    </row>
    <row r="21" spans="1:10" x14ac:dyDescent="0.25">
      <c r="A21" s="3" t="s">
        <v>223</v>
      </c>
      <c r="B21" s="5">
        <v>13</v>
      </c>
      <c r="C21" s="16">
        <v>27</v>
      </c>
      <c r="D21" s="16"/>
      <c r="E21" s="46">
        <v>32</v>
      </c>
      <c r="F21" s="5">
        <v>42</v>
      </c>
      <c r="G21" s="22">
        <v>0</v>
      </c>
      <c r="H21" s="6">
        <f t="shared" si="1"/>
        <v>0.30952380952380953</v>
      </c>
      <c r="I21" s="6">
        <f t="shared" si="0"/>
        <v>0.6428571428571429</v>
      </c>
      <c r="J21" s="21">
        <f t="shared" si="2"/>
        <v>0.95238095238095244</v>
      </c>
    </row>
    <row r="22" spans="1:10" x14ac:dyDescent="0.25">
      <c r="A22" s="3" t="s">
        <v>224</v>
      </c>
      <c r="B22" s="5">
        <v>11</v>
      </c>
      <c r="C22" s="16">
        <v>29</v>
      </c>
      <c r="D22" s="16"/>
      <c r="E22" s="46">
        <v>36</v>
      </c>
      <c r="F22" s="5">
        <v>58.5</v>
      </c>
      <c r="G22" s="22">
        <v>0</v>
      </c>
      <c r="H22" s="6">
        <f t="shared" si="1"/>
        <v>0.18803418803418803</v>
      </c>
      <c r="I22" s="6">
        <f t="shared" si="0"/>
        <v>0.49572649572649574</v>
      </c>
      <c r="J22" s="21">
        <f t="shared" si="2"/>
        <v>0.68376068376068377</v>
      </c>
    </row>
    <row r="24" spans="1:10" hidden="1" x14ac:dyDescent="0.25"/>
    <row r="28" spans="1:10" x14ac:dyDescent="0.25">
      <c r="G28" s="5"/>
    </row>
    <row r="29" spans="1:10" x14ac:dyDescent="0.25">
      <c r="G29" s="5"/>
    </row>
    <row r="30" spans="1:10" x14ac:dyDescent="0.25">
      <c r="G30" s="5"/>
    </row>
    <row r="31" spans="1:10" x14ac:dyDescent="0.25">
      <c r="G31" s="5"/>
    </row>
    <row r="32" spans="1:10" x14ac:dyDescent="0.25">
      <c r="G32" s="5"/>
    </row>
    <row r="33" spans="7:7" x14ac:dyDescent="0.25">
      <c r="G33" s="5"/>
    </row>
    <row r="34" spans="7:7" x14ac:dyDescent="0.25">
      <c r="G34" s="5"/>
    </row>
    <row r="35" spans="7:7" x14ac:dyDescent="0.25">
      <c r="G35" s="5"/>
    </row>
    <row r="36" spans="7:7" x14ac:dyDescent="0.25">
      <c r="G36" s="5"/>
    </row>
    <row r="37" spans="7:7" x14ac:dyDescent="0.25">
      <c r="G37" s="5"/>
    </row>
    <row r="38" spans="7:7" x14ac:dyDescent="0.25">
      <c r="G38" s="5"/>
    </row>
    <row r="39" spans="7:7" x14ac:dyDescent="0.25">
      <c r="G39" s="5"/>
    </row>
    <row r="40" spans="7:7" x14ac:dyDescent="0.25">
      <c r="G40" s="5"/>
    </row>
    <row r="41" spans="7:7" x14ac:dyDescent="0.25">
      <c r="G41" s="5"/>
    </row>
    <row r="42" spans="7:7" x14ac:dyDescent="0.25">
      <c r="G42" s="5"/>
    </row>
    <row r="43" spans="7:7" x14ac:dyDescent="0.25">
      <c r="G43" s="5"/>
    </row>
    <row r="44" spans="7:7" x14ac:dyDescent="0.25">
      <c r="G44" s="5"/>
    </row>
    <row r="45" spans="7:7" x14ac:dyDescent="0.25">
      <c r="G45" s="5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3A0B9AFA-4D43-4FD0-B26A-AF7DCE628D85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70D09B4D-D293-4238-8CED-76BBD236C6A9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AcZB02</vt:lpstr>
      <vt:lpstr>Week1</vt:lpstr>
      <vt:lpstr>Week2</vt:lpstr>
      <vt:lpstr>Week3</vt:lpstr>
      <vt:lpstr>Week4</vt:lpstr>
      <vt:lpstr>Week7</vt:lpstr>
      <vt:lpstr>Week8</vt:lpstr>
      <vt:lpstr>Manhour HR</vt:lpstr>
      <vt:lpstr>Sum OT</vt:lpstr>
      <vt:lpstr>Summary Weekly</vt:lpstr>
      <vt:lpstr>Summary Weekly (2)</vt:lpstr>
      <vt:lpstr>Total by M2</vt:lpstr>
      <vt:lpstr>Total Manhour</vt:lpstr>
      <vt:lpstr>Summary Monthly</vt:lpstr>
      <vt:lpstr>Summary Monthly (2)</vt:lpstr>
      <vt:lpstr>Total by Week</vt:lpstr>
      <vt:lpstr>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Thamburanawit, Pimnacha {PI}</cp:lastModifiedBy>
  <dcterms:created xsi:type="dcterms:W3CDTF">2020-01-20T07:40:56Z</dcterms:created>
  <dcterms:modified xsi:type="dcterms:W3CDTF">2020-03-13T09:52:08Z</dcterms:modified>
</cp:coreProperties>
</file>